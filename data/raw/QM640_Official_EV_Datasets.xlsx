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BA\Walsh DBA\MS - Walsh\MS - Capstone Project\Datasets\Final Datsets\"/>
    </mc:Choice>
  </mc:AlternateContent>
  <xr:revisionPtr revIDLastSave="0" documentId="8_{856978AA-8DB2-49A8-8DE7-B9420B415A4D}" xr6:coauthVersionLast="47" xr6:coauthVersionMax="47" xr10:uidLastSave="{00000000-0000-0000-0000-000000000000}"/>
  <bookViews>
    <workbookView xWindow="-98" yWindow="-98" windowWidth="28996" windowHeight="15675" tabRatio="500" xr2:uid="{00000000-000D-0000-FFFF-FFFF00000000}"/>
  </bookViews>
  <sheets>
    <sheet name="README_Sources" sheetId="1" r:id="rId1"/>
    <sheet name="EV_Statewise_03Aug2023" sheetId="2" r:id="rId2"/>
    <sheet name="EV_vs_Total_FY2019_24" sheetId="3" r:id="rId3"/>
    <sheet name="ChargingStations_Statewise" sheetId="4" r:id="rId4"/>
    <sheet name="ElecDemand_FY20_FY25" sheetId="5" r:id="rId5"/>
    <sheet name="National_Checkpoints" sheetId="6" r:id="rId6"/>
    <sheet name="Controls_NSDP_Urbanisation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39" i="5" l="1"/>
  <c r="P39" i="5"/>
  <c r="M39" i="5"/>
  <c r="J39" i="5"/>
  <c r="G39" i="5"/>
  <c r="D39" i="5"/>
  <c r="R38" i="5"/>
  <c r="Q38" i="5"/>
  <c r="S38" i="5" s="1"/>
  <c r="O38" i="5"/>
  <c r="N38" i="5"/>
  <c r="P38" i="5" s="1"/>
  <c r="L38" i="5"/>
  <c r="K38" i="5"/>
  <c r="M38" i="5" s="1"/>
  <c r="I38" i="5"/>
  <c r="H38" i="5"/>
  <c r="J38" i="5" s="1"/>
  <c r="F38" i="5"/>
  <c r="E38" i="5"/>
  <c r="G38" i="5" s="1"/>
  <c r="C38" i="5"/>
  <c r="B38" i="5"/>
  <c r="D38" i="5" s="1"/>
  <c r="S37" i="5"/>
  <c r="P37" i="5"/>
  <c r="M37" i="5"/>
  <c r="J37" i="5"/>
  <c r="G37" i="5"/>
  <c r="D37" i="5"/>
  <c r="S36" i="5"/>
  <c r="P36" i="5"/>
  <c r="M36" i="5"/>
  <c r="J36" i="5"/>
  <c r="G36" i="5"/>
  <c r="D36" i="5"/>
  <c r="S35" i="5"/>
  <c r="P35" i="5"/>
  <c r="M35" i="5"/>
  <c r="J35" i="5"/>
  <c r="G35" i="5"/>
  <c r="D35" i="5"/>
  <c r="S34" i="5"/>
  <c r="P34" i="5"/>
  <c r="M34" i="5"/>
  <c r="J34" i="5"/>
  <c r="G34" i="5"/>
  <c r="D34" i="5"/>
  <c r="S33" i="5"/>
  <c r="P33" i="5"/>
  <c r="M33" i="5"/>
  <c r="J33" i="5"/>
  <c r="G33" i="5"/>
  <c r="D33" i="5"/>
  <c r="S32" i="5"/>
  <c r="P32" i="5"/>
  <c r="M32" i="5"/>
  <c r="J32" i="5"/>
  <c r="G32" i="5"/>
  <c r="D32" i="5"/>
  <c r="S31" i="5"/>
  <c r="P31" i="5"/>
  <c r="M31" i="5"/>
  <c r="J31" i="5"/>
  <c r="G31" i="5"/>
  <c r="D31" i="5"/>
  <c r="S30" i="5"/>
  <c r="P30" i="5"/>
  <c r="M30" i="5"/>
  <c r="J30" i="5"/>
  <c r="G30" i="5"/>
  <c r="D30" i="5"/>
  <c r="S29" i="5"/>
  <c r="P29" i="5"/>
  <c r="M29" i="5"/>
  <c r="J29" i="5"/>
  <c r="G29" i="5"/>
  <c r="D29" i="5"/>
  <c r="S28" i="5"/>
  <c r="P28" i="5"/>
  <c r="M28" i="5"/>
  <c r="J28" i="5"/>
  <c r="G28" i="5"/>
  <c r="D28" i="5"/>
  <c r="S27" i="5"/>
  <c r="P27" i="5"/>
  <c r="M27" i="5"/>
  <c r="J27" i="5"/>
  <c r="G27" i="5"/>
  <c r="D27" i="5"/>
  <c r="S26" i="5"/>
  <c r="P26" i="5"/>
  <c r="M26" i="5"/>
  <c r="J26" i="5"/>
  <c r="G26" i="5"/>
  <c r="D26" i="5"/>
  <c r="S25" i="5"/>
  <c r="P25" i="5"/>
  <c r="M25" i="5"/>
  <c r="J25" i="5"/>
  <c r="G25" i="5"/>
  <c r="D25" i="5"/>
  <c r="S24" i="5"/>
  <c r="P24" i="5"/>
  <c r="M24" i="5"/>
  <c r="J24" i="5"/>
  <c r="G24" i="5"/>
  <c r="D24" i="5"/>
  <c r="S23" i="5"/>
  <c r="P23" i="5"/>
  <c r="M23" i="5"/>
  <c r="J23" i="5"/>
  <c r="G23" i="5"/>
  <c r="D23" i="5"/>
  <c r="S22" i="5"/>
  <c r="P22" i="5"/>
  <c r="M22" i="5"/>
  <c r="J22" i="5"/>
  <c r="G22" i="5"/>
  <c r="D22" i="5"/>
  <c r="S21" i="5"/>
  <c r="P21" i="5"/>
  <c r="M21" i="5"/>
  <c r="J21" i="5"/>
  <c r="G21" i="5"/>
  <c r="D21" i="5"/>
  <c r="S20" i="5"/>
  <c r="P20" i="5"/>
  <c r="M20" i="5"/>
  <c r="J20" i="5"/>
  <c r="G20" i="5"/>
  <c r="D20" i="5"/>
  <c r="S19" i="5"/>
  <c r="P19" i="5"/>
  <c r="M19" i="5"/>
  <c r="J19" i="5"/>
  <c r="G19" i="5"/>
  <c r="D19" i="5"/>
  <c r="S18" i="5"/>
  <c r="P18" i="5"/>
  <c r="M18" i="5"/>
  <c r="J18" i="5"/>
  <c r="G18" i="5"/>
  <c r="D18" i="5"/>
  <c r="S17" i="5"/>
  <c r="P17" i="5"/>
  <c r="M17" i="5"/>
  <c r="J17" i="5"/>
  <c r="G17" i="5"/>
  <c r="D17" i="5"/>
  <c r="S16" i="5"/>
  <c r="P16" i="5"/>
  <c r="M16" i="5"/>
  <c r="J16" i="5"/>
  <c r="G16" i="5"/>
  <c r="D16" i="5"/>
  <c r="S15" i="5"/>
  <c r="P15" i="5"/>
  <c r="M15" i="5"/>
  <c r="J15" i="5"/>
  <c r="G15" i="5"/>
  <c r="D15" i="5"/>
  <c r="S14" i="5"/>
  <c r="P14" i="5"/>
  <c r="M14" i="5"/>
  <c r="J14" i="5"/>
  <c r="G14" i="5"/>
  <c r="D14" i="5"/>
  <c r="S13" i="5"/>
  <c r="P13" i="5"/>
  <c r="M13" i="5"/>
  <c r="J13" i="5"/>
  <c r="G13" i="5"/>
  <c r="D13" i="5"/>
  <c r="S12" i="5"/>
  <c r="P12" i="5"/>
  <c r="M12" i="5"/>
  <c r="J12" i="5"/>
  <c r="G12" i="5"/>
  <c r="D12" i="5"/>
  <c r="S11" i="5"/>
  <c r="P11" i="5"/>
  <c r="M11" i="5"/>
  <c r="J11" i="5"/>
  <c r="G11" i="5"/>
  <c r="D11" i="5"/>
  <c r="S10" i="5"/>
  <c r="P10" i="5"/>
  <c r="M10" i="5"/>
  <c r="J10" i="5"/>
  <c r="G10" i="5"/>
  <c r="D10" i="5"/>
  <c r="S9" i="5"/>
  <c r="P9" i="5"/>
  <c r="M9" i="5"/>
  <c r="J9" i="5"/>
  <c r="G9" i="5"/>
  <c r="D9" i="5"/>
  <c r="S8" i="5"/>
  <c r="P8" i="5"/>
  <c r="M8" i="5"/>
  <c r="J8" i="5"/>
  <c r="G8" i="5"/>
  <c r="D8" i="5"/>
  <c r="S7" i="5"/>
  <c r="P7" i="5"/>
  <c r="M7" i="5"/>
  <c r="J7" i="5"/>
  <c r="G7" i="5"/>
  <c r="D7" i="5"/>
  <c r="S6" i="5"/>
  <c r="P6" i="5"/>
  <c r="M6" i="5"/>
  <c r="J6" i="5"/>
  <c r="G6" i="5"/>
  <c r="D6" i="5"/>
  <c r="S5" i="5"/>
  <c r="P5" i="5"/>
  <c r="M5" i="5"/>
  <c r="J5" i="5"/>
  <c r="G5" i="5"/>
  <c r="D5" i="5"/>
  <c r="S4" i="5"/>
  <c r="P4" i="5"/>
  <c r="M4" i="5"/>
  <c r="J4" i="5"/>
  <c r="G4" i="5"/>
  <c r="D4" i="5"/>
  <c r="S3" i="5"/>
  <c r="P3" i="5"/>
  <c r="M3" i="5"/>
  <c r="J3" i="5"/>
  <c r="G3" i="5"/>
  <c r="D3" i="5"/>
  <c r="S2" i="5"/>
  <c r="P2" i="5"/>
  <c r="M2" i="5"/>
  <c r="J2" i="5"/>
  <c r="G2" i="5"/>
  <c r="D2" i="5"/>
  <c r="C38" i="4"/>
  <c r="B38" i="4"/>
  <c r="C37" i="3"/>
  <c r="B37" i="3"/>
  <c r="D37" i="3" s="1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B36" i="2"/>
</calcChain>
</file>

<file path=xl/sharedStrings.xml><?xml version="1.0" encoding="utf-8"?>
<sst xmlns="http://schemas.openxmlformats.org/spreadsheetml/2006/main" count="465" uniqueCount="229">
  <si>
    <t>QM640 Capstone - Official Government Data Workbook (India EV / Charging / Electricity Demand)</t>
  </si>
  <si>
    <t>Prepared: 04-Jul-2026 | All data transcribed verbatim from Government of India sources. No Kaggle. No synthesized values.</t>
  </si>
  <si>
    <t>Sheet</t>
  </si>
  <si>
    <t>Dataset</t>
  </si>
  <si>
    <t>Official source &amp; timestamp</t>
  </si>
  <si>
    <t>Direct URL</t>
  </si>
  <si>
    <t>EV_Statewise_03Aug2023</t>
  </si>
  <si>
    <t>State-wise total registered EVs (as on 03.08.2023) + national yearly EV registrations 2018-2023</t>
  </si>
  <si>
    <t>MoRTH written reply, Lok Sabha, tabled 10-Aug-2023 (PIB PRID 1947389). Note: Telangana &amp; Lakshadweep not on Vahan4 at that date.</t>
  </si>
  <si>
    <t>https://www.pib.gov.in/PressReleasePage.aspx?PRID=1947389</t>
  </si>
  <si>
    <t>EV_vs_Total_FY2019_24</t>
  </si>
  <si>
    <t>State-wise Total EV vs Total Vehicles registered, 01/04/2019 to 31/03/2024, with EV % share</t>
  </si>
  <si>
    <t>Ministry of Heavy Industries written reply, Rajya Sabha, tabled 13-Dec-2024 (PIB PRID 2084148). Source stated: Vahan data.</t>
  </si>
  <si>
    <t>https://www.pib.gov.in/PressReleasePage.aspx?PRID=2084148</t>
  </si>
  <si>
    <t>ChargingStations_Statewise</t>
  </si>
  <si>
    <t>State-wise public EV charging stations: OPERATIONAL as on 02.02.2024 and INSTALLED as on 01.08.2025</t>
  </si>
  <si>
    <t>MHI Lok Sabha reply 06-Feb-2024 (PRID 2003003, Annexure-II); MHI Rajya Sabha reply 01-Aug-2025 (PRID 2151390, Annexure)</t>
  </si>
  <si>
    <t>https://www.pib.gov.in/PressReleaseIframePage.aspx?PRID=2003003 ; https://www.pib.gov.in/PressReleasePage.aspx?PRID=2151390</t>
  </si>
  <si>
    <t>ElecDemand_FY20_FY25</t>
  </si>
  <si>
    <t>State/UT-wise Energy Requirement vs Energy Supplied (MU), FY2019-20 to FY2023-24 + Apr-Dec 2024</t>
  </si>
  <si>
    <t>Ministry of Power, Rajya Sabha Unstarred Q.No.150, answered 03.02.2025, Annexure-II (compiled from CEA power supply position)</t>
  </si>
  <si>
    <t>https://www.powermin.gov.in/static/uploads/2025/08/5804f7f17e764f9ba1951183379b8e31.pdf</t>
  </si>
  <si>
    <t>Controls_NSDP_Urbanisation</t>
  </si>
  <si>
    <t>State-wise Per Capita NSDP (current &amp; constant, FY2020-21 to FY2022-23) + Urban population % (Census 2011)</t>
  </si>
  <si>
    <t>MoSPI RS reply 24-Jul-2023 (PIB PRID 1942055); MHA LS Q.6458 answered 07.05.2013 (Census 2011 final)</t>
  </si>
  <si>
    <t>https://www.pib.gov.in/Pressreleaseshare.aspx?PRID=1942055&amp;reg=3&amp;lang=2 ; https://www.mha.gov.in/MHA1/Par2017/pdfs/par2013-pdfs/ls-070513/6458.pdf</t>
  </si>
  <si>
    <t>National_Checkpoints</t>
  </si>
  <si>
    <t>National-level timestamped checkpoints for trend anchoring</t>
  </si>
  <si>
    <t>Various Parliament replies via PIB (PRIDs listed per row)</t>
  </si>
  <si>
    <t>See sheet</t>
  </si>
  <si>
    <t>GAPS THE STUDENT MUST FILL DIRECTLY (declared honestly):</t>
  </si>
  <si>
    <t>1. Continuous State x Month series 2023-2026: export from Vahan Dashboard (browser permission was declined for automated extraction). Path: analytics.parivahan.gov.in &gt; Public Dashboard &gt; Fuel filter ELECTRIC(BOV) &gt; group by State &gt; export per calendar year.</t>
  </si>
  <si>
    <t>2. Statewise EV snapshot for late-2025/2026: search sansad.in (LS/RS questions, Winter 2025 &amp; Budget 2026 sessions, Ministry: Heavy Industries / Road Transport) - annexure PDFs carry the tables.</t>
  </si>
  <si>
    <t>3. CEA monthly statewise demand for Jan-2025 onward: cea.nic.in &gt; Monthly Reports &gt; Power Supply. Record report month + download date.</t>
  </si>
  <si>
    <t>VERIFICATION PROTOCOL: for every figure cite (URL, publisher, as-on date, extraction date). All four fields are present in this workbook.</t>
  </si>
  <si>
    <t>State/UT</t>
  </si>
  <si>
    <t>Total Registered EVs as on 03.08.2023</t>
  </si>
  <si>
    <t>Source</t>
  </si>
  <si>
    <t>Timestamp</t>
  </si>
  <si>
    <t>Andaman &amp; Nicobar Island</t>
  </si>
  <si>
    <t>PIB PRID 1947389 | MoRTH, Lok Sabha written reply | https://www.pib.gov.in/PressReleasePage.aspx?PRID=1947389</t>
  </si>
  <si>
    <t>As on 03.08.2023; tabled 10-Aug-2023; Extracted by web fetch on 04-Jul-2026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</si>
  <si>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</si>
  <si>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</si>
  <si>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</si>
  <si>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</si>
  <si>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</si>
  <si>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</si>
  <si>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</si>
  <si>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</si>
  <si>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</si>
  <si>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</si>
  <si>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</si>
  <si>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</si>
  <si>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</si>
  <si>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</si>
  <si>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</si>
  <si>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</si>
  <si>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</si>
  <si>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</si>
  <si>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</si>
  <si>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</si>
  <si>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</si>
  <si>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</si>
  <si>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</si>
  <si>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</si>
  <si>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</si>
  <si>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</si>
  <si>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</si>
  <si>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</si>
  <si>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</si>
  <si>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 of DNH and DD</t>
  </si>
  <si>
    <t>Uttar Pradesh</t>
  </si>
  <si>
    <t>Uttarakhand</t>
  </si>
  <si>
    <t>West Bengal</t>
  </si>
  <si>
    <t>Grand Total (as published: 28,30,565)</t>
  </si>
  <si>
    <t>Note: Telangana and Lakshadweep data not available (not on centralized Vahan 4 at that date) - treat as missing, not zero.</t>
  </si>
  <si>
    <t>National yearly EV registrations (same PIB release):</t>
  </si>
  <si>
    <t>Year</t>
  </si>
  <si>
    <t>EVs registered</t>
  </si>
  <si>
    <t>YoY % (as published)</t>
  </si>
  <si>
    <t>2018</t>
  </si>
  <si>
    <t>-</t>
  </si>
  <si>
    <t>2019</t>
  </si>
  <si>
    <t>28.07%</t>
  </si>
  <si>
    <t>2020</t>
  </si>
  <si>
    <t>-25.28%</t>
  </si>
  <si>
    <t>2021</t>
  </si>
  <si>
    <t>165.91%</t>
  </si>
  <si>
    <t>2022</t>
  </si>
  <si>
    <t>209.17%</t>
  </si>
  <si>
    <t>2023 (till 03-08-2023)</t>
  </si>
  <si>
    <t>Total EV (01/04/2019-31/03/2024)</t>
  </si>
  <si>
    <t>Total Vehicles Sold (01/04/2019-31/03/2024)</t>
  </si>
  <si>
    <t>EV % Share (formula)</t>
  </si>
  <si>
    <t>Source &amp; timestamp</t>
  </si>
  <si>
    <t>UTTAR PRADESH</t>
  </si>
  <si>
    <t>PIB PRID 2084148 | MHI, Rajya Sabha reply tabled 13-Dec-2024 | Source stated: Vahan data | https://www.pib.gov.in/PressReleasePage.aspx?PRID=2084148 | Extracted by web fetch on 04-Jul-2026</t>
  </si>
  <si>
    <t>MAHARASHTRA</t>
  </si>
  <si>
    <t>KARNATAKA</t>
  </si>
  <si>
    <t>TAMIL NADU</t>
  </si>
  <si>
    <t>RAJASTHAN</t>
  </si>
  <si>
    <t>BIHAR</t>
  </si>
  <si>
    <t>DELHI</t>
  </si>
  <si>
    <t>GUJARAT</t>
  </si>
  <si>
    <t>MADHYA PRADESH</t>
  </si>
  <si>
    <t>KERALA</t>
  </si>
  <si>
    <t>ASSAM</t>
  </si>
  <si>
    <t>ODISHA</t>
  </si>
  <si>
    <t>ANDHRA PRADESH</t>
  </si>
  <si>
    <t>CHHATTISGARH</t>
  </si>
  <si>
    <t>HARYANA</t>
  </si>
  <si>
    <t>WEST BENGAL</t>
  </si>
  <si>
    <t>PUNJAB</t>
  </si>
  <si>
    <t>JHARKHAND</t>
  </si>
  <si>
    <t>UTTARAKHAND</t>
  </si>
  <si>
    <t>JAMMU &amp; KASHMIR</t>
  </si>
  <si>
    <t>GOA</t>
  </si>
  <si>
    <t>TRIPURA</t>
  </si>
  <si>
    <t>CHANDIGARH</t>
  </si>
  <si>
    <t>PUDUCHERRY</t>
  </si>
  <si>
    <t>HIMACHAL PRADESH</t>
  </si>
  <si>
    <t>MANIPUR</t>
  </si>
  <si>
    <t>MEGHALAYA</t>
  </si>
  <si>
    <t>MIZORAM</t>
  </si>
  <si>
    <t>UT OF DNH AND DD</t>
  </si>
  <si>
    <t>ANDAMAN &amp; NICOBAR ISLAND</t>
  </si>
  <si>
    <t>LADAKH</t>
  </si>
  <si>
    <t>ARUNACHAL PRADESH</t>
  </si>
  <si>
    <t>NAGALAND</t>
  </si>
  <si>
    <t>LAKSHADWEEP</t>
  </si>
  <si>
    <t>SIKKIM</t>
  </si>
  <si>
    <t>Total (published: 36,39,617 / 10,75,31,040 / 3.38%)</t>
  </si>
  <si>
    <t>Note: Sikkim EV published as '-' (entered 0 per published 0.00% share). Period is cumulative 5-year FY window, not calendar years.</t>
  </si>
  <si>
    <t>Operational PCS as on 02.02.2024</t>
  </si>
  <si>
    <t>Installed EVCS as on 01.08.2025</t>
  </si>
  <si>
    <t>Sources &amp; timestamps</t>
  </si>
  <si>
    <t>Andaman &amp; Nicobar</t>
  </si>
  <si>
    <t>Col B: PIB PRID 2003003 (MHI, Lok Sabha, 06-02-2024) https://www.pib.gov.in/PressReleaseIframePage.aspx?PRID=2003003 | Col C: PIB PRID 2151390 (MHI, Rajya Sabha, 01-08-2025) https://www.pib.gov.in/PressReleasePage.aspx?PRID=2151390 | Extracted by web fetch on 04-Jul-2026</t>
  </si>
  <si>
    <t>DNH &amp; DD</t>
  </si>
  <si>
    <t>Jammu &amp; Kashmir</t>
  </si>
  <si>
    <t>Lakshadweep</t>
  </si>
  <si>
    <t>Telangana</t>
  </si>
  <si>
    <t>Total (published: 12,146 / 29,277)</t>
  </si>
  <si>
    <t>Notes: Feb-2024 annexure omits Ladakh &amp; Mizoram (missing, not zero). Definitions differ: 2024 figure = OPERATIONAL; 2025 figure = INSTALLED. The installed-vs-operational gap is itself a documented finding (Mar-2026 Parliament data reports ~18% non-operational; verify exact table at sansad.in before citing).</t>
  </si>
  <si>
    <t>FY2019-20 Energy Requirement (MU)</t>
  </si>
  <si>
    <t>FY2019-20 Energy Supplied (MU)</t>
  </si>
  <si>
    <t>FY2019-20 Deficit % (formula)</t>
  </si>
  <si>
    <t>FY2020-21 Energy Requirement (MU)</t>
  </si>
  <si>
    <t>FY2020-21 Energy Supplied (MU)</t>
  </si>
  <si>
    <t>FY2020-21 Deficit % (formula)</t>
  </si>
  <si>
    <t>FY2021-22 Energy Requirement (MU)</t>
  </si>
  <si>
    <t>FY2021-22 Energy Supplied (MU)</t>
  </si>
  <si>
    <t>FY2021-22 Deficit % (formula)</t>
  </si>
  <si>
    <t>FY2022-23 Energy Requirement (MU)</t>
  </si>
  <si>
    <t>FY2022-23 Energy Supplied (MU)</t>
  </si>
  <si>
    <t>FY2022-23 Deficit % (formula)</t>
  </si>
  <si>
    <t>FY2023-24 Energy Requirement (MU)</t>
  </si>
  <si>
    <t>FY2023-24 Energy Supplied (MU)</t>
  </si>
  <si>
    <t>FY2023-24 Deficit % (formula)</t>
  </si>
  <si>
    <t>Apr-Dec 2024 (FY25 partial) Energy Requirement (MU)</t>
  </si>
  <si>
    <t>Apr-Dec 2024 (FY25 partial) Energy Supplied (MU)</t>
  </si>
  <si>
    <t>Apr-Dec 2024 (FY25 partial) Deficit % (formula)</t>
  </si>
  <si>
    <t>Ministry of Power, Rajya Sabha Unstarred Q.No.150 answered 03.02.2025, Annexure-II | https://www.powermin.gov.in/static/uploads/2025/08/5804f7f17e764f9ba1951183379b8e31.pdf | Extracted by web fetch on 04-Jul-2026</t>
  </si>
  <si>
    <t>Jammu &amp; Kashmir (incl. Ladakh from FY24)</t>
  </si>
  <si>
    <t>DVC</t>
  </si>
  <si>
    <t>Andaman-Nicobar</t>
  </si>
  <si>
    <t>Sum of listed States/UTs above (formula) - see Note 7</t>
  </si>
  <si>
    <t>All-India AS PUBLISHED (Annexure-I, same RS reply)</t>
  </si>
  <si>
    <t>Notes: (1) MU = Million Units (GWh). (2) FY2019-20 &amp; FY2020-21: source reports Daman &amp; Diu and Dadra &amp; Nagar Haveli separately; this sheet sums the two published rows to match the merged UT reporting used from FY2021-22 onward. (3) J&amp;K row includes Ladakh per source labelling 'UT of J&amp;K and Ladakh' from FY2023-24. (4) DVC = Damodar Valley Corporation, a separate supply area in CEA reporting. (5) Deficit % computed by formula; source separately publishes Energy Not Supplied - minor rounding differences possible. (6) FY2024-25 column is Apr-Dec 2024 only, NOT a full year. (7) IMPORTANT: the published All-India total does NOT equal the sum of listed State/UT rows (e.g., FY2023-24: published 16,26,132 MU vs state-sum 16,14,796 MU). CEA All-India figures include 'Others' categories (HVDC/inter-regional drawal, startup power, etc.) not attributed to any state. Cite the published All-India row for national figures; use state rows for state-level analysis. Declare this reconciliation gap in your methodology.</t>
  </si>
  <si>
    <t>As-on date</t>
  </si>
  <si>
    <t>Metric</t>
  </si>
  <si>
    <t>Value</t>
  </si>
  <si>
    <t>Official source</t>
  </si>
  <si>
    <t>03.08.2023</t>
  </si>
  <si>
    <t>Total registered EVs (Vahan, excl. Telangana/Lakshadweep)</t>
  </si>
  <si>
    <t>28,30,565</t>
  </si>
  <si>
    <t>MoRTH LS reply, PIB PRID 1947389</t>
  </si>
  <si>
    <t>31.03.2024</t>
  </si>
  <si>
    <t>Cumulative EVs FY2019-24 / Total vehicles / EV share</t>
  </si>
  <si>
    <t>36,39,617 / 10,75,31,040 / 3.38%</t>
  </si>
  <si>
    <t>MHI RS reply 13-Dec-2024, PIB PRID 2084148</t>
  </si>
  <si>
    <t>15.12.2024</t>
  </si>
  <si>
    <t>EVs registered in calendar 2024 (Vahan4, as told to Parliament)</t>
  </si>
  <si>
    <t>19,26,172</t>
  </si>
  <si>
    <t>MoRTH reply, Parliament 19-Dec-2024</t>
  </si>
  <si>
    <t>Locate annexure at https://sansad.in</t>
  </si>
  <si>
    <t>08.02.2025</t>
  </si>
  <si>
    <t>Total EVs registered / Total vehicles registered (e-Vahan)</t>
  </si>
  <si>
    <t>56.75 lakh / 3,897.71 lakh</t>
  </si>
  <si>
    <t>MHI LS reply, PIB PRID 2101635</t>
  </si>
  <si>
    <t>https://www.pib.gov.in/PressReleasePage.aspx?PRID=2101635</t>
  </si>
  <si>
    <t>31.12.2022</t>
  </si>
  <si>
    <t>Public charging stations (year-end)</t>
  </si>
  <si>
    <t>5,151 (per data.gov.in year-wise PCS resource, RS Q3929 04-04-2025)</t>
  </si>
  <si>
    <t>data.gov.in / Rajya Sabha</t>
  </si>
  <si>
    <t>https://www.data.gov.in/resource/year-wise-details-public-electric-vehicle-ev-charging-stations-pcs-deployed-country-31st</t>
  </si>
  <si>
    <t>02.02.2024</t>
  </si>
  <si>
    <t>Operational public EV charging stations</t>
  </si>
  <si>
    <t>12,146</t>
  </si>
  <si>
    <t>MHI LS reply, PIB PRID 2003003</t>
  </si>
  <si>
    <t>https://www.pib.gov.in/PressReleaseIframePage.aspx?PRID=2003003</t>
  </si>
  <si>
    <t>10.12.2024</t>
  </si>
  <si>
    <t>Installed public EV charging stations</t>
  </si>
  <si>
    <t>25,202</t>
  </si>
  <si>
    <t>As told to Parliament 19-Dec-2024</t>
  </si>
  <si>
    <t>01.08.2025</t>
  </si>
  <si>
    <t>29,277</t>
  </si>
  <si>
    <t>MHI RS reply, PIB PRID 2151390</t>
  </si>
  <si>
    <t>https://www.pib.gov.in/PressReleasePage.aspx?PRID=2151390</t>
  </si>
  <si>
    <t>FY2023-24</t>
  </si>
  <si>
    <t>All-India Energy Requirement / Supplied (MU)</t>
  </si>
  <si>
    <t>16,26,132 / 16,22,020</t>
  </si>
  <si>
    <t>MoP RS Q150 03-02-2025 Annexure-I</t>
  </si>
  <si>
    <t>PC-NSDP Current Rs FY2020-21</t>
  </si>
  <si>
    <t>PC-NSDP Current Rs FY2021-22</t>
  </si>
  <si>
    <t>PC-NSDP Current Rs FY2022-23</t>
  </si>
  <si>
    <t>PC-NSDP Constant(2011-12) Rs FY2020-21</t>
  </si>
  <si>
    <t>PC-NSDP Constant Rs FY2021-22</t>
  </si>
  <si>
    <t>PC-NSDP Constant Rs FY2022-23</t>
  </si>
  <si>
    <t>Urban Population % (Census 2011)</t>
  </si>
  <si>
    <t>Andaman &amp; Nicobar Islands</t>
  </si>
  <si>
    <t>NA</t>
  </si>
  <si>
    <t>NSDP cols: PIB PRID 1942055, MoSPI Rajya Sabha written reply, 24-Jul-2023, Annexures I &amp; II | https://www.pib.gov.in/Pressreleaseshare.aspx?PRID=1942055&amp;reg=3&amp;lang=2 | Urban %: MHA Lok Sabha Unstarred Q.No.6458 answered 07.05.2013, Annexure-I (Census 2011 final figures released 30.04.2013) | https://www.mha.gov.in/MHA1/Par2017/pdfs/par2013-pdfs/ls-070513/6458.pdf | Extracted by web fetch on 04-Jul-2026</t>
  </si>
  <si>
    <t>see Note 3</t>
  </si>
  <si>
    <t>Andhra Pradesh (undivided, incl. Telangana)</t>
  </si>
  <si>
    <t>Dadra &amp; Nagar Haveli</t>
  </si>
  <si>
    <t>Daman &amp; Diu</t>
  </si>
  <si>
    <t>Notes: (1) 'NA' = Not Available as published by MoSPI. DNH &amp; DD, Ladakh and Lakshadweep do not prepare SDP estimates (as stated in the source). (2) Census 2011 J&amp;K figure includes present-day Ladakh; Daman &amp; Diu and D&amp;N Haveli are separate 2011 rows (merged UT since 2020). (3) Census 2011 predates the 2014 AP-Telangana bifurcation: the 33.4% urban figure is UNDIVIDED AP. Bifurcated Census-2011 urban shares for AP and Telangana exist in RGI re-tabulations / state statistical abstracts - obtain and cite before using in RQ4, do not estimate. (4) Urbanisation is a time-invariant 2011 control; declare this in methodology. (5) For FY2023-24 per-capita income, the pending sources are MOSPI 'State_wise_SDP' XLS (mospi.gov.in, as on 15.03.2024) or RBI Handbook of Statistics on Indian States (CAPTCHA-blocked for automated access; manual download required).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</si>
</sst>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0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Normal="100" workbookViewId="0"/>
  </sheetViews>
  <sheetFormatPr defaultColWidth="8.6640625" defaultRowHeight="14.25" x14ac:dyDescent="0.45"/>
  <cols>
    <col min="1" max="1" width="28" customWidth="1"/>
    <col min="2" max="3" width="60" customWidth="1"/>
    <col min="4" max="4" width="70" customWidth="1"/>
  </cols>
  <sheetData>
    <row r="1" spans="1:4" ht="15" customHeight="1" x14ac:dyDescent="0.45">
      <c r="A1" s="1" t="s">
        <v>0</v>
      </c>
      <c r="B1" s="2"/>
      <c r="C1" s="2"/>
      <c r="D1" s="2"/>
    </row>
    <row r="2" spans="1:4" ht="15" customHeight="1" x14ac:dyDescent="0.45">
      <c r="A2" s="2" t="s">
        <v>1</v>
      </c>
      <c r="B2" s="2"/>
      <c r="C2" s="2"/>
      <c r="D2" s="2"/>
    </row>
    <row r="3" spans="1:4" ht="15" customHeight="1" x14ac:dyDescent="0.45">
      <c r="A3" s="2"/>
      <c r="B3" s="2"/>
      <c r="C3" s="2"/>
      <c r="D3" s="2"/>
    </row>
    <row r="4" spans="1:4" ht="15" customHeight="1" x14ac:dyDescent="0.45">
      <c r="A4" s="3" t="s">
        <v>2</v>
      </c>
      <c r="B4" s="3" t="s">
        <v>3</v>
      </c>
      <c r="C4" s="3" t="s">
        <v>4</v>
      </c>
      <c r="D4" s="3" t="s">
        <v>5</v>
      </c>
    </row>
    <row r="5" spans="1:4" ht="15" customHeight="1" x14ac:dyDescent="0.45">
      <c r="A5" s="2" t="s">
        <v>6</v>
      </c>
      <c r="B5" s="2" t="s">
        <v>7</v>
      </c>
      <c r="C5" s="2" t="s">
        <v>8</v>
      </c>
      <c r="D5" s="2" t="s">
        <v>9</v>
      </c>
    </row>
    <row r="6" spans="1:4" ht="15" customHeight="1" x14ac:dyDescent="0.45">
      <c r="A6" s="2" t="s">
        <v>10</v>
      </c>
      <c r="B6" s="2" t="s">
        <v>11</v>
      </c>
      <c r="C6" s="2" t="s">
        <v>12</v>
      </c>
      <c r="D6" s="2" t="s">
        <v>13</v>
      </c>
    </row>
    <row r="7" spans="1:4" ht="15" customHeight="1" x14ac:dyDescent="0.45">
      <c r="A7" s="2" t="s">
        <v>14</v>
      </c>
      <c r="B7" s="2" t="s">
        <v>15</v>
      </c>
      <c r="C7" s="2" t="s">
        <v>16</v>
      </c>
      <c r="D7" s="2" t="s">
        <v>17</v>
      </c>
    </row>
    <row r="8" spans="1:4" ht="15" customHeight="1" x14ac:dyDescent="0.45">
      <c r="A8" s="2" t="s">
        <v>18</v>
      </c>
      <c r="B8" s="2" t="s">
        <v>19</v>
      </c>
      <c r="C8" s="2" t="s">
        <v>20</v>
      </c>
      <c r="D8" s="2" t="s">
        <v>21</v>
      </c>
    </row>
    <row r="9" spans="1:4" ht="15" customHeight="1" x14ac:dyDescent="0.45">
      <c r="A9" s="2" t="s">
        <v>22</v>
      </c>
      <c r="B9" s="2" t="s">
        <v>23</v>
      </c>
      <c r="C9" s="2" t="s">
        <v>24</v>
      </c>
      <c r="D9" s="2" t="s">
        <v>25</v>
      </c>
    </row>
    <row r="10" spans="1:4" ht="15" customHeight="1" x14ac:dyDescent="0.45">
      <c r="A10" s="2" t="s">
        <v>26</v>
      </c>
      <c r="B10" s="2" t="s">
        <v>27</v>
      </c>
      <c r="C10" s="2" t="s">
        <v>28</v>
      </c>
      <c r="D10" s="2" t="s">
        <v>29</v>
      </c>
    </row>
    <row r="11" spans="1:4" ht="15" customHeight="1" x14ac:dyDescent="0.45">
      <c r="A11" s="2"/>
      <c r="B11" s="2"/>
      <c r="C11" s="2"/>
      <c r="D11" s="2"/>
    </row>
    <row r="12" spans="1:4" ht="15" customHeight="1" x14ac:dyDescent="0.45">
      <c r="A12" s="2" t="s">
        <v>30</v>
      </c>
      <c r="B12" s="2"/>
      <c r="C12" s="2"/>
      <c r="D12" s="2"/>
    </row>
    <row r="13" spans="1:4" ht="15" customHeight="1" x14ac:dyDescent="0.45">
      <c r="A13" s="2" t="s">
        <v>31</v>
      </c>
      <c r="B13" s="2"/>
      <c r="C13" s="2"/>
      <c r="D13" s="2"/>
    </row>
    <row r="14" spans="1:4" ht="15" customHeight="1" x14ac:dyDescent="0.45">
      <c r="A14" s="2" t="s">
        <v>32</v>
      </c>
      <c r="B14" s="2"/>
      <c r="C14" s="2"/>
      <c r="D14" s="2"/>
    </row>
    <row r="15" spans="1:4" ht="15" customHeight="1" x14ac:dyDescent="0.45">
      <c r="A15" s="2" t="s">
        <v>33</v>
      </c>
      <c r="B15" s="2"/>
      <c r="C15" s="2"/>
      <c r="D15" s="2"/>
    </row>
    <row r="16" spans="1:4" x14ac:dyDescent="0.45">
      <c r="A16" s="2" t="s">
        <v>34</v>
      </c>
      <c r="B16" s="2"/>
      <c r="C16" s="2"/>
      <c r="D16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zoomScaleNormal="100" workbookViewId="0"/>
  </sheetViews>
  <sheetFormatPr defaultColWidth="8.6640625" defaultRowHeight="14.25" x14ac:dyDescent="0.45"/>
  <cols>
    <col min="1" max="1" width="32" customWidth="1"/>
    <col min="2" max="2" width="22" customWidth="1"/>
    <col min="3" max="3" width="70" customWidth="1"/>
    <col min="4" max="4" width="45" customWidth="1"/>
  </cols>
  <sheetData>
    <row r="1" spans="1:4" ht="15" customHeight="1" x14ac:dyDescent="0.45">
      <c r="A1" s="3" t="s">
        <v>35</v>
      </c>
      <c r="B1" s="3" t="s">
        <v>36</v>
      </c>
      <c r="C1" s="3" t="s">
        <v>37</v>
      </c>
      <c r="D1" s="3" t="s">
        <v>38</v>
      </c>
    </row>
    <row r="2" spans="1:4" ht="15" customHeight="1" x14ac:dyDescent="0.45">
      <c r="A2" s="2" t="s">
        <v>39</v>
      </c>
      <c r="B2" s="2">
        <v>190</v>
      </c>
      <c r="C2" s="2" t="s">
        <v>40</v>
      </c>
      <c r="D2" s="2" t="s">
        <v>41</v>
      </c>
    </row>
    <row r="3" spans="1:4" ht="15" customHeight="1" x14ac:dyDescent="0.45">
      <c r="A3" s="2" t="s">
        <v>42</v>
      </c>
      <c r="B3" s="2">
        <v>67905</v>
      </c>
      <c r="C3" s="2" t="s">
        <v>40</v>
      </c>
      <c r="D3" s="2" t="s">
        <v>41</v>
      </c>
    </row>
    <row r="4" spans="1:4" ht="15" customHeight="1" x14ac:dyDescent="0.45">
      <c r="A4" s="2" t="s">
        <v>43</v>
      </c>
      <c r="B4" s="2">
        <v>28</v>
      </c>
      <c r="C4" s="2" t="s">
        <v>40</v>
      </c>
      <c r="D4" s="2" t="s">
        <v>41</v>
      </c>
    </row>
    <row r="5" spans="1:4" ht="15" customHeight="1" x14ac:dyDescent="0.45">
      <c r="A5" s="2" t="s">
        <v>44</v>
      </c>
      <c r="B5" s="2">
        <v>120423</v>
      </c>
      <c r="C5" s="2" t="s">
        <v>40</v>
      </c>
      <c r="D5" s="2" t="s">
        <v>41</v>
      </c>
    </row>
    <row r="6" spans="1:4" ht="15" customHeight="1" x14ac:dyDescent="0.45">
      <c r="A6" s="2" t="s">
        <v>45</v>
      </c>
      <c r="B6" s="2">
        <v>161060</v>
      </c>
      <c r="C6" s="2" t="s">
        <v>40</v>
      </c>
      <c r="D6" s="2" t="s">
        <v>41</v>
      </c>
    </row>
    <row r="7" spans="1:4" ht="15" customHeight="1" x14ac:dyDescent="0.45">
      <c r="A7" s="2" t="s">
        <v>46</v>
      </c>
      <c r="B7" s="2">
        <v>7964</v>
      </c>
      <c r="C7" s="2" t="s">
        <v>40</v>
      </c>
      <c r="D7" s="2" t="s">
        <v>41</v>
      </c>
    </row>
    <row r="8" spans="1:4" ht="15" customHeight="1" x14ac:dyDescent="0.45">
      <c r="A8" s="2" t="s">
        <v>47</v>
      </c>
      <c r="B8" s="2">
        <v>54848</v>
      </c>
      <c r="C8" s="2" t="s">
        <v>40</v>
      </c>
      <c r="D8" s="2" t="s">
        <v>41</v>
      </c>
    </row>
    <row r="9" spans="1:4" ht="15" customHeight="1" x14ac:dyDescent="0.45">
      <c r="A9" s="2" t="s">
        <v>48</v>
      </c>
      <c r="B9" s="2">
        <v>233212</v>
      </c>
      <c r="C9" s="2" t="s">
        <v>40</v>
      </c>
      <c r="D9" s="2" t="s">
        <v>41</v>
      </c>
    </row>
    <row r="10" spans="1:4" ht="15" customHeight="1" x14ac:dyDescent="0.45">
      <c r="A10" s="2" t="s">
        <v>49</v>
      </c>
      <c r="B10" s="2">
        <v>12615</v>
      </c>
      <c r="C10" s="2" t="s">
        <v>40</v>
      </c>
      <c r="D10" s="2" t="s">
        <v>41</v>
      </c>
    </row>
    <row r="11" spans="1:4" ht="15" customHeight="1" x14ac:dyDescent="0.45">
      <c r="A11" s="2" t="s">
        <v>50</v>
      </c>
      <c r="B11" s="2">
        <v>138410</v>
      </c>
      <c r="C11" s="2" t="s">
        <v>40</v>
      </c>
      <c r="D11" s="2" t="s">
        <v>41</v>
      </c>
    </row>
    <row r="12" spans="1:4" ht="15" customHeight="1" x14ac:dyDescent="0.45">
      <c r="A12" s="2" t="s">
        <v>51</v>
      </c>
      <c r="B12" s="2">
        <v>69271</v>
      </c>
      <c r="C12" s="2" t="s">
        <v>40</v>
      </c>
      <c r="D12" s="2" t="s">
        <v>41</v>
      </c>
    </row>
    <row r="13" spans="1:4" ht="15" customHeight="1" x14ac:dyDescent="0.45">
      <c r="A13" s="2" t="s">
        <v>52</v>
      </c>
      <c r="B13" s="2">
        <v>2410</v>
      </c>
      <c r="C13" s="2" t="s">
        <v>40</v>
      </c>
      <c r="D13" s="2" t="s">
        <v>41</v>
      </c>
    </row>
    <row r="14" spans="1:4" ht="15" customHeight="1" x14ac:dyDescent="0.45">
      <c r="A14" s="2" t="s">
        <v>53</v>
      </c>
      <c r="B14" s="2">
        <v>10896</v>
      </c>
      <c r="C14" s="2" t="s">
        <v>40</v>
      </c>
      <c r="D14" s="2" t="s">
        <v>41</v>
      </c>
    </row>
    <row r="15" spans="1:4" ht="15" customHeight="1" x14ac:dyDescent="0.45">
      <c r="A15" s="2" t="s">
        <v>54</v>
      </c>
      <c r="B15" s="2">
        <v>36759</v>
      </c>
      <c r="C15" s="2" t="s">
        <v>40</v>
      </c>
      <c r="D15" s="2" t="s">
        <v>41</v>
      </c>
    </row>
    <row r="16" spans="1:4" ht="15" customHeight="1" x14ac:dyDescent="0.45">
      <c r="A16" s="2" t="s">
        <v>55</v>
      </c>
      <c r="B16" s="2">
        <v>248747</v>
      </c>
      <c r="C16" s="2" t="s">
        <v>40</v>
      </c>
      <c r="D16" s="2" t="s">
        <v>41</v>
      </c>
    </row>
    <row r="17" spans="1:4" ht="15" customHeight="1" x14ac:dyDescent="0.45">
      <c r="A17" s="2" t="s">
        <v>56</v>
      </c>
      <c r="B17" s="2">
        <v>98332</v>
      </c>
      <c r="C17" s="2" t="s">
        <v>40</v>
      </c>
      <c r="D17" s="2" t="s">
        <v>41</v>
      </c>
    </row>
    <row r="18" spans="1:4" ht="15" customHeight="1" x14ac:dyDescent="0.45">
      <c r="A18" s="2" t="s">
        <v>57</v>
      </c>
      <c r="B18" s="2">
        <v>65</v>
      </c>
      <c r="C18" s="2" t="s">
        <v>40</v>
      </c>
      <c r="D18" s="2" t="s">
        <v>41</v>
      </c>
    </row>
    <row r="19" spans="1:4" ht="15" customHeight="1" x14ac:dyDescent="0.45">
      <c r="A19" s="2" t="s">
        <v>58</v>
      </c>
      <c r="B19" s="2">
        <v>96151</v>
      </c>
      <c r="C19" s="2" t="s">
        <v>40</v>
      </c>
      <c r="D19" s="2" t="s">
        <v>41</v>
      </c>
    </row>
    <row r="20" spans="1:4" ht="15" customHeight="1" x14ac:dyDescent="0.45">
      <c r="A20" s="2" t="s">
        <v>59</v>
      </c>
      <c r="B20" s="2">
        <v>305006</v>
      </c>
      <c r="C20" s="2" t="s">
        <v>40</v>
      </c>
      <c r="D20" s="2" t="s">
        <v>41</v>
      </c>
    </row>
    <row r="21" spans="1:4" ht="15" customHeight="1" x14ac:dyDescent="0.45">
      <c r="A21" s="2" t="s">
        <v>60</v>
      </c>
      <c r="B21" s="2">
        <v>1203</v>
      </c>
      <c r="C21" s="2" t="s">
        <v>40</v>
      </c>
      <c r="D21" s="2" t="s">
        <v>41</v>
      </c>
    </row>
    <row r="22" spans="1:4" ht="15" customHeight="1" x14ac:dyDescent="0.45">
      <c r="A22" s="2" t="s">
        <v>61</v>
      </c>
      <c r="B22" s="2">
        <v>139</v>
      </c>
      <c r="C22" s="2" t="s">
        <v>40</v>
      </c>
      <c r="D22" s="2" t="s">
        <v>41</v>
      </c>
    </row>
    <row r="23" spans="1:4" ht="15" customHeight="1" x14ac:dyDescent="0.45">
      <c r="A23" s="2" t="s">
        <v>62</v>
      </c>
      <c r="B23" s="2">
        <v>118</v>
      </c>
      <c r="C23" s="2" t="s">
        <v>40</v>
      </c>
      <c r="D23" s="2" t="s">
        <v>41</v>
      </c>
    </row>
    <row r="24" spans="1:4" ht="15" customHeight="1" x14ac:dyDescent="0.45">
      <c r="A24" s="2" t="s">
        <v>63</v>
      </c>
      <c r="B24" s="2">
        <v>62</v>
      </c>
      <c r="C24" s="2" t="s">
        <v>40</v>
      </c>
      <c r="D24" s="2" t="s">
        <v>41</v>
      </c>
    </row>
    <row r="25" spans="1:4" ht="15" customHeight="1" x14ac:dyDescent="0.45">
      <c r="A25" s="2" t="s">
        <v>64</v>
      </c>
      <c r="B25" s="2">
        <v>62567</v>
      </c>
      <c r="C25" s="2" t="s">
        <v>40</v>
      </c>
      <c r="D25" s="2" t="s">
        <v>41</v>
      </c>
    </row>
    <row r="26" spans="1:4" ht="15" customHeight="1" x14ac:dyDescent="0.45">
      <c r="A26" s="2" t="s">
        <v>65</v>
      </c>
      <c r="B26" s="2">
        <v>4588</v>
      </c>
      <c r="C26" s="2" t="s">
        <v>40</v>
      </c>
      <c r="D26" s="2" t="s">
        <v>41</v>
      </c>
    </row>
    <row r="27" spans="1:4" ht="15" customHeight="1" x14ac:dyDescent="0.45">
      <c r="A27" s="2" t="s">
        <v>66</v>
      </c>
      <c r="B27" s="2">
        <v>35727</v>
      </c>
      <c r="C27" s="2" t="s">
        <v>40</v>
      </c>
      <c r="D27" s="2" t="s">
        <v>41</v>
      </c>
    </row>
    <row r="28" spans="1:4" ht="15" customHeight="1" x14ac:dyDescent="0.45">
      <c r="A28" s="2" t="s">
        <v>67</v>
      </c>
      <c r="B28" s="2">
        <v>180670</v>
      </c>
      <c r="C28" s="2" t="s">
        <v>40</v>
      </c>
      <c r="D28" s="2" t="s">
        <v>41</v>
      </c>
    </row>
    <row r="29" spans="1:4" ht="15" customHeight="1" x14ac:dyDescent="0.45">
      <c r="A29" s="2" t="s">
        <v>68</v>
      </c>
      <c r="B29" s="2">
        <v>20</v>
      </c>
      <c r="C29" s="2" t="s">
        <v>40</v>
      </c>
      <c r="D29" s="2" t="s">
        <v>41</v>
      </c>
    </row>
    <row r="30" spans="1:4" ht="15" customHeight="1" x14ac:dyDescent="0.45">
      <c r="A30" s="2" t="s">
        <v>69</v>
      </c>
      <c r="B30" s="2">
        <v>173152</v>
      </c>
      <c r="C30" s="2" t="s">
        <v>40</v>
      </c>
      <c r="D30" s="2" t="s">
        <v>41</v>
      </c>
    </row>
    <row r="31" spans="1:4" ht="15" customHeight="1" x14ac:dyDescent="0.45">
      <c r="A31" s="2" t="s">
        <v>70</v>
      </c>
      <c r="B31" s="2">
        <v>14839</v>
      </c>
      <c r="C31" s="2" t="s">
        <v>40</v>
      </c>
      <c r="D31" s="2" t="s">
        <v>41</v>
      </c>
    </row>
    <row r="32" spans="1:4" ht="15" customHeight="1" x14ac:dyDescent="0.45">
      <c r="A32" s="2" t="s">
        <v>71</v>
      </c>
      <c r="B32" s="2">
        <v>354</v>
      </c>
      <c r="C32" s="2" t="s">
        <v>40</v>
      </c>
      <c r="D32" s="2" t="s">
        <v>41</v>
      </c>
    </row>
    <row r="33" spans="1:4" ht="15" customHeight="1" x14ac:dyDescent="0.45">
      <c r="A33" s="2" t="s">
        <v>72</v>
      </c>
      <c r="B33" s="2">
        <v>574967</v>
      </c>
      <c r="C33" s="2" t="s">
        <v>40</v>
      </c>
      <c r="D33" s="2" t="s">
        <v>41</v>
      </c>
    </row>
    <row r="34" spans="1:4" ht="15" customHeight="1" x14ac:dyDescent="0.45">
      <c r="A34" s="2" t="s">
        <v>73</v>
      </c>
      <c r="B34" s="2">
        <v>49491</v>
      </c>
      <c r="C34" s="2" t="s">
        <v>40</v>
      </c>
      <c r="D34" s="2" t="s">
        <v>41</v>
      </c>
    </row>
    <row r="35" spans="1:4" ht="15" customHeight="1" x14ac:dyDescent="0.45">
      <c r="A35" s="2" t="s">
        <v>74</v>
      </c>
      <c r="B35" s="2">
        <v>68376</v>
      </c>
      <c r="C35" s="2" t="s">
        <v>40</v>
      </c>
      <c r="D35" s="2" t="s">
        <v>41</v>
      </c>
    </row>
    <row r="36" spans="1:4" ht="15" customHeight="1" x14ac:dyDescent="0.45">
      <c r="A36" s="2" t="s">
        <v>75</v>
      </c>
      <c r="B36" s="2">
        <f>SUM(B2:B35)</f>
        <v>2830565</v>
      </c>
      <c r="C36" s="2"/>
      <c r="D36" s="2"/>
    </row>
    <row r="37" spans="1:4" ht="15" customHeight="1" x14ac:dyDescent="0.45">
      <c r="A37" s="2"/>
      <c r="B37" s="2"/>
      <c r="C37" s="2"/>
      <c r="D37" s="2"/>
    </row>
    <row r="38" spans="1:4" ht="15" customHeight="1" x14ac:dyDescent="0.45">
      <c r="A38" s="2" t="s">
        <v>76</v>
      </c>
      <c r="B38" s="2"/>
      <c r="C38" s="2"/>
      <c r="D38" s="2"/>
    </row>
    <row r="39" spans="1:4" ht="15" customHeight="1" x14ac:dyDescent="0.45">
      <c r="A39" s="2"/>
      <c r="B39" s="2"/>
      <c r="C39" s="2"/>
      <c r="D39" s="2"/>
    </row>
    <row r="40" spans="1:4" ht="15" customHeight="1" x14ac:dyDescent="0.45">
      <c r="A40" s="2" t="s">
        <v>77</v>
      </c>
      <c r="B40" s="2"/>
      <c r="C40" s="2"/>
      <c r="D40" s="2"/>
    </row>
    <row r="41" spans="1:4" ht="15" customHeight="1" x14ac:dyDescent="0.45">
      <c r="A41" s="2" t="s">
        <v>78</v>
      </c>
      <c r="B41" s="2" t="s">
        <v>79</v>
      </c>
      <c r="C41" s="2" t="s">
        <v>80</v>
      </c>
      <c r="D41" s="2"/>
    </row>
    <row r="42" spans="1:4" ht="15" customHeight="1" x14ac:dyDescent="0.45">
      <c r="A42" s="2" t="s">
        <v>81</v>
      </c>
      <c r="B42" s="2">
        <v>130254</v>
      </c>
      <c r="C42" s="2" t="s">
        <v>82</v>
      </c>
      <c r="D42" s="2"/>
    </row>
    <row r="43" spans="1:4" ht="15" customHeight="1" x14ac:dyDescent="0.45">
      <c r="A43" s="2" t="s">
        <v>83</v>
      </c>
      <c r="B43" s="2">
        <v>166822</v>
      </c>
      <c r="C43" s="2" t="s">
        <v>84</v>
      </c>
      <c r="D43" s="2"/>
    </row>
    <row r="44" spans="1:4" ht="15" customHeight="1" x14ac:dyDescent="0.45">
      <c r="A44" s="2" t="s">
        <v>85</v>
      </c>
      <c r="B44" s="2">
        <v>124654</v>
      </c>
      <c r="C44" s="2" t="s">
        <v>86</v>
      </c>
      <c r="D44" s="2"/>
    </row>
    <row r="45" spans="1:4" ht="15" customHeight="1" x14ac:dyDescent="0.45">
      <c r="A45" s="2" t="s">
        <v>87</v>
      </c>
      <c r="B45" s="2">
        <v>331466</v>
      </c>
      <c r="C45" s="2" t="s">
        <v>88</v>
      </c>
      <c r="D45" s="2"/>
    </row>
    <row r="46" spans="1:4" ht="15" customHeight="1" x14ac:dyDescent="0.45">
      <c r="A46" s="2" t="s">
        <v>89</v>
      </c>
      <c r="B46" s="2">
        <v>1024808</v>
      </c>
      <c r="C46" s="2" t="s">
        <v>90</v>
      </c>
      <c r="D46" s="2"/>
    </row>
    <row r="47" spans="1:4" ht="15" customHeight="1" x14ac:dyDescent="0.45">
      <c r="A47" s="2" t="s">
        <v>91</v>
      </c>
      <c r="B47" s="2">
        <v>847439</v>
      </c>
      <c r="C47" s="2" t="s">
        <v>82</v>
      </c>
      <c r="D47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zoomScaleNormal="100" workbookViewId="0"/>
  </sheetViews>
  <sheetFormatPr defaultColWidth="8.6640625" defaultRowHeight="14.25" x14ac:dyDescent="0.45"/>
  <cols>
    <col min="1" max="1" width="30" customWidth="1"/>
    <col min="2" max="2" width="26" customWidth="1"/>
    <col min="3" max="3" width="32" customWidth="1"/>
    <col min="4" max="4" width="16" customWidth="1"/>
    <col min="5" max="5" width="80" customWidth="1"/>
  </cols>
  <sheetData>
    <row r="1" spans="1:5" ht="15" customHeight="1" x14ac:dyDescent="0.45">
      <c r="A1" s="3" t="s">
        <v>35</v>
      </c>
      <c r="B1" s="3" t="s">
        <v>92</v>
      </c>
      <c r="C1" s="3" t="s">
        <v>93</v>
      </c>
      <c r="D1" s="3" t="s">
        <v>94</v>
      </c>
      <c r="E1" s="3" t="s">
        <v>95</v>
      </c>
    </row>
    <row r="2" spans="1:5" ht="15" customHeight="1" x14ac:dyDescent="0.45">
      <c r="A2" s="2" t="s">
        <v>96</v>
      </c>
      <c r="B2" s="2">
        <v>665247</v>
      </c>
      <c r="C2" s="2">
        <v>15317699</v>
      </c>
      <c r="D2" s="4">
        <f t="shared" ref="D2:D36" si="0">IF(C2=0,0,B2/C2)</f>
        <v>4.3429956418388947E-2</v>
      </c>
      <c r="E2" s="2" t="s">
        <v>97</v>
      </c>
    </row>
    <row r="3" spans="1:5" ht="15" customHeight="1" x14ac:dyDescent="0.45">
      <c r="A3" s="2" t="s">
        <v>98</v>
      </c>
      <c r="B3" s="2">
        <v>439358</v>
      </c>
      <c r="C3" s="2">
        <v>11055082</v>
      </c>
      <c r="D3" s="4">
        <f t="shared" si="0"/>
        <v>3.9742626965589223E-2</v>
      </c>
      <c r="E3" s="2"/>
    </row>
    <row r="4" spans="1:5" ht="15" customHeight="1" x14ac:dyDescent="0.45">
      <c r="A4" s="2" t="s">
        <v>99</v>
      </c>
      <c r="B4" s="2">
        <v>350810</v>
      </c>
      <c r="C4" s="2">
        <v>7315250</v>
      </c>
      <c r="D4" s="4">
        <f t="shared" si="0"/>
        <v>4.7955982365606095E-2</v>
      </c>
      <c r="E4" s="2"/>
    </row>
    <row r="5" spans="1:5" ht="15" customHeight="1" x14ac:dyDescent="0.45">
      <c r="A5" s="2" t="s">
        <v>100</v>
      </c>
      <c r="B5" s="2">
        <v>228850</v>
      </c>
      <c r="C5" s="2">
        <v>8476042</v>
      </c>
      <c r="D5" s="4">
        <f t="shared" si="0"/>
        <v>2.6999630251950145E-2</v>
      </c>
      <c r="E5" s="2"/>
    </row>
    <row r="6" spans="1:5" ht="15" customHeight="1" x14ac:dyDescent="0.45">
      <c r="A6" s="2" t="s">
        <v>101</v>
      </c>
      <c r="B6" s="2">
        <v>233503</v>
      </c>
      <c r="C6" s="2">
        <v>6490725</v>
      </c>
      <c r="D6" s="4">
        <f t="shared" si="0"/>
        <v>3.5974871836351098E-2</v>
      </c>
      <c r="E6" s="2"/>
    </row>
    <row r="7" spans="1:5" ht="15" customHeight="1" x14ac:dyDescent="0.45">
      <c r="A7" s="2" t="s">
        <v>102</v>
      </c>
      <c r="B7" s="2">
        <v>214921</v>
      </c>
      <c r="C7" s="2">
        <v>5763437</v>
      </c>
      <c r="D7" s="4">
        <f t="shared" si="0"/>
        <v>3.7290422364294085E-2</v>
      </c>
      <c r="E7" s="2"/>
    </row>
    <row r="8" spans="1:5" ht="15" customHeight="1" x14ac:dyDescent="0.45">
      <c r="A8" s="2" t="s">
        <v>103</v>
      </c>
      <c r="B8" s="2">
        <v>216084</v>
      </c>
      <c r="C8" s="2">
        <v>2799571</v>
      </c>
      <c r="D8" s="4">
        <f t="shared" si="0"/>
        <v>7.7184682938921709E-2</v>
      </c>
      <c r="E8" s="2"/>
    </row>
    <row r="9" spans="1:5" ht="15" customHeight="1" x14ac:dyDescent="0.45">
      <c r="A9" s="2" t="s">
        <v>104</v>
      </c>
      <c r="B9" s="2">
        <v>191185</v>
      </c>
      <c r="C9" s="2">
        <v>7450473</v>
      </c>
      <c r="D9" s="4">
        <f t="shared" si="0"/>
        <v>2.5660786905744106E-2</v>
      </c>
      <c r="E9" s="2"/>
    </row>
    <row r="10" spans="1:5" ht="15" customHeight="1" x14ac:dyDescent="0.45">
      <c r="A10" s="2" t="s">
        <v>105</v>
      </c>
      <c r="B10" s="2">
        <v>144782</v>
      </c>
      <c r="C10" s="2">
        <v>6812437</v>
      </c>
      <c r="D10" s="4">
        <f t="shared" si="0"/>
        <v>2.1252600207532193E-2</v>
      </c>
      <c r="E10" s="2"/>
    </row>
    <row r="11" spans="1:5" ht="15" customHeight="1" x14ac:dyDescent="0.45">
      <c r="A11" s="2" t="s">
        <v>106</v>
      </c>
      <c r="B11" s="2">
        <v>151029</v>
      </c>
      <c r="C11" s="2">
        <v>3781393</v>
      </c>
      <c r="D11" s="4">
        <f t="shared" si="0"/>
        <v>3.9940043259190462E-2</v>
      </c>
      <c r="E11" s="2"/>
    </row>
    <row r="12" spans="1:5" ht="15" customHeight="1" x14ac:dyDescent="0.45">
      <c r="A12" s="2" t="s">
        <v>107</v>
      </c>
      <c r="B12" s="2">
        <v>150617</v>
      </c>
      <c r="C12" s="2">
        <v>2599986</v>
      </c>
      <c r="D12" s="4">
        <f t="shared" si="0"/>
        <v>5.7929927314993232E-2</v>
      </c>
      <c r="E12" s="2"/>
    </row>
    <row r="13" spans="1:5" ht="15" customHeight="1" x14ac:dyDescent="0.45">
      <c r="A13" s="2" t="s">
        <v>108</v>
      </c>
      <c r="B13" s="2">
        <v>97056</v>
      </c>
      <c r="C13" s="2">
        <v>3355237</v>
      </c>
      <c r="D13" s="4">
        <f t="shared" si="0"/>
        <v>2.8926719632622076E-2</v>
      </c>
      <c r="E13" s="2"/>
    </row>
    <row r="14" spans="1:5" ht="15" customHeight="1" x14ac:dyDescent="0.45">
      <c r="A14" s="2" t="s">
        <v>109</v>
      </c>
      <c r="B14" s="2">
        <v>88534</v>
      </c>
      <c r="C14" s="2">
        <v>4772995</v>
      </c>
      <c r="D14" s="4">
        <f t="shared" si="0"/>
        <v>1.8548940445150267E-2</v>
      </c>
      <c r="E14" s="2"/>
    </row>
    <row r="15" spans="1:5" ht="15" customHeight="1" x14ac:dyDescent="0.45">
      <c r="A15" s="2" t="s">
        <v>110</v>
      </c>
      <c r="B15" s="2">
        <v>80348</v>
      </c>
      <c r="C15" s="2">
        <v>2656935</v>
      </c>
      <c r="D15" s="4">
        <f t="shared" si="0"/>
        <v>3.0240860239335927E-2</v>
      </c>
      <c r="E15" s="2"/>
    </row>
    <row r="16" spans="1:5" ht="15" customHeight="1" x14ac:dyDescent="0.45">
      <c r="A16" s="2" t="s">
        <v>111</v>
      </c>
      <c r="B16" s="2">
        <v>81775</v>
      </c>
      <c r="C16" s="2">
        <v>3703954</v>
      </c>
      <c r="D16" s="4">
        <f t="shared" si="0"/>
        <v>2.2077757985115364E-2</v>
      </c>
      <c r="E16" s="2"/>
    </row>
    <row r="17" spans="1:5" ht="15" customHeight="1" x14ac:dyDescent="0.45">
      <c r="A17" s="2" t="s">
        <v>112</v>
      </c>
      <c r="B17" s="2">
        <v>69220</v>
      </c>
      <c r="C17" s="2">
        <v>5099551</v>
      </c>
      <c r="D17" s="4">
        <f t="shared" si="0"/>
        <v>1.3573744041387174E-2</v>
      </c>
      <c r="E17" s="2"/>
    </row>
    <row r="18" spans="1:5" ht="15" customHeight="1" x14ac:dyDescent="0.45">
      <c r="A18" s="2" t="s">
        <v>113</v>
      </c>
      <c r="B18" s="2">
        <v>56459</v>
      </c>
      <c r="C18" s="2">
        <v>2973281</v>
      </c>
      <c r="D18" s="4">
        <f t="shared" si="0"/>
        <v>1.8988787134482075E-2</v>
      </c>
      <c r="E18" s="2"/>
    </row>
    <row r="19" spans="1:5" ht="15" customHeight="1" x14ac:dyDescent="0.45">
      <c r="A19" s="2" t="s">
        <v>114</v>
      </c>
      <c r="B19" s="2">
        <v>47400</v>
      </c>
      <c r="C19" s="2">
        <v>2545053</v>
      </c>
      <c r="D19" s="4">
        <f t="shared" si="0"/>
        <v>1.8624366565254239E-2</v>
      </c>
      <c r="E19" s="2"/>
    </row>
    <row r="20" spans="1:5" ht="15" customHeight="1" x14ac:dyDescent="0.45">
      <c r="A20" s="2" t="s">
        <v>115</v>
      </c>
      <c r="B20" s="2">
        <v>48522</v>
      </c>
      <c r="C20" s="2">
        <v>1120010</v>
      </c>
      <c r="D20" s="4">
        <f t="shared" si="0"/>
        <v>4.3322827474754688E-2</v>
      </c>
      <c r="E20" s="2"/>
    </row>
    <row r="21" spans="1:5" ht="15" customHeight="1" x14ac:dyDescent="0.45">
      <c r="A21" s="2" t="s">
        <v>116</v>
      </c>
      <c r="B21" s="2">
        <v>19099</v>
      </c>
      <c r="C21" s="2">
        <v>823164</v>
      </c>
      <c r="D21" s="4">
        <f t="shared" si="0"/>
        <v>2.3201937888440213E-2</v>
      </c>
      <c r="E21" s="2"/>
    </row>
    <row r="22" spans="1:5" ht="15" customHeight="1" x14ac:dyDescent="0.45">
      <c r="A22" s="2" t="s">
        <v>117</v>
      </c>
      <c r="B22" s="2">
        <v>20330</v>
      </c>
      <c r="C22" s="2">
        <v>323748</v>
      </c>
      <c r="D22" s="4">
        <f t="shared" si="0"/>
        <v>6.27957547228091E-2</v>
      </c>
      <c r="E22" s="2"/>
    </row>
    <row r="23" spans="1:5" ht="15" customHeight="1" x14ac:dyDescent="0.45">
      <c r="A23" s="2" t="s">
        <v>118</v>
      </c>
      <c r="B23" s="2">
        <v>20113</v>
      </c>
      <c r="C23" s="2">
        <v>264004</v>
      </c>
      <c r="D23" s="4">
        <f t="shared" si="0"/>
        <v>7.6184451750731047E-2</v>
      </c>
      <c r="E23" s="2"/>
    </row>
    <row r="24" spans="1:5" ht="15" customHeight="1" x14ac:dyDescent="0.45">
      <c r="A24" s="2" t="s">
        <v>119</v>
      </c>
      <c r="B24" s="2">
        <v>12375</v>
      </c>
      <c r="C24" s="2">
        <v>219391</v>
      </c>
      <c r="D24" s="4">
        <f t="shared" si="0"/>
        <v>5.6406142457985968E-2</v>
      </c>
      <c r="E24" s="2"/>
    </row>
    <row r="25" spans="1:5" ht="15" customHeight="1" x14ac:dyDescent="0.45">
      <c r="A25" s="2" t="s">
        <v>120</v>
      </c>
      <c r="B25" s="2">
        <v>5933</v>
      </c>
      <c r="C25" s="2">
        <v>252488</v>
      </c>
      <c r="D25" s="4">
        <f t="shared" si="0"/>
        <v>2.3498146446563797E-2</v>
      </c>
      <c r="E25" s="2"/>
    </row>
    <row r="26" spans="1:5" ht="15" customHeight="1" x14ac:dyDescent="0.45">
      <c r="A26" s="2" t="s">
        <v>121</v>
      </c>
      <c r="B26" s="2">
        <v>3043</v>
      </c>
      <c r="C26" s="2">
        <v>636556</v>
      </c>
      <c r="D26" s="4">
        <f t="shared" si="0"/>
        <v>4.7804120925731596E-3</v>
      </c>
      <c r="E26" s="2"/>
    </row>
    <row r="27" spans="1:5" ht="15" customHeight="1" x14ac:dyDescent="0.45">
      <c r="A27" s="2" t="s">
        <v>122</v>
      </c>
      <c r="B27" s="2">
        <v>1273</v>
      </c>
      <c r="C27" s="2">
        <v>168310</v>
      </c>
      <c r="D27" s="4">
        <f t="shared" si="0"/>
        <v>7.5634246331174621E-3</v>
      </c>
      <c r="E27" s="2"/>
    </row>
    <row r="28" spans="1:5" ht="15" customHeight="1" x14ac:dyDescent="0.45">
      <c r="A28" s="2" t="s">
        <v>123</v>
      </c>
      <c r="B28" s="2">
        <v>572</v>
      </c>
      <c r="C28" s="2">
        <v>162249</v>
      </c>
      <c r="D28" s="4">
        <f t="shared" si="0"/>
        <v>3.5254454572909541E-3</v>
      </c>
      <c r="E28" s="2"/>
    </row>
    <row r="29" spans="1:5" ht="15" customHeight="1" x14ac:dyDescent="0.45">
      <c r="A29" s="2" t="s">
        <v>124</v>
      </c>
      <c r="B29" s="2">
        <v>344</v>
      </c>
      <c r="C29" s="2">
        <v>136845</v>
      </c>
      <c r="D29" s="4">
        <f t="shared" si="0"/>
        <v>2.5137929774562461E-3</v>
      </c>
      <c r="E29" s="2"/>
    </row>
    <row r="30" spans="1:5" ht="15" customHeight="1" x14ac:dyDescent="0.45">
      <c r="A30" s="2" t="s">
        <v>125</v>
      </c>
      <c r="B30" s="2">
        <v>468</v>
      </c>
      <c r="C30" s="2">
        <v>90571</v>
      </c>
      <c r="D30" s="4">
        <f t="shared" si="0"/>
        <v>5.1672168795751398E-3</v>
      </c>
      <c r="E30" s="2"/>
    </row>
    <row r="31" spans="1:5" ht="15" customHeight="1" x14ac:dyDescent="0.45">
      <c r="A31" s="2" t="s">
        <v>126</v>
      </c>
      <c r="B31" s="2">
        <v>191</v>
      </c>
      <c r="C31" s="2">
        <v>35896</v>
      </c>
      <c r="D31" s="4">
        <f t="shared" si="0"/>
        <v>5.3209271227991975E-3</v>
      </c>
      <c r="E31" s="2"/>
    </row>
    <row r="32" spans="1:5" ht="15" customHeight="1" x14ac:dyDescent="0.45">
      <c r="A32" s="2" t="s">
        <v>127</v>
      </c>
      <c r="B32" s="2">
        <v>88</v>
      </c>
      <c r="C32" s="2">
        <v>19645</v>
      </c>
      <c r="D32" s="4">
        <f t="shared" si="0"/>
        <v>4.4795113260371593E-3</v>
      </c>
      <c r="E32" s="2"/>
    </row>
    <row r="33" spans="1:5" ht="15" customHeight="1" x14ac:dyDescent="0.45">
      <c r="A33" s="2" t="s">
        <v>128</v>
      </c>
      <c r="B33" s="2">
        <v>42</v>
      </c>
      <c r="C33" s="2">
        <v>137145</v>
      </c>
      <c r="D33" s="4">
        <f t="shared" si="0"/>
        <v>3.0624521491851692E-4</v>
      </c>
      <c r="E33" s="2"/>
    </row>
    <row r="34" spans="1:5" ht="15" customHeight="1" x14ac:dyDescent="0.45">
      <c r="A34" s="2" t="s">
        <v>129</v>
      </c>
      <c r="B34" s="2">
        <v>27</v>
      </c>
      <c r="C34" s="2">
        <v>119281</v>
      </c>
      <c r="D34" s="4">
        <f t="shared" si="0"/>
        <v>2.2635625120513746E-4</v>
      </c>
      <c r="E34" s="2"/>
    </row>
    <row r="35" spans="1:5" ht="15" customHeight="1" x14ac:dyDescent="0.45">
      <c r="A35" s="2" t="s">
        <v>130</v>
      </c>
      <c r="B35" s="2">
        <v>19</v>
      </c>
      <c r="C35" s="2">
        <v>2752</v>
      </c>
      <c r="D35" s="4">
        <f t="shared" si="0"/>
        <v>6.9040697674418606E-3</v>
      </c>
      <c r="E35" s="2"/>
    </row>
    <row r="36" spans="1:5" ht="15" customHeight="1" x14ac:dyDescent="0.45">
      <c r="A36" s="2" t="s">
        <v>131</v>
      </c>
      <c r="B36" s="2">
        <v>0</v>
      </c>
      <c r="C36" s="2">
        <v>49884</v>
      </c>
      <c r="D36" s="4">
        <f t="shared" si="0"/>
        <v>0</v>
      </c>
      <c r="E36" s="2"/>
    </row>
    <row r="37" spans="1:5" ht="15" customHeight="1" x14ac:dyDescent="0.45">
      <c r="A37" s="2" t="s">
        <v>132</v>
      </c>
      <c r="B37" s="2">
        <f>SUM(B2:B36)</f>
        <v>3639617</v>
      </c>
      <c r="C37" s="2">
        <f>SUM(C2:C36)</f>
        <v>107531040</v>
      </c>
      <c r="D37" s="4">
        <f>B37/C37</f>
        <v>3.3847129163820974E-2</v>
      </c>
      <c r="E37" s="2"/>
    </row>
    <row r="38" spans="1:5" ht="15" customHeight="1" x14ac:dyDescent="0.45">
      <c r="A38" s="2"/>
      <c r="B38" s="2"/>
      <c r="C38" s="2"/>
      <c r="D38" s="2"/>
      <c r="E38" s="2"/>
    </row>
    <row r="39" spans="1:5" ht="15" customHeight="1" x14ac:dyDescent="0.45">
      <c r="A39" s="2" t="s">
        <v>133</v>
      </c>
      <c r="B39" s="2"/>
      <c r="C39" s="2"/>
      <c r="D39" s="2"/>
      <c r="E39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"/>
  <sheetViews>
    <sheetView zoomScaleNormal="100" workbookViewId="0"/>
  </sheetViews>
  <sheetFormatPr defaultColWidth="8.6640625" defaultRowHeight="14.25" x14ac:dyDescent="0.45"/>
  <cols>
    <col min="1" max="3" width="26" customWidth="1"/>
    <col min="4" max="4" width="90" customWidth="1"/>
  </cols>
  <sheetData>
    <row r="1" spans="1:4" ht="15" customHeight="1" x14ac:dyDescent="0.45">
      <c r="A1" s="3" t="s">
        <v>35</v>
      </c>
      <c r="B1" s="3" t="s">
        <v>134</v>
      </c>
      <c r="C1" s="3" t="s">
        <v>135</v>
      </c>
      <c r="D1" s="3" t="s">
        <v>136</v>
      </c>
    </row>
    <row r="2" spans="1:4" ht="15" customHeight="1" x14ac:dyDescent="0.45">
      <c r="A2" s="2" t="s">
        <v>137</v>
      </c>
      <c r="B2" s="2">
        <v>3</v>
      </c>
      <c r="C2" s="2">
        <v>4</v>
      </c>
      <c r="D2" s="2" t="s">
        <v>138</v>
      </c>
    </row>
    <row r="3" spans="1:4" ht="15" customHeight="1" x14ac:dyDescent="0.45">
      <c r="A3" s="2" t="s">
        <v>42</v>
      </c>
      <c r="B3" s="2">
        <v>327</v>
      </c>
      <c r="C3" s="2">
        <v>793</v>
      </c>
      <c r="D3" s="2"/>
    </row>
    <row r="4" spans="1:4" ht="15" customHeight="1" x14ac:dyDescent="0.45">
      <c r="A4" s="2" t="s">
        <v>43</v>
      </c>
      <c r="B4" s="2">
        <v>9</v>
      </c>
      <c r="C4" s="2">
        <v>47</v>
      </c>
      <c r="D4" s="2"/>
    </row>
    <row r="5" spans="1:4" ht="15" customHeight="1" x14ac:dyDescent="0.45">
      <c r="A5" s="2" t="s">
        <v>44</v>
      </c>
      <c r="B5" s="2">
        <v>86</v>
      </c>
      <c r="C5" s="2">
        <v>344</v>
      </c>
      <c r="D5" s="2"/>
    </row>
    <row r="6" spans="1:4" ht="15" customHeight="1" x14ac:dyDescent="0.45">
      <c r="A6" s="2" t="s">
        <v>45</v>
      </c>
      <c r="B6" s="2">
        <v>124</v>
      </c>
      <c r="C6" s="2">
        <v>521</v>
      </c>
      <c r="D6" s="2"/>
    </row>
    <row r="7" spans="1:4" ht="15" customHeight="1" x14ac:dyDescent="0.45">
      <c r="A7" s="2" t="s">
        <v>46</v>
      </c>
      <c r="B7" s="2">
        <v>12</v>
      </c>
      <c r="C7" s="2">
        <v>14</v>
      </c>
      <c r="D7" s="2"/>
    </row>
    <row r="8" spans="1:4" ht="15" customHeight="1" x14ac:dyDescent="0.45">
      <c r="A8" s="2" t="s">
        <v>47</v>
      </c>
      <c r="B8" s="2">
        <v>149</v>
      </c>
      <c r="C8" s="2">
        <v>346</v>
      </c>
      <c r="D8" s="2"/>
    </row>
    <row r="9" spans="1:4" ht="15" customHeight="1" x14ac:dyDescent="0.45">
      <c r="A9" s="2" t="s">
        <v>139</v>
      </c>
      <c r="B9" s="2">
        <v>1</v>
      </c>
      <c r="C9" s="2">
        <v>9</v>
      </c>
      <c r="D9" s="2"/>
    </row>
    <row r="10" spans="1:4" ht="15" customHeight="1" x14ac:dyDescent="0.45">
      <c r="A10" s="2" t="s">
        <v>48</v>
      </c>
      <c r="B10" s="2">
        <v>1886</v>
      </c>
      <c r="C10" s="2">
        <v>1967</v>
      </c>
      <c r="D10" s="2"/>
    </row>
    <row r="11" spans="1:4" ht="15" customHeight="1" x14ac:dyDescent="0.45">
      <c r="A11" s="2" t="s">
        <v>49</v>
      </c>
      <c r="B11" s="2">
        <v>113</v>
      </c>
      <c r="C11" s="2">
        <v>158</v>
      </c>
      <c r="D11" s="2"/>
    </row>
    <row r="12" spans="1:4" ht="15" customHeight="1" x14ac:dyDescent="0.45">
      <c r="A12" s="2" t="s">
        <v>50</v>
      </c>
      <c r="B12" s="2">
        <v>476</v>
      </c>
      <c r="C12" s="2">
        <v>1208</v>
      </c>
      <c r="D12" s="2"/>
    </row>
    <row r="13" spans="1:4" ht="15" customHeight="1" x14ac:dyDescent="0.45">
      <c r="A13" s="2" t="s">
        <v>51</v>
      </c>
      <c r="B13" s="2">
        <v>377</v>
      </c>
      <c r="C13" s="2">
        <v>935</v>
      </c>
      <c r="D13" s="2"/>
    </row>
    <row r="14" spans="1:4" ht="15" customHeight="1" x14ac:dyDescent="0.45">
      <c r="A14" s="2" t="s">
        <v>52</v>
      </c>
      <c r="B14" s="2">
        <v>44</v>
      </c>
      <c r="C14" s="2">
        <v>137</v>
      </c>
      <c r="D14" s="2"/>
    </row>
    <row r="15" spans="1:4" ht="15" customHeight="1" x14ac:dyDescent="0.45">
      <c r="A15" s="2" t="s">
        <v>140</v>
      </c>
      <c r="B15" s="2">
        <v>47</v>
      </c>
      <c r="C15" s="2">
        <v>185</v>
      </c>
      <c r="D15" s="2"/>
    </row>
    <row r="16" spans="1:4" ht="15" customHeight="1" x14ac:dyDescent="0.45">
      <c r="A16" s="2" t="s">
        <v>54</v>
      </c>
      <c r="B16" s="2">
        <v>135</v>
      </c>
      <c r="C16" s="2">
        <v>353</v>
      </c>
      <c r="D16" s="2"/>
    </row>
    <row r="17" spans="1:4" ht="15" customHeight="1" x14ac:dyDescent="0.45">
      <c r="A17" s="2" t="s">
        <v>55</v>
      </c>
      <c r="B17" s="2">
        <v>1041</v>
      </c>
      <c r="C17" s="2">
        <v>6097</v>
      </c>
      <c r="D17" s="2"/>
    </row>
    <row r="18" spans="1:4" ht="15" customHeight="1" x14ac:dyDescent="0.45">
      <c r="A18" s="2" t="s">
        <v>56</v>
      </c>
      <c r="B18" s="2">
        <v>852</v>
      </c>
      <c r="C18" s="2">
        <v>1392</v>
      </c>
      <c r="D18" s="2"/>
    </row>
    <row r="19" spans="1:4" ht="15" customHeight="1" x14ac:dyDescent="0.45">
      <c r="A19" s="2" t="s">
        <v>57</v>
      </c>
      <c r="B19" s="2"/>
      <c r="C19" s="2">
        <v>1</v>
      </c>
      <c r="D19" s="2"/>
    </row>
    <row r="20" spans="1:4" ht="15" customHeight="1" x14ac:dyDescent="0.45">
      <c r="A20" s="2" t="s">
        <v>141</v>
      </c>
      <c r="B20" s="2">
        <v>1</v>
      </c>
      <c r="C20" s="2">
        <v>1</v>
      </c>
      <c r="D20" s="2"/>
    </row>
    <row r="21" spans="1:4" ht="15" customHeight="1" x14ac:dyDescent="0.45">
      <c r="A21" s="2" t="s">
        <v>58</v>
      </c>
      <c r="B21" s="2">
        <v>341</v>
      </c>
      <c r="C21" s="2">
        <v>1147</v>
      </c>
      <c r="D21" s="2"/>
    </row>
    <row r="22" spans="1:4" ht="15" customHeight="1" x14ac:dyDescent="0.45">
      <c r="A22" s="2" t="s">
        <v>59</v>
      </c>
      <c r="B22" s="2">
        <v>3079</v>
      </c>
      <c r="C22" s="2">
        <v>4155</v>
      </c>
      <c r="D22" s="2"/>
    </row>
    <row r="23" spans="1:4" ht="15" customHeight="1" x14ac:dyDescent="0.45">
      <c r="A23" s="2" t="s">
        <v>60</v>
      </c>
      <c r="B23" s="2">
        <v>17</v>
      </c>
      <c r="C23" s="2">
        <v>58</v>
      </c>
      <c r="D23" s="2"/>
    </row>
    <row r="24" spans="1:4" ht="15" customHeight="1" x14ac:dyDescent="0.45">
      <c r="A24" s="2" t="s">
        <v>61</v>
      </c>
      <c r="B24" s="2">
        <v>21</v>
      </c>
      <c r="C24" s="2">
        <v>62</v>
      </c>
      <c r="D24" s="2"/>
    </row>
    <row r="25" spans="1:4" ht="15" customHeight="1" x14ac:dyDescent="0.45">
      <c r="A25" s="2" t="s">
        <v>62</v>
      </c>
      <c r="B25" s="2"/>
      <c r="C25" s="2">
        <v>13</v>
      </c>
      <c r="D25" s="2"/>
    </row>
    <row r="26" spans="1:4" ht="15" customHeight="1" x14ac:dyDescent="0.45">
      <c r="A26" s="2" t="s">
        <v>63</v>
      </c>
      <c r="B26" s="2">
        <v>6</v>
      </c>
      <c r="C26" s="2">
        <v>42</v>
      </c>
      <c r="D26" s="2"/>
    </row>
    <row r="27" spans="1:4" ht="15" customHeight="1" x14ac:dyDescent="0.45">
      <c r="A27" s="2" t="s">
        <v>64</v>
      </c>
      <c r="B27" s="2">
        <v>198</v>
      </c>
      <c r="C27" s="2">
        <v>623</v>
      </c>
      <c r="D27" s="2"/>
    </row>
    <row r="28" spans="1:4" ht="15" customHeight="1" x14ac:dyDescent="0.45">
      <c r="A28" s="2" t="s">
        <v>65</v>
      </c>
      <c r="B28" s="2">
        <v>23</v>
      </c>
      <c r="C28" s="2">
        <v>50</v>
      </c>
      <c r="D28" s="2"/>
    </row>
    <row r="29" spans="1:4" ht="15" customHeight="1" x14ac:dyDescent="0.45">
      <c r="A29" s="2" t="s">
        <v>66</v>
      </c>
      <c r="B29" s="2">
        <v>158</v>
      </c>
      <c r="C29" s="2">
        <v>717</v>
      </c>
      <c r="D29" s="2"/>
    </row>
    <row r="30" spans="1:4" ht="15" customHeight="1" x14ac:dyDescent="0.45">
      <c r="A30" s="2" t="s">
        <v>67</v>
      </c>
      <c r="B30" s="2">
        <v>500</v>
      </c>
      <c r="C30" s="2">
        <v>1531</v>
      </c>
      <c r="D30" s="2"/>
    </row>
    <row r="31" spans="1:4" ht="15" customHeight="1" x14ac:dyDescent="0.45">
      <c r="A31" s="2" t="s">
        <v>68</v>
      </c>
      <c r="B31" s="2">
        <v>2</v>
      </c>
      <c r="C31" s="2">
        <v>12</v>
      </c>
      <c r="D31" s="2"/>
    </row>
    <row r="32" spans="1:4" ht="15" customHeight="1" x14ac:dyDescent="0.45">
      <c r="A32" s="2" t="s">
        <v>69</v>
      </c>
      <c r="B32" s="2">
        <v>643</v>
      </c>
      <c r="C32" s="2">
        <v>1781</v>
      </c>
      <c r="D32" s="2"/>
    </row>
    <row r="33" spans="1:4" ht="15" customHeight="1" x14ac:dyDescent="0.45">
      <c r="A33" s="2" t="s">
        <v>142</v>
      </c>
      <c r="B33" s="2">
        <v>481</v>
      </c>
      <c r="C33" s="2">
        <v>1066</v>
      </c>
      <c r="D33" s="2"/>
    </row>
    <row r="34" spans="1:4" ht="15" customHeight="1" x14ac:dyDescent="0.45">
      <c r="A34" s="2" t="s">
        <v>70</v>
      </c>
      <c r="B34" s="2">
        <v>18</v>
      </c>
      <c r="C34" s="2">
        <v>56</v>
      </c>
      <c r="D34" s="2"/>
    </row>
    <row r="35" spans="1:4" ht="15" customHeight="1" x14ac:dyDescent="0.45">
      <c r="A35" s="2" t="s">
        <v>72</v>
      </c>
      <c r="B35" s="2">
        <v>582</v>
      </c>
      <c r="C35" s="2">
        <v>2326</v>
      </c>
      <c r="D35" s="2"/>
    </row>
    <row r="36" spans="1:4" ht="15" customHeight="1" x14ac:dyDescent="0.45">
      <c r="A36" s="2" t="s">
        <v>73</v>
      </c>
      <c r="B36" s="2">
        <v>76</v>
      </c>
      <c r="C36" s="2">
        <v>223</v>
      </c>
      <c r="D36" s="2"/>
    </row>
    <row r="37" spans="1:4" ht="15" customHeight="1" x14ac:dyDescent="0.45">
      <c r="A37" s="2" t="s">
        <v>74</v>
      </c>
      <c r="B37" s="2">
        <v>318</v>
      </c>
      <c r="C37" s="2">
        <v>903</v>
      </c>
      <c r="D37" s="2"/>
    </row>
    <row r="38" spans="1:4" ht="15" customHeight="1" x14ac:dyDescent="0.45">
      <c r="A38" s="2" t="s">
        <v>143</v>
      </c>
      <c r="B38" s="2">
        <f>SUM(B2:B37)</f>
        <v>12146</v>
      </c>
      <c r="C38" s="2">
        <f>SUM(C2:C37)</f>
        <v>29277</v>
      </c>
      <c r="D38" s="2"/>
    </row>
    <row r="39" spans="1:4" ht="15" customHeight="1" x14ac:dyDescent="0.45">
      <c r="A39" s="2"/>
      <c r="B39" s="2"/>
      <c r="C39" s="2"/>
      <c r="D39" s="2"/>
    </row>
    <row r="40" spans="1:4" ht="15" customHeight="1" x14ac:dyDescent="0.45">
      <c r="A40" s="2" t="s">
        <v>144</v>
      </c>
      <c r="B40" s="2"/>
      <c r="C40" s="2"/>
      <c r="D40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1"/>
  <sheetViews>
    <sheetView zoomScaleNormal="100" workbookViewId="0"/>
  </sheetViews>
  <sheetFormatPr defaultColWidth="8.6640625" defaultRowHeight="14.25" x14ac:dyDescent="0.45"/>
  <cols>
    <col min="1" max="1" width="34" customWidth="1"/>
    <col min="2" max="3" width="15" customWidth="1"/>
    <col min="4" max="4" width="11" customWidth="1"/>
    <col min="5" max="6" width="15" customWidth="1"/>
    <col min="7" max="7" width="11" customWidth="1"/>
    <col min="8" max="9" width="15" customWidth="1"/>
    <col min="10" max="10" width="11" customWidth="1"/>
    <col min="11" max="12" width="15" customWidth="1"/>
    <col min="13" max="13" width="11" customWidth="1"/>
    <col min="14" max="15" width="15" customWidth="1"/>
    <col min="16" max="16" width="11" customWidth="1"/>
    <col min="17" max="18" width="15" customWidth="1"/>
    <col min="19" max="19" width="11" customWidth="1"/>
    <col min="20" max="20" width="80" customWidth="1"/>
  </cols>
  <sheetData>
    <row r="1" spans="1:20" ht="15" customHeight="1" x14ac:dyDescent="0.45">
      <c r="A1" s="3" t="s">
        <v>35</v>
      </c>
      <c r="B1" s="3" t="s">
        <v>145</v>
      </c>
      <c r="C1" s="3" t="s">
        <v>146</v>
      </c>
      <c r="D1" s="3" t="s">
        <v>147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157</v>
      </c>
      <c r="O1" s="3" t="s">
        <v>158</v>
      </c>
      <c r="P1" s="3" t="s">
        <v>159</v>
      </c>
      <c r="Q1" s="3" t="s">
        <v>160</v>
      </c>
      <c r="R1" s="3" t="s">
        <v>161</v>
      </c>
      <c r="S1" s="3" t="s">
        <v>162</v>
      </c>
      <c r="T1" s="3" t="s">
        <v>95</v>
      </c>
    </row>
    <row r="2" spans="1:20" ht="15" customHeight="1" x14ac:dyDescent="0.45">
      <c r="A2" s="2" t="s">
        <v>46</v>
      </c>
      <c r="B2" s="2">
        <v>1732</v>
      </c>
      <c r="C2" s="2">
        <v>1732</v>
      </c>
      <c r="D2" s="5">
        <f t="shared" ref="D2:D37" si="0">IF(B2=0,0,(B2-C2)/B2)</f>
        <v>0</v>
      </c>
      <c r="E2" s="2">
        <v>1523</v>
      </c>
      <c r="F2" s="2">
        <v>1523</v>
      </c>
      <c r="G2" s="5">
        <f t="shared" ref="G2:G37" si="1">IF(E2=0,0,(E2-F2)/E2)</f>
        <v>0</v>
      </c>
      <c r="H2" s="2">
        <v>1606</v>
      </c>
      <c r="I2" s="2">
        <v>1606</v>
      </c>
      <c r="J2" s="5">
        <f t="shared" ref="J2:J37" si="2">IF(H2=0,0,(H2-I2)/H2)</f>
        <v>0</v>
      </c>
      <c r="K2" s="2">
        <v>1788</v>
      </c>
      <c r="L2" s="2">
        <v>1788</v>
      </c>
      <c r="M2" s="5">
        <f t="shared" ref="M2:M37" si="3">IF(K2=0,0,(K2-L2)/K2)</f>
        <v>0</v>
      </c>
      <c r="N2" s="2">
        <v>1789</v>
      </c>
      <c r="O2" s="2">
        <v>1789</v>
      </c>
      <c r="P2" s="5">
        <f t="shared" ref="P2:P37" si="4">IF(N2=0,0,(N2-O2)/N2)</f>
        <v>0</v>
      </c>
      <c r="Q2" s="2">
        <v>1597</v>
      </c>
      <c r="R2" s="2">
        <v>1597</v>
      </c>
      <c r="S2" s="5">
        <f t="shared" ref="S2:S37" si="5">IF(Q2=0,0,(Q2-R2)/Q2)</f>
        <v>0</v>
      </c>
      <c r="T2" s="2" t="s">
        <v>163</v>
      </c>
    </row>
    <row r="3" spans="1:20" ht="15" customHeight="1" x14ac:dyDescent="0.45">
      <c r="A3" s="2" t="s">
        <v>48</v>
      </c>
      <c r="B3" s="2">
        <v>33086</v>
      </c>
      <c r="C3" s="2">
        <v>33077</v>
      </c>
      <c r="D3" s="5">
        <f t="shared" si="0"/>
        <v>2.7201837635253579E-4</v>
      </c>
      <c r="E3" s="2">
        <v>29560</v>
      </c>
      <c r="F3" s="2">
        <v>29555</v>
      </c>
      <c r="G3" s="5">
        <f t="shared" si="1"/>
        <v>1.6914749661705008E-4</v>
      </c>
      <c r="H3" s="2">
        <v>31128</v>
      </c>
      <c r="I3" s="2">
        <v>31122</v>
      </c>
      <c r="J3" s="5">
        <f t="shared" si="2"/>
        <v>1.9275250578257516E-4</v>
      </c>
      <c r="K3" s="2">
        <v>35143</v>
      </c>
      <c r="L3" s="2">
        <v>35133</v>
      </c>
      <c r="M3" s="5">
        <f t="shared" si="3"/>
        <v>2.8455168881427311E-4</v>
      </c>
      <c r="N3" s="2">
        <v>35501</v>
      </c>
      <c r="O3" s="2">
        <v>35496</v>
      </c>
      <c r="P3" s="5">
        <f t="shared" si="4"/>
        <v>1.4084110306751923E-4</v>
      </c>
      <c r="Q3" s="2">
        <v>31308</v>
      </c>
      <c r="R3" s="2">
        <v>31297</v>
      </c>
      <c r="S3" s="5">
        <f t="shared" si="5"/>
        <v>3.5134789830075378E-4</v>
      </c>
      <c r="T3" s="2"/>
    </row>
    <row r="4" spans="1:20" ht="15" customHeight="1" x14ac:dyDescent="0.45">
      <c r="A4" s="2" t="s">
        <v>51</v>
      </c>
      <c r="B4" s="2">
        <v>54505</v>
      </c>
      <c r="C4" s="2">
        <v>54492</v>
      </c>
      <c r="D4" s="5">
        <f t="shared" si="0"/>
        <v>2.3851022841941106E-4</v>
      </c>
      <c r="E4" s="2">
        <v>53161</v>
      </c>
      <c r="F4" s="2">
        <v>53108</v>
      </c>
      <c r="G4" s="5">
        <f t="shared" si="1"/>
        <v>9.9697146404318965E-4</v>
      </c>
      <c r="H4" s="2">
        <v>55499</v>
      </c>
      <c r="I4" s="2">
        <v>55209</v>
      </c>
      <c r="J4" s="5">
        <f t="shared" si="2"/>
        <v>5.2253193751238764E-3</v>
      </c>
      <c r="K4" s="2">
        <v>61451</v>
      </c>
      <c r="L4" s="2">
        <v>60945</v>
      </c>
      <c r="M4" s="5">
        <f t="shared" si="3"/>
        <v>8.2342028608159354E-3</v>
      </c>
      <c r="N4" s="2">
        <v>63983</v>
      </c>
      <c r="O4" s="2">
        <v>63636</v>
      </c>
      <c r="P4" s="5">
        <f t="shared" si="4"/>
        <v>5.4233155681978028E-3</v>
      </c>
      <c r="Q4" s="2">
        <v>56486</v>
      </c>
      <c r="R4" s="2">
        <v>56457</v>
      </c>
      <c r="S4" s="5">
        <f t="shared" si="5"/>
        <v>5.1340155082675349E-4</v>
      </c>
      <c r="T4" s="2"/>
    </row>
    <row r="5" spans="1:20" ht="15" customHeight="1" x14ac:dyDescent="0.45">
      <c r="A5" s="2" t="s">
        <v>52</v>
      </c>
      <c r="B5" s="2">
        <v>10424</v>
      </c>
      <c r="C5" s="2">
        <v>10353</v>
      </c>
      <c r="D5" s="5">
        <f t="shared" si="0"/>
        <v>6.8112049117421336E-3</v>
      </c>
      <c r="E5" s="2">
        <v>10186</v>
      </c>
      <c r="F5" s="2">
        <v>10130</v>
      </c>
      <c r="G5" s="5">
        <f t="shared" si="1"/>
        <v>5.4977419988219128E-3</v>
      </c>
      <c r="H5" s="2">
        <v>12115</v>
      </c>
      <c r="I5" s="2">
        <v>12088</v>
      </c>
      <c r="J5" s="5">
        <f t="shared" si="2"/>
        <v>2.2286421791167972E-3</v>
      </c>
      <c r="K5" s="2">
        <v>12649</v>
      </c>
      <c r="L5" s="2">
        <v>12542</v>
      </c>
      <c r="M5" s="5">
        <f t="shared" si="3"/>
        <v>8.459166732548028E-3</v>
      </c>
      <c r="N5" s="2">
        <v>12805</v>
      </c>
      <c r="O5" s="2">
        <v>12767</v>
      </c>
      <c r="P5" s="5">
        <f t="shared" si="4"/>
        <v>2.9675907848496683E-3</v>
      </c>
      <c r="Q5" s="2">
        <v>10254</v>
      </c>
      <c r="R5" s="2">
        <v>10219</v>
      </c>
      <c r="S5" s="5">
        <f t="shared" si="5"/>
        <v>3.4133021259996101E-3</v>
      </c>
      <c r="T5" s="2"/>
    </row>
    <row r="6" spans="1:20" ht="15" customHeight="1" x14ac:dyDescent="0.45">
      <c r="A6" s="2" t="s">
        <v>164</v>
      </c>
      <c r="B6" s="2">
        <v>20025</v>
      </c>
      <c r="C6" s="2">
        <v>16259</v>
      </c>
      <c r="D6" s="5">
        <f t="shared" si="0"/>
        <v>0.1880649188514357</v>
      </c>
      <c r="E6" s="2">
        <v>19773</v>
      </c>
      <c r="F6" s="2">
        <v>17222</v>
      </c>
      <c r="G6" s="5">
        <f t="shared" si="1"/>
        <v>0.1290143124462651</v>
      </c>
      <c r="H6" s="2">
        <v>19957</v>
      </c>
      <c r="I6" s="2">
        <v>18434</v>
      </c>
      <c r="J6" s="5">
        <f t="shared" si="2"/>
        <v>7.63140752618129E-2</v>
      </c>
      <c r="K6" s="2">
        <v>19639</v>
      </c>
      <c r="L6" s="2">
        <v>19322</v>
      </c>
      <c r="M6" s="5">
        <f t="shared" si="3"/>
        <v>1.6141351392637098E-2</v>
      </c>
      <c r="N6" s="2">
        <v>20040</v>
      </c>
      <c r="O6" s="2">
        <v>19763</v>
      </c>
      <c r="P6" s="5">
        <f t="shared" si="4"/>
        <v>1.3822355289421157E-2</v>
      </c>
      <c r="Q6" s="2">
        <v>14717</v>
      </c>
      <c r="R6" s="2">
        <v>14636</v>
      </c>
      <c r="S6" s="5">
        <f t="shared" si="5"/>
        <v>5.5038390976421825E-3</v>
      </c>
      <c r="T6" s="2"/>
    </row>
    <row r="7" spans="1:20" ht="15" customHeight="1" x14ac:dyDescent="0.45">
      <c r="A7" s="2" t="s">
        <v>66</v>
      </c>
      <c r="B7" s="2">
        <v>56776</v>
      </c>
      <c r="C7" s="2">
        <v>56770</v>
      </c>
      <c r="D7" s="5">
        <f t="shared" si="0"/>
        <v>1.0567845568550092E-4</v>
      </c>
      <c r="E7" s="2">
        <v>58445</v>
      </c>
      <c r="F7" s="2">
        <v>58377</v>
      </c>
      <c r="G7" s="5">
        <f t="shared" si="1"/>
        <v>1.1634870390965866E-3</v>
      </c>
      <c r="H7" s="2">
        <v>62846</v>
      </c>
      <c r="I7" s="2">
        <v>62411</v>
      </c>
      <c r="J7" s="5">
        <f t="shared" si="2"/>
        <v>6.9216815708239184E-3</v>
      </c>
      <c r="K7" s="2">
        <v>69522</v>
      </c>
      <c r="L7" s="2">
        <v>69220</v>
      </c>
      <c r="M7" s="5">
        <f t="shared" si="3"/>
        <v>4.3439486781162795E-3</v>
      </c>
      <c r="N7" s="2">
        <v>69533</v>
      </c>
      <c r="O7" s="2">
        <v>69528</v>
      </c>
      <c r="P7" s="5">
        <f t="shared" si="4"/>
        <v>7.1908302532610417E-5</v>
      </c>
      <c r="Q7" s="2">
        <v>63536</v>
      </c>
      <c r="R7" s="2">
        <v>63536</v>
      </c>
      <c r="S7" s="5">
        <f t="shared" si="5"/>
        <v>0</v>
      </c>
      <c r="T7" s="2"/>
    </row>
    <row r="8" spans="1:20" ht="15" customHeight="1" x14ac:dyDescent="0.45">
      <c r="A8" s="2" t="s">
        <v>67</v>
      </c>
      <c r="B8" s="2">
        <v>81281</v>
      </c>
      <c r="C8" s="2">
        <v>81222</v>
      </c>
      <c r="D8" s="5">
        <f t="shared" si="0"/>
        <v>7.2587689619960387E-4</v>
      </c>
      <c r="E8" s="2">
        <v>85311</v>
      </c>
      <c r="F8" s="2">
        <v>85205</v>
      </c>
      <c r="G8" s="5">
        <f t="shared" si="1"/>
        <v>1.2425126888677897E-3</v>
      </c>
      <c r="H8" s="2">
        <v>89814</v>
      </c>
      <c r="I8" s="2">
        <v>89310</v>
      </c>
      <c r="J8" s="5">
        <f t="shared" si="2"/>
        <v>5.6115973010889171E-3</v>
      </c>
      <c r="K8" s="2">
        <v>101801</v>
      </c>
      <c r="L8" s="2">
        <v>100057</v>
      </c>
      <c r="M8" s="5">
        <f t="shared" si="3"/>
        <v>1.713146236284516E-2</v>
      </c>
      <c r="N8" s="2">
        <v>107422</v>
      </c>
      <c r="O8" s="2">
        <v>106806</v>
      </c>
      <c r="P8" s="5">
        <f t="shared" si="4"/>
        <v>5.7343933272514013E-3</v>
      </c>
      <c r="Q8" s="2">
        <v>84779</v>
      </c>
      <c r="R8" s="2">
        <v>84476</v>
      </c>
      <c r="S8" s="5">
        <f t="shared" si="5"/>
        <v>3.5739982778754172E-3</v>
      </c>
      <c r="T8" s="2"/>
    </row>
    <row r="9" spans="1:20" ht="15" customHeight="1" x14ac:dyDescent="0.45">
      <c r="A9" s="2" t="s">
        <v>72</v>
      </c>
      <c r="B9" s="2">
        <v>122549</v>
      </c>
      <c r="C9" s="2">
        <v>121004</v>
      </c>
      <c r="D9" s="5">
        <f t="shared" si="0"/>
        <v>1.2607202017152323E-2</v>
      </c>
      <c r="E9" s="2">
        <v>124367</v>
      </c>
      <c r="F9" s="2">
        <v>123383</v>
      </c>
      <c r="G9" s="5">
        <f t="shared" si="1"/>
        <v>7.9120667057981618E-3</v>
      </c>
      <c r="H9" s="2">
        <v>129448</v>
      </c>
      <c r="I9" s="2">
        <v>128310</v>
      </c>
      <c r="J9" s="5">
        <f t="shared" si="2"/>
        <v>8.7911748346826517E-3</v>
      </c>
      <c r="K9" s="2">
        <v>144251</v>
      </c>
      <c r="L9" s="2">
        <v>143050</v>
      </c>
      <c r="M9" s="5">
        <f t="shared" si="3"/>
        <v>8.3257655059583643E-3</v>
      </c>
      <c r="N9" s="2">
        <v>148791</v>
      </c>
      <c r="O9" s="2">
        <v>148287</v>
      </c>
      <c r="P9" s="5">
        <f t="shared" si="4"/>
        <v>3.387301651309555E-3</v>
      </c>
      <c r="Q9" s="2">
        <v>132357</v>
      </c>
      <c r="R9" s="2">
        <v>132058</v>
      </c>
      <c r="S9" s="5">
        <f t="shared" si="5"/>
        <v>2.2590418338282073E-3</v>
      </c>
      <c r="T9" s="2"/>
    </row>
    <row r="10" spans="1:20" ht="15" customHeight="1" x14ac:dyDescent="0.45">
      <c r="A10" s="2" t="s">
        <v>73</v>
      </c>
      <c r="B10" s="2">
        <v>14472</v>
      </c>
      <c r="C10" s="2">
        <v>14376</v>
      </c>
      <c r="D10" s="5">
        <f t="shared" si="0"/>
        <v>6.6334991708126038E-3</v>
      </c>
      <c r="E10" s="2">
        <v>13827</v>
      </c>
      <c r="F10" s="2">
        <v>13818</v>
      </c>
      <c r="G10" s="5">
        <f t="shared" si="1"/>
        <v>6.509004122369278E-4</v>
      </c>
      <c r="H10" s="2">
        <v>15521</v>
      </c>
      <c r="I10" s="2">
        <v>15426</v>
      </c>
      <c r="J10" s="5">
        <f t="shared" si="2"/>
        <v>6.1207396430642356E-3</v>
      </c>
      <c r="K10" s="2">
        <v>15647</v>
      </c>
      <c r="L10" s="2">
        <v>15386</v>
      </c>
      <c r="M10" s="5">
        <f t="shared" si="3"/>
        <v>1.6680513836518182E-2</v>
      </c>
      <c r="N10" s="2">
        <v>15644</v>
      </c>
      <c r="O10" s="2">
        <v>15532</v>
      </c>
      <c r="P10" s="5">
        <f t="shared" si="4"/>
        <v>7.1592942981334694E-3</v>
      </c>
      <c r="Q10" s="2">
        <v>13016</v>
      </c>
      <c r="R10" s="2">
        <v>12974</v>
      </c>
      <c r="S10" s="5">
        <f t="shared" si="5"/>
        <v>3.22679778733866E-3</v>
      </c>
      <c r="T10" s="2"/>
    </row>
    <row r="11" spans="1:20" ht="15" customHeight="1" x14ac:dyDescent="0.45">
      <c r="A11" s="2" t="s">
        <v>47</v>
      </c>
      <c r="B11" s="2">
        <v>30111</v>
      </c>
      <c r="C11" s="2">
        <v>30107</v>
      </c>
      <c r="D11" s="5">
        <f t="shared" si="0"/>
        <v>1.3284181860449669E-4</v>
      </c>
      <c r="E11" s="2">
        <v>30472</v>
      </c>
      <c r="F11" s="2">
        <v>30449</v>
      </c>
      <c r="G11" s="5">
        <f t="shared" si="1"/>
        <v>7.5479128380152275E-4</v>
      </c>
      <c r="H11" s="2">
        <v>31908</v>
      </c>
      <c r="I11" s="2">
        <v>31872</v>
      </c>
      <c r="J11" s="5">
        <f t="shared" si="2"/>
        <v>1.1282437006393381E-3</v>
      </c>
      <c r="K11" s="2">
        <v>37446</v>
      </c>
      <c r="L11" s="2">
        <v>37374</v>
      </c>
      <c r="M11" s="5">
        <f t="shared" si="3"/>
        <v>1.9227687870533568E-3</v>
      </c>
      <c r="N11" s="2">
        <v>39930</v>
      </c>
      <c r="O11" s="2">
        <v>39872</v>
      </c>
      <c r="P11" s="5">
        <f t="shared" si="4"/>
        <v>1.452541948409717E-3</v>
      </c>
      <c r="Q11" s="2">
        <v>31494</v>
      </c>
      <c r="R11" s="2">
        <v>31478</v>
      </c>
      <c r="S11" s="5">
        <f t="shared" si="5"/>
        <v>5.080332761795898E-4</v>
      </c>
      <c r="T11" s="2"/>
    </row>
    <row r="12" spans="1:20" ht="15" customHeight="1" x14ac:dyDescent="0.45">
      <c r="A12" s="2" t="s">
        <v>50</v>
      </c>
      <c r="B12" s="2">
        <v>113940</v>
      </c>
      <c r="C12" s="2">
        <v>113939</v>
      </c>
      <c r="D12" s="5">
        <f t="shared" si="0"/>
        <v>8.7765490609092503E-6</v>
      </c>
      <c r="E12" s="2">
        <v>111622</v>
      </c>
      <c r="F12" s="2">
        <v>111622</v>
      </c>
      <c r="G12" s="5">
        <f t="shared" si="1"/>
        <v>0</v>
      </c>
      <c r="H12" s="2">
        <v>123953</v>
      </c>
      <c r="I12" s="2">
        <v>123666</v>
      </c>
      <c r="J12" s="5">
        <f t="shared" si="2"/>
        <v>2.3153937379490615E-3</v>
      </c>
      <c r="K12" s="2">
        <v>139043</v>
      </c>
      <c r="L12" s="2">
        <v>138999</v>
      </c>
      <c r="M12" s="5">
        <f t="shared" si="3"/>
        <v>3.1644886833569473E-4</v>
      </c>
      <c r="N12" s="2">
        <v>145768</v>
      </c>
      <c r="O12" s="2">
        <v>145740</v>
      </c>
      <c r="P12" s="5">
        <f t="shared" si="4"/>
        <v>1.920860545524395E-4</v>
      </c>
      <c r="Q12" s="2">
        <v>113697</v>
      </c>
      <c r="R12" s="2">
        <v>113697</v>
      </c>
      <c r="S12" s="5">
        <f t="shared" si="5"/>
        <v>0</v>
      </c>
      <c r="T12" s="2"/>
    </row>
    <row r="13" spans="1:20" ht="15" customHeight="1" x14ac:dyDescent="0.45">
      <c r="A13" s="2" t="s">
        <v>58</v>
      </c>
      <c r="B13" s="2">
        <v>76172</v>
      </c>
      <c r="C13" s="2">
        <v>76172</v>
      </c>
      <c r="D13" s="5">
        <f t="shared" si="0"/>
        <v>0</v>
      </c>
      <c r="E13" s="2">
        <v>83437</v>
      </c>
      <c r="F13" s="2">
        <v>83437</v>
      </c>
      <c r="G13" s="5">
        <f t="shared" si="1"/>
        <v>0</v>
      </c>
      <c r="H13" s="2">
        <v>86501</v>
      </c>
      <c r="I13" s="2">
        <v>86455</v>
      </c>
      <c r="J13" s="5">
        <f t="shared" si="2"/>
        <v>5.3178575970220002E-4</v>
      </c>
      <c r="K13" s="2">
        <v>92683</v>
      </c>
      <c r="L13" s="2">
        <v>92325</v>
      </c>
      <c r="M13" s="5">
        <f t="shared" si="3"/>
        <v>3.8626285295037927E-3</v>
      </c>
      <c r="N13" s="2">
        <v>99301</v>
      </c>
      <c r="O13" s="2">
        <v>99150</v>
      </c>
      <c r="P13" s="5">
        <f t="shared" si="4"/>
        <v>1.5206291980946818E-3</v>
      </c>
      <c r="Q13" s="2">
        <v>75449</v>
      </c>
      <c r="R13" s="2">
        <v>75354</v>
      </c>
      <c r="S13" s="5">
        <f t="shared" si="5"/>
        <v>1.2591286829513977E-3</v>
      </c>
      <c r="T13" s="2"/>
    </row>
    <row r="14" spans="1:20" ht="15" customHeight="1" x14ac:dyDescent="0.45">
      <c r="A14" s="2" t="s">
        <v>59</v>
      </c>
      <c r="B14" s="2">
        <v>155167</v>
      </c>
      <c r="C14" s="2">
        <v>155166</v>
      </c>
      <c r="D14" s="5">
        <f t="shared" si="0"/>
        <v>6.4446692917952919E-6</v>
      </c>
      <c r="E14" s="2">
        <v>150679</v>
      </c>
      <c r="F14" s="2">
        <v>150663</v>
      </c>
      <c r="G14" s="5">
        <f t="shared" si="1"/>
        <v>1.0618599804883229E-4</v>
      </c>
      <c r="H14" s="2">
        <v>172823</v>
      </c>
      <c r="I14" s="2">
        <v>172809</v>
      </c>
      <c r="J14" s="5">
        <f t="shared" si="2"/>
        <v>8.1007736238810808E-5</v>
      </c>
      <c r="K14" s="2">
        <v>187309</v>
      </c>
      <c r="L14" s="2">
        <v>187197</v>
      </c>
      <c r="M14" s="5">
        <f t="shared" si="3"/>
        <v>5.979424373628603E-4</v>
      </c>
      <c r="N14" s="2">
        <v>207108</v>
      </c>
      <c r="O14" s="2">
        <v>206931</v>
      </c>
      <c r="P14" s="5">
        <f t="shared" si="4"/>
        <v>8.546265716437801E-4</v>
      </c>
      <c r="Q14" s="2">
        <v>147892</v>
      </c>
      <c r="R14" s="2">
        <v>147834</v>
      </c>
      <c r="S14" s="5">
        <f t="shared" si="5"/>
        <v>3.9217807589321936E-4</v>
      </c>
      <c r="T14" s="2"/>
    </row>
    <row r="15" spans="1:20" ht="15" customHeight="1" x14ac:dyDescent="0.45">
      <c r="A15" s="2" t="s">
        <v>139</v>
      </c>
      <c r="B15" s="2">
        <v>9102</v>
      </c>
      <c r="C15" s="2">
        <v>9102</v>
      </c>
      <c r="D15" s="5">
        <f t="shared" si="0"/>
        <v>0</v>
      </c>
      <c r="E15" s="2">
        <v>7720</v>
      </c>
      <c r="F15" s="2">
        <v>7720</v>
      </c>
      <c r="G15" s="5">
        <f t="shared" si="1"/>
        <v>0</v>
      </c>
      <c r="H15" s="2">
        <v>9433</v>
      </c>
      <c r="I15" s="2">
        <v>9433</v>
      </c>
      <c r="J15" s="5">
        <f t="shared" si="2"/>
        <v>0</v>
      </c>
      <c r="K15" s="2">
        <v>10018</v>
      </c>
      <c r="L15" s="2">
        <v>10018</v>
      </c>
      <c r="M15" s="5">
        <f t="shared" si="3"/>
        <v>0</v>
      </c>
      <c r="N15" s="2">
        <v>10164</v>
      </c>
      <c r="O15" s="2">
        <v>10164</v>
      </c>
      <c r="P15" s="5">
        <f t="shared" si="4"/>
        <v>0</v>
      </c>
      <c r="Q15" s="2">
        <v>8153</v>
      </c>
      <c r="R15" s="2">
        <v>8153</v>
      </c>
      <c r="S15" s="5">
        <f t="shared" si="5"/>
        <v>0</v>
      </c>
      <c r="T15" s="2"/>
    </row>
    <row r="16" spans="1:20" ht="15" customHeight="1" x14ac:dyDescent="0.45">
      <c r="A16" s="2" t="s">
        <v>49</v>
      </c>
      <c r="B16" s="2">
        <v>4350</v>
      </c>
      <c r="C16" s="2">
        <v>4350</v>
      </c>
      <c r="D16" s="5">
        <f t="shared" si="0"/>
        <v>0</v>
      </c>
      <c r="E16" s="2">
        <v>4083</v>
      </c>
      <c r="F16" s="2">
        <v>4083</v>
      </c>
      <c r="G16" s="5">
        <f t="shared" si="1"/>
        <v>0</v>
      </c>
      <c r="H16" s="2">
        <v>4448</v>
      </c>
      <c r="I16" s="2">
        <v>4448</v>
      </c>
      <c r="J16" s="5">
        <f t="shared" si="2"/>
        <v>0</v>
      </c>
      <c r="K16" s="2">
        <v>4669</v>
      </c>
      <c r="L16" s="2">
        <v>4669</v>
      </c>
      <c r="M16" s="5">
        <f t="shared" si="3"/>
        <v>0</v>
      </c>
      <c r="N16" s="2">
        <v>5111</v>
      </c>
      <c r="O16" s="2">
        <v>5111</v>
      </c>
      <c r="P16" s="5">
        <f t="shared" si="4"/>
        <v>0</v>
      </c>
      <c r="Q16" s="2">
        <v>4035</v>
      </c>
      <c r="R16" s="2">
        <v>4035</v>
      </c>
      <c r="S16" s="5">
        <f t="shared" si="5"/>
        <v>0</v>
      </c>
      <c r="T16" s="2"/>
    </row>
    <row r="17" spans="1:20" ht="15" customHeight="1" x14ac:dyDescent="0.45">
      <c r="A17" s="2" t="s">
        <v>42</v>
      </c>
      <c r="B17" s="2">
        <v>65452</v>
      </c>
      <c r="C17" s="2">
        <v>65414</v>
      </c>
      <c r="D17" s="5">
        <f t="shared" si="0"/>
        <v>5.8057813359408425E-4</v>
      </c>
      <c r="E17" s="2">
        <v>62080</v>
      </c>
      <c r="F17" s="2">
        <v>62076</v>
      </c>
      <c r="G17" s="5">
        <f t="shared" si="1"/>
        <v>6.4432989690721651E-5</v>
      </c>
      <c r="H17" s="2">
        <v>68413</v>
      </c>
      <c r="I17" s="2">
        <v>68219</v>
      </c>
      <c r="J17" s="5">
        <f t="shared" si="2"/>
        <v>2.8357183576220892E-3</v>
      </c>
      <c r="K17" s="2">
        <v>72302</v>
      </c>
      <c r="L17" s="2">
        <v>71893</v>
      </c>
      <c r="M17" s="5">
        <f t="shared" si="3"/>
        <v>5.6568283035047439E-3</v>
      </c>
      <c r="N17" s="2">
        <v>80209</v>
      </c>
      <c r="O17" s="2">
        <v>80151</v>
      </c>
      <c r="P17" s="5">
        <f t="shared" si="4"/>
        <v>7.2311087284469323E-4</v>
      </c>
      <c r="Q17" s="2">
        <v>58558</v>
      </c>
      <c r="R17" s="2">
        <v>58555</v>
      </c>
      <c r="S17" s="5">
        <f t="shared" si="5"/>
        <v>5.1231257898152261E-5</v>
      </c>
      <c r="T17" s="2"/>
    </row>
    <row r="18" spans="1:20" ht="15" customHeight="1" x14ac:dyDescent="0.45">
      <c r="A18" s="2" t="s">
        <v>142</v>
      </c>
      <c r="B18" s="2">
        <v>68306</v>
      </c>
      <c r="C18" s="2">
        <v>68303</v>
      </c>
      <c r="D18" s="5">
        <f t="shared" si="0"/>
        <v>4.3920007027201127E-5</v>
      </c>
      <c r="E18" s="2">
        <v>66998</v>
      </c>
      <c r="F18" s="2">
        <v>66994</v>
      </c>
      <c r="G18" s="5">
        <f t="shared" si="1"/>
        <v>5.9703274724618645E-5</v>
      </c>
      <c r="H18" s="2">
        <v>70539</v>
      </c>
      <c r="I18" s="2">
        <v>70523</v>
      </c>
      <c r="J18" s="5">
        <f t="shared" si="2"/>
        <v>2.2682487701838699E-4</v>
      </c>
      <c r="K18" s="2">
        <v>77832</v>
      </c>
      <c r="L18" s="2">
        <v>77799</v>
      </c>
      <c r="M18" s="5">
        <f t="shared" si="3"/>
        <v>4.2399013259327784E-4</v>
      </c>
      <c r="N18" s="2">
        <v>84623</v>
      </c>
      <c r="O18" s="2">
        <v>84613</v>
      </c>
      <c r="P18" s="5">
        <f t="shared" si="4"/>
        <v>1.181711827753684E-4</v>
      </c>
      <c r="Q18" s="2">
        <v>61859</v>
      </c>
      <c r="R18" s="2">
        <v>61855</v>
      </c>
      <c r="S18" s="5">
        <f t="shared" si="5"/>
        <v>6.4663185631840155E-5</v>
      </c>
      <c r="T18" s="2"/>
    </row>
    <row r="19" spans="1:20" ht="15" customHeight="1" x14ac:dyDescent="0.45">
      <c r="A19" s="2" t="s">
        <v>55</v>
      </c>
      <c r="B19" s="2">
        <v>72799</v>
      </c>
      <c r="C19" s="2">
        <v>72796</v>
      </c>
      <c r="D19" s="5">
        <f t="shared" si="0"/>
        <v>4.1209357271391092E-5</v>
      </c>
      <c r="E19" s="2">
        <v>68851</v>
      </c>
      <c r="F19" s="2">
        <v>68831</v>
      </c>
      <c r="G19" s="5">
        <f t="shared" si="1"/>
        <v>2.9048234593542576E-4</v>
      </c>
      <c r="H19" s="2">
        <v>72437</v>
      </c>
      <c r="I19" s="2">
        <v>72417</v>
      </c>
      <c r="J19" s="5">
        <f t="shared" si="2"/>
        <v>2.7610199207587285E-4</v>
      </c>
      <c r="K19" s="2">
        <v>75688</v>
      </c>
      <c r="L19" s="2">
        <v>75663</v>
      </c>
      <c r="M19" s="5">
        <f t="shared" si="3"/>
        <v>3.3030335059718843E-4</v>
      </c>
      <c r="N19" s="2">
        <v>94088</v>
      </c>
      <c r="O19" s="2">
        <v>93934</v>
      </c>
      <c r="P19" s="5">
        <f t="shared" si="4"/>
        <v>1.6367655811580647E-3</v>
      </c>
      <c r="Q19" s="2">
        <v>64447</v>
      </c>
      <c r="R19" s="2">
        <v>64443</v>
      </c>
      <c r="S19" s="5">
        <f t="shared" si="5"/>
        <v>6.2066504259313855E-5</v>
      </c>
      <c r="T19" s="2"/>
    </row>
    <row r="20" spans="1:20" ht="15" customHeight="1" x14ac:dyDescent="0.45">
      <c r="A20" s="2" t="s">
        <v>56</v>
      </c>
      <c r="B20" s="2">
        <v>26315</v>
      </c>
      <c r="C20" s="2">
        <v>26265</v>
      </c>
      <c r="D20" s="5">
        <f t="shared" si="0"/>
        <v>1.9000570017100513E-3</v>
      </c>
      <c r="E20" s="2">
        <v>25118</v>
      </c>
      <c r="F20" s="2">
        <v>25102</v>
      </c>
      <c r="G20" s="5">
        <f t="shared" si="1"/>
        <v>6.3699339119356634E-4</v>
      </c>
      <c r="H20" s="2">
        <v>26579</v>
      </c>
      <c r="I20" s="2">
        <v>26570</v>
      </c>
      <c r="J20" s="5">
        <f t="shared" si="2"/>
        <v>3.3861319086496861E-4</v>
      </c>
      <c r="K20" s="2">
        <v>27747</v>
      </c>
      <c r="L20" s="2">
        <v>27726</v>
      </c>
      <c r="M20" s="5">
        <f t="shared" si="3"/>
        <v>7.5683857714347496E-4</v>
      </c>
      <c r="N20" s="2">
        <v>30943</v>
      </c>
      <c r="O20" s="2">
        <v>30938</v>
      </c>
      <c r="P20" s="5">
        <f t="shared" si="4"/>
        <v>1.6158743496105742E-4</v>
      </c>
      <c r="Q20" s="2">
        <v>23478</v>
      </c>
      <c r="R20" s="2">
        <v>23470</v>
      </c>
      <c r="S20" s="5">
        <f t="shared" si="5"/>
        <v>3.4074452679103839E-4</v>
      </c>
      <c r="T20" s="2"/>
    </row>
    <row r="21" spans="1:20" ht="15" customHeight="1" x14ac:dyDescent="0.45">
      <c r="A21" s="2" t="s">
        <v>69</v>
      </c>
      <c r="B21" s="2">
        <v>108816</v>
      </c>
      <c r="C21" s="2">
        <v>108812</v>
      </c>
      <c r="D21" s="5">
        <f t="shared" si="0"/>
        <v>3.6759300102926042E-5</v>
      </c>
      <c r="E21" s="2">
        <v>101194</v>
      </c>
      <c r="F21" s="2">
        <v>101189</v>
      </c>
      <c r="G21" s="5">
        <f t="shared" si="1"/>
        <v>4.9410044073759314E-5</v>
      </c>
      <c r="H21" s="2">
        <v>109816</v>
      </c>
      <c r="I21" s="2">
        <v>109798</v>
      </c>
      <c r="J21" s="5">
        <f t="shared" si="2"/>
        <v>1.6391054126903184E-4</v>
      </c>
      <c r="K21" s="2">
        <v>114798</v>
      </c>
      <c r="L21" s="2">
        <v>114722</v>
      </c>
      <c r="M21" s="5">
        <f t="shared" si="3"/>
        <v>6.6203243958953991E-4</v>
      </c>
      <c r="N21" s="2">
        <v>126163</v>
      </c>
      <c r="O21" s="2">
        <v>126151</v>
      </c>
      <c r="P21" s="5">
        <f t="shared" si="4"/>
        <v>9.5115049578719588E-5</v>
      </c>
      <c r="Q21" s="2">
        <v>98577</v>
      </c>
      <c r="R21" s="2">
        <v>98572</v>
      </c>
      <c r="S21" s="5">
        <f t="shared" si="5"/>
        <v>5.0721770798462117E-5</v>
      </c>
      <c r="T21" s="2"/>
    </row>
    <row r="22" spans="1:20" ht="15" customHeight="1" x14ac:dyDescent="0.45">
      <c r="A22" s="2" t="s">
        <v>65</v>
      </c>
      <c r="B22" s="2">
        <v>2847</v>
      </c>
      <c r="C22" s="2">
        <v>2846</v>
      </c>
      <c r="D22" s="5">
        <f t="shared" si="0"/>
        <v>3.5124692658939234E-4</v>
      </c>
      <c r="E22" s="2">
        <v>2644</v>
      </c>
      <c r="F22" s="2">
        <v>2644</v>
      </c>
      <c r="G22" s="5">
        <f t="shared" si="1"/>
        <v>0</v>
      </c>
      <c r="H22" s="2">
        <v>2894</v>
      </c>
      <c r="I22" s="2">
        <v>2893</v>
      </c>
      <c r="J22" s="5">
        <f t="shared" si="2"/>
        <v>3.455425017277125E-4</v>
      </c>
      <c r="K22" s="2">
        <v>3051</v>
      </c>
      <c r="L22" s="2">
        <v>3050</v>
      </c>
      <c r="M22" s="5">
        <f t="shared" si="3"/>
        <v>3.2776138970829236E-4</v>
      </c>
      <c r="N22" s="2">
        <v>3456</v>
      </c>
      <c r="O22" s="2">
        <v>3455</v>
      </c>
      <c r="P22" s="5">
        <f t="shared" si="4"/>
        <v>2.8935185185185184E-4</v>
      </c>
      <c r="Q22" s="2">
        <v>2735</v>
      </c>
      <c r="R22" s="2">
        <v>2735</v>
      </c>
      <c r="S22" s="5">
        <f t="shared" si="5"/>
        <v>0</v>
      </c>
      <c r="T22" s="2"/>
    </row>
    <row r="23" spans="1:20" ht="15" customHeight="1" x14ac:dyDescent="0.45">
      <c r="A23" s="2" t="s">
        <v>141</v>
      </c>
      <c r="B23" s="2">
        <v>46</v>
      </c>
      <c r="C23" s="2">
        <v>46</v>
      </c>
      <c r="D23" s="5">
        <f t="shared" si="0"/>
        <v>0</v>
      </c>
      <c r="E23" s="2">
        <v>56</v>
      </c>
      <c r="F23" s="2">
        <v>56</v>
      </c>
      <c r="G23" s="5">
        <f t="shared" si="1"/>
        <v>0</v>
      </c>
      <c r="H23" s="2">
        <v>56</v>
      </c>
      <c r="I23" s="2">
        <v>56</v>
      </c>
      <c r="J23" s="5">
        <f t="shared" si="2"/>
        <v>0</v>
      </c>
      <c r="K23" s="2">
        <v>64</v>
      </c>
      <c r="L23" s="2">
        <v>64</v>
      </c>
      <c r="M23" s="5">
        <f t="shared" si="3"/>
        <v>0</v>
      </c>
      <c r="N23" s="2">
        <v>64</v>
      </c>
      <c r="O23" s="2">
        <v>64</v>
      </c>
      <c r="P23" s="5">
        <f t="shared" si="4"/>
        <v>0</v>
      </c>
      <c r="Q23" s="2">
        <v>50</v>
      </c>
      <c r="R23" s="2">
        <v>50</v>
      </c>
      <c r="S23" s="5">
        <f t="shared" si="5"/>
        <v>0</v>
      </c>
      <c r="T23" s="2"/>
    </row>
    <row r="24" spans="1:20" ht="15" customHeight="1" x14ac:dyDescent="0.45">
      <c r="A24" s="2" t="s">
        <v>45</v>
      </c>
      <c r="B24" s="2">
        <v>31627</v>
      </c>
      <c r="C24" s="2">
        <v>31533</v>
      </c>
      <c r="D24" s="5">
        <f t="shared" si="0"/>
        <v>2.9721440541309639E-3</v>
      </c>
      <c r="E24" s="2">
        <v>34171</v>
      </c>
      <c r="F24" s="2">
        <v>34018</v>
      </c>
      <c r="G24" s="5">
        <f t="shared" si="1"/>
        <v>4.4774809048608467E-3</v>
      </c>
      <c r="H24" s="2">
        <v>36216</v>
      </c>
      <c r="I24" s="2">
        <v>35761</v>
      </c>
      <c r="J24" s="5">
        <f t="shared" si="2"/>
        <v>1.2563507841837861E-2</v>
      </c>
      <c r="K24" s="2">
        <v>39545</v>
      </c>
      <c r="L24" s="2">
        <v>38762</v>
      </c>
      <c r="M24" s="5">
        <f t="shared" si="3"/>
        <v>1.9800227588822859E-2</v>
      </c>
      <c r="N24" s="2">
        <v>41514</v>
      </c>
      <c r="O24" s="2">
        <v>40918</v>
      </c>
      <c r="P24" s="5">
        <f t="shared" si="4"/>
        <v>1.435660259189671E-2</v>
      </c>
      <c r="Q24" s="2">
        <v>35400</v>
      </c>
      <c r="R24" s="2">
        <v>35246</v>
      </c>
      <c r="S24" s="5">
        <f t="shared" si="5"/>
        <v>4.3502824858757064E-3</v>
      </c>
      <c r="T24" s="2"/>
    </row>
    <row r="25" spans="1:20" ht="15" customHeight="1" x14ac:dyDescent="0.45">
      <c r="A25" s="2" t="s">
        <v>165</v>
      </c>
      <c r="B25" s="2">
        <v>22429</v>
      </c>
      <c r="C25" s="2">
        <v>22427</v>
      </c>
      <c r="D25" s="5">
        <f t="shared" si="0"/>
        <v>8.9170270631771362E-5</v>
      </c>
      <c r="E25" s="2">
        <v>21368</v>
      </c>
      <c r="F25" s="2">
        <v>21368</v>
      </c>
      <c r="G25" s="5">
        <f t="shared" si="1"/>
        <v>0</v>
      </c>
      <c r="H25" s="2">
        <v>23741</v>
      </c>
      <c r="I25" s="2">
        <v>23736</v>
      </c>
      <c r="J25" s="5">
        <f t="shared" si="2"/>
        <v>2.1060612442609831E-4</v>
      </c>
      <c r="K25" s="2">
        <v>26339</v>
      </c>
      <c r="L25" s="2">
        <v>26330</v>
      </c>
      <c r="M25" s="5">
        <f t="shared" si="3"/>
        <v>3.4169862181555866E-4</v>
      </c>
      <c r="N25" s="2">
        <v>26560</v>
      </c>
      <c r="O25" s="2">
        <v>26552</v>
      </c>
      <c r="P25" s="5">
        <f t="shared" si="4"/>
        <v>3.0120481927710846E-4</v>
      </c>
      <c r="Q25" s="2">
        <v>19606</v>
      </c>
      <c r="R25" s="2">
        <v>19603</v>
      </c>
      <c r="S25" s="5">
        <f t="shared" si="5"/>
        <v>1.530143833520351E-4</v>
      </c>
      <c r="T25" s="2"/>
    </row>
    <row r="26" spans="1:20" ht="15" customHeight="1" x14ac:dyDescent="0.45">
      <c r="A26" s="2" t="s">
        <v>54</v>
      </c>
      <c r="B26" s="2">
        <v>8941</v>
      </c>
      <c r="C26" s="2">
        <v>8872</v>
      </c>
      <c r="D26" s="5">
        <f t="shared" si="0"/>
        <v>7.7172575774521867E-3</v>
      </c>
      <c r="E26" s="2">
        <v>9953</v>
      </c>
      <c r="F26" s="2">
        <v>9675</v>
      </c>
      <c r="G26" s="5">
        <f t="shared" si="1"/>
        <v>2.7931277001908974E-2</v>
      </c>
      <c r="H26" s="2">
        <v>11148</v>
      </c>
      <c r="I26" s="2">
        <v>10590</v>
      </c>
      <c r="J26" s="5">
        <f t="shared" si="2"/>
        <v>5.0053821313240043E-2</v>
      </c>
      <c r="K26" s="2">
        <v>13278</v>
      </c>
      <c r="L26" s="2">
        <v>12288</v>
      </c>
      <c r="M26" s="5">
        <f t="shared" si="3"/>
        <v>7.4559421599638506E-2</v>
      </c>
      <c r="N26" s="2">
        <v>14408</v>
      </c>
      <c r="O26" s="2">
        <v>13858</v>
      </c>
      <c r="P26" s="5">
        <f t="shared" si="4"/>
        <v>3.8173237090505276E-2</v>
      </c>
      <c r="Q26" s="2">
        <v>11647</v>
      </c>
      <c r="R26" s="2">
        <v>11573</v>
      </c>
      <c r="S26" s="5">
        <f t="shared" si="5"/>
        <v>6.3535674422598096E-3</v>
      </c>
      <c r="T26" s="2"/>
    </row>
    <row r="27" spans="1:20" ht="15" customHeight="1" x14ac:dyDescent="0.45">
      <c r="A27" s="2" t="s">
        <v>64</v>
      </c>
      <c r="B27" s="2">
        <v>29692</v>
      </c>
      <c r="C27" s="2">
        <v>29692</v>
      </c>
      <c r="D27" s="5">
        <f t="shared" si="0"/>
        <v>0</v>
      </c>
      <c r="E27" s="2">
        <v>29848</v>
      </c>
      <c r="F27" s="2">
        <v>29848</v>
      </c>
      <c r="G27" s="5">
        <f t="shared" si="1"/>
        <v>0</v>
      </c>
      <c r="H27" s="2">
        <v>38339</v>
      </c>
      <c r="I27" s="2">
        <v>38332</v>
      </c>
      <c r="J27" s="5">
        <f t="shared" si="2"/>
        <v>1.8258170531312764E-4</v>
      </c>
      <c r="K27" s="2">
        <v>42631</v>
      </c>
      <c r="L27" s="2">
        <v>42584</v>
      </c>
      <c r="M27" s="5">
        <f t="shared" si="3"/>
        <v>1.1024841078088716E-3</v>
      </c>
      <c r="N27" s="2">
        <v>41358</v>
      </c>
      <c r="O27" s="2">
        <v>41333</v>
      </c>
      <c r="P27" s="5">
        <f t="shared" si="4"/>
        <v>6.0447797282267037E-4</v>
      </c>
      <c r="Q27" s="2">
        <v>33046</v>
      </c>
      <c r="R27" s="2">
        <v>33023</v>
      </c>
      <c r="S27" s="5">
        <f t="shared" si="5"/>
        <v>6.9599951582642377E-4</v>
      </c>
      <c r="T27" s="2"/>
    </row>
    <row r="28" spans="1:20" ht="15" customHeight="1" x14ac:dyDescent="0.45">
      <c r="A28" s="2" t="s">
        <v>74</v>
      </c>
      <c r="B28" s="2">
        <v>52948</v>
      </c>
      <c r="C28" s="2">
        <v>52824</v>
      </c>
      <c r="D28" s="5">
        <f t="shared" si="0"/>
        <v>2.34192037470726E-3</v>
      </c>
      <c r="E28" s="2">
        <v>51644</v>
      </c>
      <c r="F28" s="2">
        <v>51543</v>
      </c>
      <c r="G28" s="5">
        <f t="shared" si="1"/>
        <v>1.9556966927426226E-3</v>
      </c>
      <c r="H28" s="2">
        <v>54001</v>
      </c>
      <c r="I28" s="2">
        <v>53945</v>
      </c>
      <c r="J28" s="5">
        <f t="shared" si="2"/>
        <v>1.0370178330030926E-3</v>
      </c>
      <c r="K28" s="2">
        <v>60348</v>
      </c>
      <c r="L28" s="2">
        <v>60274</v>
      </c>
      <c r="M28" s="5">
        <f t="shared" si="3"/>
        <v>1.2262212500828529E-3</v>
      </c>
      <c r="N28" s="2">
        <v>67576</v>
      </c>
      <c r="O28" s="2">
        <v>67490</v>
      </c>
      <c r="P28" s="5">
        <f t="shared" si="4"/>
        <v>1.2726411743814372E-3</v>
      </c>
      <c r="Q28" s="2">
        <v>55769</v>
      </c>
      <c r="R28" s="2">
        <v>55681</v>
      </c>
      <c r="S28" s="5">
        <f t="shared" si="5"/>
        <v>1.5779375638795747E-3</v>
      </c>
      <c r="T28" s="2"/>
    </row>
    <row r="29" spans="1:20" ht="15" customHeight="1" x14ac:dyDescent="0.45">
      <c r="A29" s="2" t="s">
        <v>68</v>
      </c>
      <c r="B29" s="2">
        <v>554</v>
      </c>
      <c r="C29" s="2">
        <v>554</v>
      </c>
      <c r="D29" s="5">
        <f t="shared" si="0"/>
        <v>0</v>
      </c>
      <c r="E29" s="2">
        <v>546</v>
      </c>
      <c r="F29" s="2">
        <v>546</v>
      </c>
      <c r="G29" s="5">
        <f t="shared" si="1"/>
        <v>0</v>
      </c>
      <c r="H29" s="2">
        <v>610</v>
      </c>
      <c r="I29" s="2">
        <v>609</v>
      </c>
      <c r="J29" s="5">
        <f t="shared" si="2"/>
        <v>1.639344262295082E-3</v>
      </c>
      <c r="K29" s="2">
        <v>587</v>
      </c>
      <c r="L29" s="2">
        <v>587</v>
      </c>
      <c r="M29" s="5">
        <f t="shared" si="3"/>
        <v>0</v>
      </c>
      <c r="N29" s="2">
        <v>544</v>
      </c>
      <c r="O29" s="2">
        <v>543</v>
      </c>
      <c r="P29" s="5">
        <f t="shared" si="4"/>
        <v>1.838235294117647E-3</v>
      </c>
      <c r="Q29" s="2">
        <v>401</v>
      </c>
      <c r="R29" s="2">
        <v>401</v>
      </c>
      <c r="S29" s="5">
        <f t="shared" si="5"/>
        <v>0</v>
      </c>
      <c r="T29" s="2"/>
    </row>
    <row r="30" spans="1:20" ht="15" customHeight="1" x14ac:dyDescent="0.45">
      <c r="A30" s="2" t="s">
        <v>166</v>
      </c>
      <c r="B30" s="2">
        <v>346</v>
      </c>
      <c r="C30" s="2">
        <v>323</v>
      </c>
      <c r="D30" s="5">
        <f t="shared" si="0"/>
        <v>6.6473988439306353E-2</v>
      </c>
      <c r="E30" s="2">
        <v>346</v>
      </c>
      <c r="F30" s="2">
        <v>323</v>
      </c>
      <c r="G30" s="5">
        <f t="shared" si="1"/>
        <v>6.6473988439306353E-2</v>
      </c>
      <c r="H30" s="2">
        <v>335</v>
      </c>
      <c r="I30" s="2">
        <v>327</v>
      </c>
      <c r="J30" s="5">
        <f t="shared" si="2"/>
        <v>2.3880597014925373E-2</v>
      </c>
      <c r="K30" s="2">
        <v>348</v>
      </c>
      <c r="L30" s="2">
        <v>348</v>
      </c>
      <c r="M30" s="5">
        <f t="shared" si="3"/>
        <v>0</v>
      </c>
      <c r="N30" s="2">
        <v>386</v>
      </c>
      <c r="O30" s="2">
        <v>374</v>
      </c>
      <c r="P30" s="5">
        <f t="shared" si="4"/>
        <v>3.1088082901554404E-2</v>
      </c>
      <c r="Q30" s="2">
        <v>316</v>
      </c>
      <c r="R30" s="2">
        <v>307</v>
      </c>
      <c r="S30" s="5">
        <f t="shared" si="5"/>
        <v>2.8481012658227847E-2</v>
      </c>
      <c r="T30" s="2"/>
    </row>
    <row r="31" spans="1:20" ht="15" customHeight="1" x14ac:dyDescent="0.45">
      <c r="A31" s="2" t="s">
        <v>43</v>
      </c>
      <c r="B31" s="2">
        <v>753</v>
      </c>
      <c r="C31" s="2">
        <v>749</v>
      </c>
      <c r="D31" s="5">
        <f t="shared" si="0"/>
        <v>5.3120849933598934E-3</v>
      </c>
      <c r="E31" s="2">
        <v>719</v>
      </c>
      <c r="F31" s="2">
        <v>714</v>
      </c>
      <c r="G31" s="5">
        <f t="shared" si="1"/>
        <v>6.954102920723227E-3</v>
      </c>
      <c r="H31" s="2">
        <v>875</v>
      </c>
      <c r="I31" s="2">
        <v>874</v>
      </c>
      <c r="J31" s="5">
        <f t="shared" si="2"/>
        <v>1.1428571428571429E-3</v>
      </c>
      <c r="K31" s="2">
        <v>915</v>
      </c>
      <c r="L31" s="2">
        <v>892</v>
      </c>
      <c r="M31" s="5">
        <f t="shared" si="3"/>
        <v>2.5136612021857924E-2</v>
      </c>
      <c r="N31" s="2">
        <v>1014</v>
      </c>
      <c r="O31" s="2">
        <v>1014</v>
      </c>
      <c r="P31" s="5">
        <f t="shared" si="4"/>
        <v>0</v>
      </c>
      <c r="Q31" s="2">
        <v>767</v>
      </c>
      <c r="R31" s="2">
        <v>767</v>
      </c>
      <c r="S31" s="5">
        <f t="shared" si="5"/>
        <v>0</v>
      </c>
      <c r="T31" s="2"/>
    </row>
    <row r="32" spans="1:20" ht="15" customHeight="1" x14ac:dyDescent="0.45">
      <c r="A32" s="2" t="s">
        <v>44</v>
      </c>
      <c r="B32" s="2">
        <v>9804</v>
      </c>
      <c r="C32" s="2">
        <v>9288</v>
      </c>
      <c r="D32" s="5">
        <f t="shared" si="0"/>
        <v>5.2631578947368418E-2</v>
      </c>
      <c r="E32" s="2">
        <v>10192</v>
      </c>
      <c r="F32" s="2">
        <v>9815</v>
      </c>
      <c r="G32" s="5">
        <f t="shared" si="1"/>
        <v>3.6989795918367346E-2</v>
      </c>
      <c r="H32" s="2">
        <v>10844</v>
      </c>
      <c r="I32" s="2">
        <v>10825</v>
      </c>
      <c r="J32" s="5">
        <f t="shared" si="2"/>
        <v>1.7521209885651052E-3</v>
      </c>
      <c r="K32" s="2">
        <v>11465</v>
      </c>
      <c r="L32" s="2">
        <v>11465</v>
      </c>
      <c r="M32" s="5">
        <f t="shared" si="3"/>
        <v>0</v>
      </c>
      <c r="N32" s="2">
        <v>12445</v>
      </c>
      <c r="O32" s="2">
        <v>12341</v>
      </c>
      <c r="P32" s="5">
        <f t="shared" si="4"/>
        <v>8.3567697870630779E-3</v>
      </c>
      <c r="Q32" s="2">
        <v>10250</v>
      </c>
      <c r="R32" s="2">
        <v>10244</v>
      </c>
      <c r="S32" s="5">
        <f t="shared" si="5"/>
        <v>5.8536585365853656E-4</v>
      </c>
      <c r="T32" s="2"/>
    </row>
    <row r="33" spans="1:20" ht="15" customHeight="1" x14ac:dyDescent="0.45">
      <c r="A33" s="2" t="s">
        <v>60</v>
      </c>
      <c r="B33" s="2">
        <v>924</v>
      </c>
      <c r="C33" s="2">
        <v>917</v>
      </c>
      <c r="D33" s="5">
        <f t="shared" si="0"/>
        <v>7.575757575757576E-3</v>
      </c>
      <c r="E33" s="2">
        <v>974</v>
      </c>
      <c r="F33" s="2">
        <v>969</v>
      </c>
      <c r="G33" s="5">
        <f t="shared" si="1"/>
        <v>5.1334702258726897E-3</v>
      </c>
      <c r="H33" s="2">
        <v>1019</v>
      </c>
      <c r="I33" s="2">
        <v>1018</v>
      </c>
      <c r="J33" s="5">
        <f t="shared" si="2"/>
        <v>9.813542688910696E-4</v>
      </c>
      <c r="K33" s="2">
        <v>1014</v>
      </c>
      <c r="L33" s="2">
        <v>1014</v>
      </c>
      <c r="M33" s="5">
        <f t="shared" si="3"/>
        <v>0</v>
      </c>
      <c r="N33" s="2">
        <v>1023</v>
      </c>
      <c r="O33" s="2">
        <v>1008</v>
      </c>
      <c r="P33" s="5">
        <f t="shared" si="4"/>
        <v>1.466275659824047E-2</v>
      </c>
      <c r="Q33" s="2">
        <v>771</v>
      </c>
      <c r="R33" s="2">
        <v>770</v>
      </c>
      <c r="S33" s="5">
        <f t="shared" si="5"/>
        <v>1.2970168612191958E-3</v>
      </c>
      <c r="T33" s="2"/>
    </row>
    <row r="34" spans="1:20" ht="15" customHeight="1" x14ac:dyDescent="0.45">
      <c r="A34" s="2" t="s">
        <v>61</v>
      </c>
      <c r="B34" s="2">
        <v>2112</v>
      </c>
      <c r="C34" s="2">
        <v>2064</v>
      </c>
      <c r="D34" s="5">
        <f t="shared" si="0"/>
        <v>2.2727272727272728E-2</v>
      </c>
      <c r="E34" s="2">
        <v>2031</v>
      </c>
      <c r="F34" s="2">
        <v>2005</v>
      </c>
      <c r="G34" s="5">
        <f t="shared" si="1"/>
        <v>1.2801575578532743E-2</v>
      </c>
      <c r="H34" s="2">
        <v>2256</v>
      </c>
      <c r="I34" s="2">
        <v>2243</v>
      </c>
      <c r="J34" s="5">
        <f t="shared" si="2"/>
        <v>5.7624113475177301E-3</v>
      </c>
      <c r="K34" s="2">
        <v>2237</v>
      </c>
      <c r="L34" s="2">
        <v>2237</v>
      </c>
      <c r="M34" s="5">
        <f t="shared" si="3"/>
        <v>0</v>
      </c>
      <c r="N34" s="2">
        <v>2236</v>
      </c>
      <c r="O34" s="2">
        <v>2066</v>
      </c>
      <c r="P34" s="5">
        <f t="shared" si="4"/>
        <v>7.6028622540250446E-2</v>
      </c>
      <c r="Q34" s="2">
        <v>1514</v>
      </c>
      <c r="R34" s="2">
        <v>1514</v>
      </c>
      <c r="S34" s="5">
        <f t="shared" si="5"/>
        <v>0</v>
      </c>
      <c r="T34" s="2"/>
    </row>
    <row r="35" spans="1:20" ht="15" customHeight="1" x14ac:dyDescent="0.45">
      <c r="A35" s="2" t="s">
        <v>62</v>
      </c>
      <c r="B35" s="2">
        <v>647</v>
      </c>
      <c r="C35" s="2">
        <v>643</v>
      </c>
      <c r="D35" s="5">
        <f t="shared" si="0"/>
        <v>6.1823802163833074E-3</v>
      </c>
      <c r="E35" s="2">
        <v>728</v>
      </c>
      <c r="F35" s="2">
        <v>723</v>
      </c>
      <c r="G35" s="5">
        <f t="shared" si="1"/>
        <v>6.868131868131868E-3</v>
      </c>
      <c r="H35" s="2">
        <v>656</v>
      </c>
      <c r="I35" s="2">
        <v>644</v>
      </c>
      <c r="J35" s="5">
        <f t="shared" si="2"/>
        <v>1.8292682926829267E-2</v>
      </c>
      <c r="K35" s="2">
        <v>645</v>
      </c>
      <c r="L35" s="2">
        <v>645</v>
      </c>
      <c r="M35" s="5">
        <f t="shared" si="3"/>
        <v>0</v>
      </c>
      <c r="N35" s="2">
        <v>684</v>
      </c>
      <c r="O35" s="2">
        <v>684</v>
      </c>
      <c r="P35" s="5">
        <f t="shared" si="4"/>
        <v>0</v>
      </c>
      <c r="Q35" s="2">
        <v>516</v>
      </c>
      <c r="R35" s="2">
        <v>516</v>
      </c>
      <c r="S35" s="5">
        <f t="shared" si="5"/>
        <v>0</v>
      </c>
      <c r="T35" s="2"/>
    </row>
    <row r="36" spans="1:20" ht="15" customHeight="1" x14ac:dyDescent="0.45">
      <c r="A36" s="2" t="s">
        <v>63</v>
      </c>
      <c r="B36" s="2">
        <v>814</v>
      </c>
      <c r="C36" s="2">
        <v>809</v>
      </c>
      <c r="D36" s="5">
        <f t="shared" si="0"/>
        <v>6.1425061425061421E-3</v>
      </c>
      <c r="E36" s="2">
        <v>826</v>
      </c>
      <c r="F36" s="2">
        <v>822</v>
      </c>
      <c r="G36" s="5">
        <f t="shared" si="1"/>
        <v>4.8426150121065378E-3</v>
      </c>
      <c r="H36" s="2">
        <v>852</v>
      </c>
      <c r="I36" s="2">
        <v>851</v>
      </c>
      <c r="J36" s="5">
        <f t="shared" si="2"/>
        <v>1.1737089201877935E-3</v>
      </c>
      <c r="K36" s="2">
        <v>926</v>
      </c>
      <c r="L36" s="2">
        <v>873</v>
      </c>
      <c r="M36" s="5">
        <f t="shared" si="3"/>
        <v>5.7235421166306692E-2</v>
      </c>
      <c r="N36" s="2">
        <v>921</v>
      </c>
      <c r="O36" s="2">
        <v>921</v>
      </c>
      <c r="P36" s="5">
        <f t="shared" si="4"/>
        <v>0</v>
      </c>
      <c r="Q36" s="2">
        <v>721</v>
      </c>
      <c r="R36" s="2">
        <v>721</v>
      </c>
      <c r="S36" s="5">
        <f t="shared" si="5"/>
        <v>0</v>
      </c>
      <c r="T36" s="2"/>
    </row>
    <row r="37" spans="1:20" ht="15" customHeight="1" x14ac:dyDescent="0.45">
      <c r="A37" s="2" t="s">
        <v>70</v>
      </c>
      <c r="B37" s="2">
        <v>1538</v>
      </c>
      <c r="C37" s="2">
        <v>1515</v>
      </c>
      <c r="D37" s="5">
        <f t="shared" si="0"/>
        <v>1.495448634590377E-2</v>
      </c>
      <c r="E37" s="2">
        <v>1484</v>
      </c>
      <c r="F37" s="2">
        <v>1481</v>
      </c>
      <c r="G37" s="5">
        <f t="shared" si="1"/>
        <v>2.0215633423180594E-3</v>
      </c>
      <c r="H37" s="2">
        <v>1578</v>
      </c>
      <c r="I37" s="2">
        <v>1578</v>
      </c>
      <c r="J37" s="5">
        <f t="shared" si="2"/>
        <v>0</v>
      </c>
      <c r="K37" s="2">
        <v>1547</v>
      </c>
      <c r="L37" s="2">
        <v>1547</v>
      </c>
      <c r="M37" s="5">
        <f t="shared" si="3"/>
        <v>0</v>
      </c>
      <c r="N37" s="2">
        <v>1691</v>
      </c>
      <c r="O37" s="2">
        <v>1691</v>
      </c>
      <c r="P37" s="5">
        <f t="shared" si="4"/>
        <v>0</v>
      </c>
      <c r="Q37" s="2">
        <v>1527</v>
      </c>
      <c r="R37" s="2">
        <v>1527</v>
      </c>
      <c r="S37" s="5">
        <f t="shared" si="5"/>
        <v>0</v>
      </c>
      <c r="T37" s="2"/>
    </row>
    <row r="38" spans="1:20" ht="15" customHeight="1" x14ac:dyDescent="0.45">
      <c r="A38" s="2" t="s">
        <v>167</v>
      </c>
      <c r="B38" s="2">
        <f>SUM(B2:B37)</f>
        <v>1291402</v>
      </c>
      <c r="C38" s="2">
        <f>SUM(C2:C37)</f>
        <v>1284813</v>
      </c>
      <c r="D38" s="5">
        <f>(B38-C38)/B38</f>
        <v>5.1022067489441703E-3</v>
      </c>
      <c r="E38" s="2">
        <f>SUM(E2:E37)</f>
        <v>1275937</v>
      </c>
      <c r="F38" s="2">
        <f>SUM(F2:F37)</f>
        <v>1271037</v>
      </c>
      <c r="G38" s="5">
        <f>(E38-F38)/E38</f>
        <v>3.8403149998785207E-3</v>
      </c>
      <c r="H38" s="2">
        <f>SUM(H2:H37)</f>
        <v>1380204</v>
      </c>
      <c r="I38" s="2">
        <f>SUM(I2:I37)</f>
        <v>1374408</v>
      </c>
      <c r="J38" s="5">
        <f>(H38-I38)/H38</f>
        <v>4.1993792222019353E-3</v>
      </c>
      <c r="K38" s="2">
        <f>SUM(K2:K37)</f>
        <v>1506366</v>
      </c>
      <c r="L38" s="2">
        <f>SUM(L2:L37)</f>
        <v>1498788</v>
      </c>
      <c r="M38" s="5">
        <f>(K38-L38)/K38</f>
        <v>5.0306499217321688E-3</v>
      </c>
      <c r="N38" s="2">
        <f>SUM(N2:N37)</f>
        <v>1614796</v>
      </c>
      <c r="O38" s="2">
        <f>SUM(O2:O37)</f>
        <v>1610671</v>
      </c>
      <c r="P38" s="5">
        <f>(N38-O38)/N38</f>
        <v>2.5545022405306923E-3</v>
      </c>
      <c r="Q38" s="2">
        <f>SUM(Q2:Q37)</f>
        <v>1270725</v>
      </c>
      <c r="R38" s="2">
        <f>SUM(R2:R37)</f>
        <v>1269374</v>
      </c>
      <c r="S38" s="5">
        <f>(Q38-R38)/Q38</f>
        <v>1.0631725983198568E-3</v>
      </c>
      <c r="T38" s="2"/>
    </row>
    <row r="39" spans="1:20" ht="15" customHeight="1" x14ac:dyDescent="0.45">
      <c r="A39" s="6" t="s">
        <v>168</v>
      </c>
      <c r="B39" s="6">
        <v>1291010</v>
      </c>
      <c r="C39" s="6">
        <v>1284444</v>
      </c>
      <c r="D39" s="7">
        <f>(B39-C39)/B39</f>
        <v>5.0859404652171553E-3</v>
      </c>
      <c r="E39" s="6">
        <v>1275534</v>
      </c>
      <c r="F39" s="6">
        <v>1270663</v>
      </c>
      <c r="G39" s="7">
        <f>(E39-F39)/E39</f>
        <v>3.818792756602333E-3</v>
      </c>
      <c r="H39" s="6">
        <v>1379812</v>
      </c>
      <c r="I39" s="6">
        <v>1374024</v>
      </c>
      <c r="J39" s="7">
        <f>(H39-I39)/H39</f>
        <v>4.1947743605650623E-3</v>
      </c>
      <c r="K39" s="6">
        <v>1513497</v>
      </c>
      <c r="L39" s="6">
        <v>1505914</v>
      </c>
      <c r="M39" s="7">
        <f>(K39-L39)/K39</f>
        <v>5.010251093989615E-3</v>
      </c>
      <c r="N39" s="6">
        <v>1626132</v>
      </c>
      <c r="O39" s="6">
        <v>1622020</v>
      </c>
      <c r="P39" s="7">
        <f>(N39-O39)/N39</f>
        <v>2.5287000071334922E-3</v>
      </c>
      <c r="Q39" s="6">
        <v>1280037</v>
      </c>
      <c r="R39" s="6">
        <v>1278565</v>
      </c>
      <c r="S39" s="7">
        <f>(Q39-R39)/Q39</f>
        <v>1.1499667587733793E-3</v>
      </c>
    </row>
    <row r="40" spans="1:20" ht="1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5" customHeight="1" x14ac:dyDescent="0.45">
      <c r="A41" s="2" t="s">
        <v>169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zoomScaleNormal="100" workbookViewId="0"/>
  </sheetViews>
  <sheetFormatPr defaultColWidth="8.6640625" defaultRowHeight="14.25" x14ac:dyDescent="0.45"/>
  <cols>
    <col min="1" max="1" width="14" customWidth="1"/>
    <col min="2" max="2" width="50" customWidth="1"/>
    <col min="3" max="3" width="34" customWidth="1"/>
    <col min="4" max="4" width="42" customWidth="1"/>
    <col min="5" max="5" width="70" customWidth="1"/>
  </cols>
  <sheetData>
    <row r="1" spans="1:5" ht="15" customHeight="1" x14ac:dyDescent="0.45">
      <c r="A1" s="3" t="s">
        <v>170</v>
      </c>
      <c r="B1" s="3" t="s">
        <v>171</v>
      </c>
      <c r="C1" s="3" t="s">
        <v>172</v>
      </c>
      <c r="D1" s="3" t="s">
        <v>173</v>
      </c>
      <c r="E1" s="3" t="s">
        <v>5</v>
      </c>
    </row>
    <row r="2" spans="1:5" ht="15" customHeight="1" x14ac:dyDescent="0.45">
      <c r="A2" s="2" t="s">
        <v>174</v>
      </c>
      <c r="B2" s="2" t="s">
        <v>175</v>
      </c>
      <c r="C2" s="2" t="s">
        <v>176</v>
      </c>
      <c r="D2" s="2" t="s">
        <v>177</v>
      </c>
      <c r="E2" s="2" t="s">
        <v>9</v>
      </c>
    </row>
    <row r="3" spans="1:5" ht="15" customHeight="1" x14ac:dyDescent="0.45">
      <c r="A3" s="2" t="s">
        <v>178</v>
      </c>
      <c r="B3" s="2" t="s">
        <v>179</v>
      </c>
      <c r="C3" s="2" t="s">
        <v>180</v>
      </c>
      <c r="D3" s="2" t="s">
        <v>181</v>
      </c>
      <c r="E3" s="2" t="s">
        <v>13</v>
      </c>
    </row>
    <row r="4" spans="1:5" ht="15" customHeight="1" x14ac:dyDescent="0.45">
      <c r="A4" s="2" t="s">
        <v>182</v>
      </c>
      <c r="B4" s="2" t="s">
        <v>183</v>
      </c>
      <c r="C4" s="2" t="s">
        <v>184</v>
      </c>
      <c r="D4" s="2" t="s">
        <v>185</v>
      </c>
      <c r="E4" s="2" t="s">
        <v>186</v>
      </c>
    </row>
    <row r="5" spans="1:5" ht="15" customHeight="1" x14ac:dyDescent="0.45">
      <c r="A5" s="2" t="s">
        <v>187</v>
      </c>
      <c r="B5" s="2" t="s">
        <v>188</v>
      </c>
      <c r="C5" s="2" t="s">
        <v>189</v>
      </c>
      <c r="D5" s="2" t="s">
        <v>190</v>
      </c>
      <c r="E5" s="2" t="s">
        <v>191</v>
      </c>
    </row>
    <row r="6" spans="1:5" ht="15" customHeight="1" x14ac:dyDescent="0.45">
      <c r="A6" s="2" t="s">
        <v>192</v>
      </c>
      <c r="B6" s="2" t="s">
        <v>193</v>
      </c>
      <c r="C6" s="2" t="s">
        <v>194</v>
      </c>
      <c r="D6" s="2" t="s">
        <v>195</v>
      </c>
      <c r="E6" s="2" t="s">
        <v>196</v>
      </c>
    </row>
    <row r="7" spans="1:5" ht="15" customHeight="1" x14ac:dyDescent="0.45">
      <c r="A7" s="2" t="s">
        <v>197</v>
      </c>
      <c r="B7" s="2" t="s">
        <v>198</v>
      </c>
      <c r="C7" s="2" t="s">
        <v>199</v>
      </c>
      <c r="D7" s="2" t="s">
        <v>200</v>
      </c>
      <c r="E7" s="2" t="s">
        <v>201</v>
      </c>
    </row>
    <row r="8" spans="1:5" ht="15" customHeight="1" x14ac:dyDescent="0.45">
      <c r="A8" s="2" t="s">
        <v>202</v>
      </c>
      <c r="B8" s="2" t="s">
        <v>203</v>
      </c>
      <c r="C8" s="2" t="s">
        <v>204</v>
      </c>
      <c r="D8" s="2" t="s">
        <v>205</v>
      </c>
      <c r="E8" s="2" t="s">
        <v>186</v>
      </c>
    </row>
    <row r="9" spans="1:5" ht="15" customHeight="1" x14ac:dyDescent="0.45">
      <c r="A9" s="2" t="s">
        <v>206</v>
      </c>
      <c r="B9" s="2" t="s">
        <v>203</v>
      </c>
      <c r="C9" s="2" t="s">
        <v>207</v>
      </c>
      <c r="D9" s="2" t="s">
        <v>208</v>
      </c>
      <c r="E9" s="2" t="s">
        <v>209</v>
      </c>
    </row>
    <row r="10" spans="1:5" ht="15" customHeight="1" x14ac:dyDescent="0.45">
      <c r="A10" s="2" t="s">
        <v>210</v>
      </c>
      <c r="B10" s="2" t="s">
        <v>211</v>
      </c>
      <c r="C10" s="2" t="s">
        <v>212</v>
      </c>
      <c r="D10" s="2" t="s">
        <v>213</v>
      </c>
      <c r="E10" s="2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0"/>
  <sheetViews>
    <sheetView zoomScaleNormal="100" workbookViewId="0"/>
  </sheetViews>
  <sheetFormatPr defaultColWidth="8.6640625" defaultRowHeight="14.25" x14ac:dyDescent="0.45"/>
  <cols>
    <col min="1" max="1" width="34" customWidth="1"/>
    <col min="2" max="7" width="15" customWidth="1"/>
    <col min="8" max="8" width="14" customWidth="1"/>
    <col min="9" max="9" width="80" customWidth="1"/>
  </cols>
  <sheetData>
    <row r="1" spans="1:9" x14ac:dyDescent="0.45">
      <c r="A1" s="3" t="s">
        <v>35</v>
      </c>
      <c r="B1" s="3" t="s">
        <v>214</v>
      </c>
      <c r="C1" s="3" t="s">
        <v>215</v>
      </c>
      <c r="D1" s="3" t="s">
        <v>216</v>
      </c>
      <c r="E1" s="3" t="s">
        <v>217</v>
      </c>
      <c r="F1" s="3" t="s">
        <v>218</v>
      </c>
      <c r="G1" s="3" t="s">
        <v>219</v>
      </c>
      <c r="H1" s="3" t="s">
        <v>220</v>
      </c>
      <c r="I1" s="3" t="s">
        <v>136</v>
      </c>
    </row>
    <row r="2" spans="1:9" x14ac:dyDescent="0.45">
      <c r="A2" s="2" t="s">
        <v>221</v>
      </c>
      <c r="B2" s="2">
        <v>197275</v>
      </c>
      <c r="C2" s="2" t="s">
        <v>222</v>
      </c>
      <c r="D2" s="2" t="s">
        <v>222</v>
      </c>
      <c r="E2" s="2">
        <v>152859</v>
      </c>
      <c r="F2" s="2" t="s">
        <v>222</v>
      </c>
      <c r="G2" s="2" t="s">
        <v>222</v>
      </c>
      <c r="H2" s="2">
        <v>37.700000000000003</v>
      </c>
      <c r="I2" s="2" t="s">
        <v>223</v>
      </c>
    </row>
    <row r="3" spans="1:9" x14ac:dyDescent="0.45">
      <c r="A3" s="2" t="s">
        <v>42</v>
      </c>
      <c r="B3" s="2">
        <v>163746</v>
      </c>
      <c r="C3" s="2">
        <v>192587</v>
      </c>
      <c r="D3" s="2">
        <v>219518</v>
      </c>
      <c r="E3" s="2">
        <v>105880</v>
      </c>
      <c r="F3" s="2">
        <v>117464</v>
      </c>
      <c r="G3" s="2">
        <v>123526</v>
      </c>
      <c r="H3" s="2" t="s">
        <v>224</v>
      </c>
      <c r="I3" s="2"/>
    </row>
    <row r="4" spans="1:9" x14ac:dyDescent="0.45">
      <c r="A4" s="2" t="s">
        <v>225</v>
      </c>
      <c r="B4" s="2" t="s">
        <v>222</v>
      </c>
      <c r="C4" s="2" t="s">
        <v>222</v>
      </c>
      <c r="D4" s="2" t="s">
        <v>222</v>
      </c>
      <c r="E4" s="2" t="s">
        <v>222</v>
      </c>
      <c r="F4" s="2" t="s">
        <v>222</v>
      </c>
      <c r="G4" s="2" t="s">
        <v>222</v>
      </c>
      <c r="H4" s="2">
        <v>33.4</v>
      </c>
      <c r="I4" s="2"/>
    </row>
    <row r="5" spans="1:9" x14ac:dyDescent="0.45">
      <c r="A5" s="2" t="s">
        <v>43</v>
      </c>
      <c r="B5" s="2">
        <v>190212</v>
      </c>
      <c r="C5" s="2">
        <v>215897</v>
      </c>
      <c r="D5" s="2" t="s">
        <v>222</v>
      </c>
      <c r="E5" s="2">
        <v>106903</v>
      </c>
      <c r="F5" s="2">
        <v>115311</v>
      </c>
      <c r="G5" s="2" t="s">
        <v>222</v>
      </c>
      <c r="H5" s="2">
        <v>22.9</v>
      </c>
      <c r="I5" s="2"/>
    </row>
    <row r="6" spans="1:9" x14ac:dyDescent="0.45">
      <c r="A6" s="2" t="s">
        <v>44</v>
      </c>
      <c r="B6" s="2">
        <v>90482</v>
      </c>
      <c r="C6" s="2">
        <v>102965</v>
      </c>
      <c r="D6" s="2">
        <v>118504</v>
      </c>
      <c r="E6" s="2">
        <v>61304</v>
      </c>
      <c r="F6" s="2">
        <v>65726</v>
      </c>
      <c r="G6" s="2">
        <v>69826</v>
      </c>
      <c r="H6" s="2">
        <v>14.1</v>
      </c>
      <c r="I6" s="2"/>
    </row>
    <row r="7" spans="1:9" x14ac:dyDescent="0.45">
      <c r="A7" s="2" t="s">
        <v>45</v>
      </c>
      <c r="B7" s="2">
        <v>43605</v>
      </c>
      <c r="C7" s="2">
        <v>49470</v>
      </c>
      <c r="D7" s="2" t="s">
        <v>222</v>
      </c>
      <c r="E7" s="2">
        <v>28127</v>
      </c>
      <c r="F7" s="2">
        <v>30779</v>
      </c>
      <c r="G7" s="2" t="s">
        <v>222</v>
      </c>
      <c r="H7" s="2">
        <v>11.3</v>
      </c>
      <c r="I7" s="2"/>
    </row>
    <row r="8" spans="1:9" x14ac:dyDescent="0.45">
      <c r="A8" s="2" t="s">
        <v>46</v>
      </c>
      <c r="B8" s="2">
        <v>291194</v>
      </c>
      <c r="C8" s="2">
        <v>349373</v>
      </c>
      <c r="D8" s="2" t="s">
        <v>222</v>
      </c>
      <c r="E8" s="2">
        <v>199845</v>
      </c>
      <c r="F8" s="2">
        <v>215825</v>
      </c>
      <c r="G8" s="2" t="s">
        <v>222</v>
      </c>
      <c r="H8" s="2">
        <v>97.3</v>
      </c>
      <c r="I8" s="2"/>
    </row>
    <row r="9" spans="1:9" x14ac:dyDescent="0.45">
      <c r="A9" s="2" t="s">
        <v>47</v>
      </c>
      <c r="B9" s="2">
        <v>104788</v>
      </c>
      <c r="C9" s="2">
        <v>120704</v>
      </c>
      <c r="D9" s="2">
        <v>133898</v>
      </c>
      <c r="E9" s="2">
        <v>73259</v>
      </c>
      <c r="F9" s="2">
        <v>78377</v>
      </c>
      <c r="G9" s="2">
        <v>83511</v>
      </c>
      <c r="H9" s="2">
        <v>23.2</v>
      </c>
      <c r="I9" s="2"/>
    </row>
    <row r="10" spans="1:9" x14ac:dyDescent="0.45">
      <c r="A10" s="2" t="s">
        <v>226</v>
      </c>
      <c r="B10" s="2" t="s">
        <v>222</v>
      </c>
      <c r="C10" s="2" t="s">
        <v>222</v>
      </c>
      <c r="D10" s="2" t="s">
        <v>222</v>
      </c>
      <c r="E10" s="2" t="s">
        <v>222</v>
      </c>
      <c r="F10" s="2" t="s">
        <v>222</v>
      </c>
      <c r="G10" s="2" t="s">
        <v>222</v>
      </c>
      <c r="H10" s="2">
        <v>46.7</v>
      </c>
      <c r="I10" s="2"/>
    </row>
    <row r="11" spans="1:9" x14ac:dyDescent="0.45">
      <c r="A11" s="2" t="s">
        <v>227</v>
      </c>
      <c r="B11" s="2" t="s">
        <v>222</v>
      </c>
      <c r="C11" s="2" t="s">
        <v>222</v>
      </c>
      <c r="D11" s="2" t="s">
        <v>222</v>
      </c>
      <c r="E11" s="2" t="s">
        <v>222</v>
      </c>
      <c r="F11" s="2" t="s">
        <v>222</v>
      </c>
      <c r="G11" s="2" t="s">
        <v>222</v>
      </c>
      <c r="H11" s="2">
        <v>75.2</v>
      </c>
      <c r="I11" s="2"/>
    </row>
    <row r="12" spans="1:9" x14ac:dyDescent="0.45">
      <c r="A12" s="2" t="s">
        <v>48</v>
      </c>
      <c r="B12" s="2">
        <v>331112</v>
      </c>
      <c r="C12" s="2">
        <v>389529</v>
      </c>
      <c r="D12" s="2" t="s">
        <v>222</v>
      </c>
      <c r="E12" s="2">
        <v>234569</v>
      </c>
      <c r="F12" s="2">
        <v>252024</v>
      </c>
      <c r="G12" s="2" t="s">
        <v>222</v>
      </c>
      <c r="H12" s="2">
        <v>97.5</v>
      </c>
      <c r="I12" s="2"/>
    </row>
    <row r="13" spans="1:9" x14ac:dyDescent="0.45">
      <c r="A13" s="2" t="s">
        <v>49</v>
      </c>
      <c r="B13" s="2">
        <v>431351</v>
      </c>
      <c r="C13" s="2">
        <v>472070</v>
      </c>
      <c r="D13" s="2" t="s">
        <v>222</v>
      </c>
      <c r="E13" s="2">
        <v>298527</v>
      </c>
      <c r="F13" s="2">
        <v>310201</v>
      </c>
      <c r="G13" s="2" t="s">
        <v>222</v>
      </c>
      <c r="H13" s="2">
        <v>62.2</v>
      </c>
      <c r="I13" s="2"/>
    </row>
    <row r="14" spans="1:9" x14ac:dyDescent="0.45">
      <c r="A14" s="2" t="s">
        <v>50</v>
      </c>
      <c r="B14" s="2">
        <v>212821</v>
      </c>
      <c r="C14" s="2">
        <v>250100</v>
      </c>
      <c r="D14" s="2" t="s">
        <v>222</v>
      </c>
      <c r="E14" s="2">
        <v>160321</v>
      </c>
      <c r="F14" s="2">
        <v>174539</v>
      </c>
      <c r="G14" s="2" t="s">
        <v>222</v>
      </c>
      <c r="H14" s="2">
        <v>42.6</v>
      </c>
      <c r="I14" s="2"/>
    </row>
    <row r="15" spans="1:9" x14ac:dyDescent="0.45">
      <c r="A15" s="2" t="s">
        <v>51</v>
      </c>
      <c r="B15" s="2">
        <v>229065</v>
      </c>
      <c r="C15" s="2">
        <v>264835</v>
      </c>
      <c r="D15" s="2">
        <v>296685</v>
      </c>
      <c r="E15" s="2">
        <v>155756</v>
      </c>
      <c r="F15" s="2">
        <v>172657</v>
      </c>
      <c r="G15" s="2">
        <v>181961</v>
      </c>
      <c r="H15" s="2">
        <v>34.9</v>
      </c>
      <c r="I15" s="2"/>
    </row>
    <row r="16" spans="1:9" x14ac:dyDescent="0.45">
      <c r="A16" s="2" t="s">
        <v>52</v>
      </c>
      <c r="B16" s="2">
        <v>183333</v>
      </c>
      <c r="C16" s="2">
        <v>201854</v>
      </c>
      <c r="D16" s="2" t="s">
        <v>222</v>
      </c>
      <c r="E16" s="2">
        <v>133079</v>
      </c>
      <c r="F16" s="2">
        <v>141830</v>
      </c>
      <c r="G16" s="2" t="s">
        <v>222</v>
      </c>
      <c r="H16" s="2">
        <v>10</v>
      </c>
      <c r="I16" s="2"/>
    </row>
    <row r="17" spans="1:9" x14ac:dyDescent="0.45">
      <c r="A17" s="2" t="s">
        <v>140</v>
      </c>
      <c r="B17" s="2">
        <v>102803</v>
      </c>
      <c r="C17" s="2">
        <v>116619</v>
      </c>
      <c r="D17" s="2">
        <v>132806</v>
      </c>
      <c r="E17" s="2">
        <v>65172</v>
      </c>
      <c r="F17" s="2">
        <v>69665</v>
      </c>
      <c r="G17" s="2">
        <v>74602</v>
      </c>
      <c r="H17" s="2">
        <v>27.4</v>
      </c>
      <c r="I17" s="2"/>
    </row>
    <row r="18" spans="1:9" x14ac:dyDescent="0.45">
      <c r="A18" s="2" t="s">
        <v>54</v>
      </c>
      <c r="B18" s="2">
        <v>71071</v>
      </c>
      <c r="C18" s="2">
        <v>78660</v>
      </c>
      <c r="D18" s="2" t="s">
        <v>222</v>
      </c>
      <c r="E18" s="2">
        <v>51365</v>
      </c>
      <c r="F18" s="2">
        <v>55126</v>
      </c>
      <c r="G18" s="2" t="s">
        <v>222</v>
      </c>
      <c r="H18" s="2">
        <v>24</v>
      </c>
      <c r="I18" s="2"/>
    </row>
    <row r="19" spans="1:9" x14ac:dyDescent="0.45">
      <c r="A19" s="2" t="s">
        <v>55</v>
      </c>
      <c r="B19" s="2">
        <v>221310</v>
      </c>
      <c r="C19" s="2">
        <v>265623</v>
      </c>
      <c r="D19" s="2">
        <v>301673</v>
      </c>
      <c r="E19" s="2">
        <v>149030</v>
      </c>
      <c r="F19" s="2">
        <v>164471</v>
      </c>
      <c r="G19" s="2">
        <v>176383</v>
      </c>
      <c r="H19" s="2">
        <v>38.700000000000003</v>
      </c>
      <c r="I19" s="2"/>
    </row>
    <row r="20" spans="1:9" x14ac:dyDescent="0.45">
      <c r="A20" s="2" t="s">
        <v>56</v>
      </c>
      <c r="B20" s="2">
        <v>194322</v>
      </c>
      <c r="C20" s="2">
        <v>228767</v>
      </c>
      <c r="D20" s="2" t="s">
        <v>222</v>
      </c>
      <c r="E20" s="2">
        <v>132700</v>
      </c>
      <c r="F20" s="2">
        <v>148790</v>
      </c>
      <c r="G20" s="2" t="s">
        <v>222</v>
      </c>
      <c r="H20" s="2">
        <v>47.7</v>
      </c>
      <c r="I20" s="2"/>
    </row>
    <row r="21" spans="1:9" x14ac:dyDescent="0.45">
      <c r="A21" s="2" t="s">
        <v>141</v>
      </c>
      <c r="B21" s="2" t="s">
        <v>222</v>
      </c>
      <c r="C21" s="2" t="s">
        <v>222</v>
      </c>
      <c r="D21" s="2" t="s">
        <v>222</v>
      </c>
      <c r="E21" s="2" t="s">
        <v>222</v>
      </c>
      <c r="F21" s="2" t="s">
        <v>222</v>
      </c>
      <c r="G21" s="2" t="s">
        <v>222</v>
      </c>
      <c r="H21" s="2">
        <v>78.099999999999994</v>
      </c>
      <c r="I21" s="2"/>
    </row>
    <row r="22" spans="1:9" x14ac:dyDescent="0.45">
      <c r="A22" s="2" t="s">
        <v>58</v>
      </c>
      <c r="B22" s="2">
        <v>103654</v>
      </c>
      <c r="C22" s="2">
        <v>121594</v>
      </c>
      <c r="D22" s="2">
        <v>140583</v>
      </c>
      <c r="E22" s="2">
        <v>56320</v>
      </c>
      <c r="F22" s="2">
        <v>61534</v>
      </c>
      <c r="G22" s="2">
        <v>65023</v>
      </c>
      <c r="H22" s="2">
        <v>27.6</v>
      </c>
      <c r="I22" s="2"/>
    </row>
    <row r="23" spans="1:9" x14ac:dyDescent="0.45">
      <c r="A23" s="2" t="s">
        <v>59</v>
      </c>
      <c r="B23" s="2">
        <v>183704</v>
      </c>
      <c r="C23" s="2">
        <v>215233</v>
      </c>
      <c r="D23" s="2">
        <v>242247</v>
      </c>
      <c r="E23" s="2">
        <v>127970</v>
      </c>
      <c r="F23" s="2">
        <v>138490</v>
      </c>
      <c r="G23" s="2">
        <v>146774</v>
      </c>
      <c r="H23" s="2">
        <v>45.2</v>
      </c>
      <c r="I23" s="2"/>
    </row>
    <row r="24" spans="1:9" x14ac:dyDescent="0.45">
      <c r="A24" s="2" t="s">
        <v>60</v>
      </c>
      <c r="B24" s="2">
        <v>79797</v>
      </c>
      <c r="C24" s="2">
        <v>84345</v>
      </c>
      <c r="D24" s="2" t="s">
        <v>222</v>
      </c>
      <c r="E24" s="2">
        <v>46968</v>
      </c>
      <c r="F24" s="2">
        <v>46341</v>
      </c>
      <c r="G24" s="2" t="s">
        <v>222</v>
      </c>
      <c r="H24" s="2">
        <v>32.5</v>
      </c>
      <c r="I24" s="2"/>
    </row>
    <row r="25" spans="1:9" x14ac:dyDescent="0.45">
      <c r="A25" s="2" t="s">
        <v>61</v>
      </c>
      <c r="B25" s="2">
        <v>84638</v>
      </c>
      <c r="C25" s="2">
        <v>90638</v>
      </c>
      <c r="D25" s="2">
        <v>98572</v>
      </c>
      <c r="E25" s="2">
        <v>56679</v>
      </c>
      <c r="F25" s="2">
        <v>60606</v>
      </c>
      <c r="G25" s="2">
        <v>65336</v>
      </c>
      <c r="H25" s="2">
        <v>20.100000000000001</v>
      </c>
      <c r="I25" s="2"/>
    </row>
    <row r="26" spans="1:9" x14ac:dyDescent="0.45">
      <c r="A26" s="2" t="s">
        <v>62</v>
      </c>
      <c r="B26" s="2">
        <v>187838</v>
      </c>
      <c r="C26" s="2">
        <v>188839</v>
      </c>
      <c r="D26" s="2" t="s">
        <v>222</v>
      </c>
      <c r="E26" s="2">
        <v>118555</v>
      </c>
      <c r="F26" s="2">
        <v>111180</v>
      </c>
      <c r="G26" s="2" t="s">
        <v>222</v>
      </c>
      <c r="H26" s="2">
        <v>52.1</v>
      </c>
      <c r="I26" s="2"/>
    </row>
    <row r="27" spans="1:9" x14ac:dyDescent="0.45">
      <c r="A27" s="2" t="s">
        <v>63</v>
      </c>
      <c r="B27" s="2">
        <v>126452</v>
      </c>
      <c r="C27" s="2">
        <v>142363</v>
      </c>
      <c r="D27" s="2" t="s">
        <v>222</v>
      </c>
      <c r="E27" s="2">
        <v>72215</v>
      </c>
      <c r="F27" s="2">
        <v>79188</v>
      </c>
      <c r="G27" s="2" t="s">
        <v>222</v>
      </c>
      <c r="H27" s="2">
        <v>28.9</v>
      </c>
      <c r="I27" s="2"/>
    </row>
    <row r="28" spans="1:9" x14ac:dyDescent="0.45">
      <c r="A28" s="2" t="s">
        <v>64</v>
      </c>
      <c r="B28" s="2">
        <v>102166</v>
      </c>
      <c r="C28" s="2">
        <v>128873</v>
      </c>
      <c r="D28" s="2">
        <v>150676</v>
      </c>
      <c r="E28" s="2">
        <v>70877</v>
      </c>
      <c r="F28" s="2">
        <v>79899</v>
      </c>
      <c r="G28" s="2">
        <v>86512</v>
      </c>
      <c r="H28" s="2">
        <v>16.7</v>
      </c>
      <c r="I28" s="2"/>
    </row>
    <row r="29" spans="1:9" x14ac:dyDescent="0.45">
      <c r="A29" s="2" t="s">
        <v>65</v>
      </c>
      <c r="B29" s="2">
        <v>203178</v>
      </c>
      <c r="C29" s="2">
        <v>209890</v>
      </c>
      <c r="D29" s="2" t="s">
        <v>222</v>
      </c>
      <c r="E29" s="2">
        <v>144866</v>
      </c>
      <c r="F29" s="2">
        <v>149513</v>
      </c>
      <c r="G29" s="2" t="s">
        <v>222</v>
      </c>
      <c r="H29" s="2">
        <v>68.3</v>
      </c>
      <c r="I29" s="2"/>
    </row>
    <row r="30" spans="1:9" x14ac:dyDescent="0.45">
      <c r="A30" s="2" t="s">
        <v>66</v>
      </c>
      <c r="B30" s="2">
        <v>149193</v>
      </c>
      <c r="C30" s="2">
        <v>161888</v>
      </c>
      <c r="D30" s="2">
        <v>173873</v>
      </c>
      <c r="E30" s="2">
        <v>111662</v>
      </c>
      <c r="F30" s="2">
        <v>116850</v>
      </c>
      <c r="G30" s="2">
        <v>121671</v>
      </c>
      <c r="H30" s="2">
        <v>37.5</v>
      </c>
      <c r="I30" s="2"/>
    </row>
    <row r="31" spans="1:9" x14ac:dyDescent="0.45">
      <c r="A31" s="2" t="s">
        <v>67</v>
      </c>
      <c r="B31" s="2">
        <v>115122</v>
      </c>
      <c r="C31" s="2">
        <v>135962</v>
      </c>
      <c r="D31" s="2">
        <v>156149</v>
      </c>
      <c r="E31" s="2">
        <v>73140</v>
      </c>
      <c r="F31" s="2">
        <v>80545</v>
      </c>
      <c r="G31" s="2">
        <v>86134</v>
      </c>
      <c r="H31" s="2">
        <v>24.9</v>
      </c>
      <c r="I31" s="2"/>
    </row>
    <row r="32" spans="1:9" x14ac:dyDescent="0.45">
      <c r="A32" s="2" t="s">
        <v>68</v>
      </c>
      <c r="B32" s="2">
        <v>412754</v>
      </c>
      <c r="C32" s="2">
        <v>472543</v>
      </c>
      <c r="D32" s="2" t="s">
        <v>222</v>
      </c>
      <c r="E32" s="2">
        <v>239928</v>
      </c>
      <c r="F32" s="2">
        <v>256507</v>
      </c>
      <c r="G32" s="2" t="s">
        <v>222</v>
      </c>
      <c r="H32" s="2">
        <v>25.2</v>
      </c>
      <c r="I32" s="2"/>
    </row>
    <row r="33" spans="1:9" x14ac:dyDescent="0.45">
      <c r="A33" s="2" t="s">
        <v>69</v>
      </c>
      <c r="B33" s="2">
        <v>212174</v>
      </c>
      <c r="C33" s="2">
        <v>241131</v>
      </c>
      <c r="D33" s="2">
        <v>273288</v>
      </c>
      <c r="E33" s="2">
        <v>143528</v>
      </c>
      <c r="F33" s="2">
        <v>154427</v>
      </c>
      <c r="G33" s="2">
        <v>166463</v>
      </c>
      <c r="H33" s="2">
        <v>48.4</v>
      </c>
      <c r="I33" s="2"/>
    </row>
    <row r="34" spans="1:9" x14ac:dyDescent="0.45">
      <c r="A34" s="2" t="s">
        <v>142</v>
      </c>
      <c r="B34" s="2">
        <v>225687</v>
      </c>
      <c r="C34" s="2">
        <v>265942</v>
      </c>
      <c r="D34" s="2">
        <v>308732</v>
      </c>
      <c r="E34" s="2">
        <v>139640</v>
      </c>
      <c r="F34" s="2">
        <v>154122</v>
      </c>
      <c r="G34" s="2">
        <v>164657</v>
      </c>
      <c r="H34" s="2" t="s">
        <v>224</v>
      </c>
      <c r="I34" s="2"/>
    </row>
    <row r="35" spans="1:9" x14ac:dyDescent="0.45">
      <c r="A35" s="2" t="s">
        <v>70</v>
      </c>
      <c r="B35" s="2">
        <v>119789</v>
      </c>
      <c r="C35" s="2">
        <v>140803</v>
      </c>
      <c r="D35" s="2" t="s">
        <v>222</v>
      </c>
      <c r="E35" s="2">
        <v>80512</v>
      </c>
      <c r="F35" s="2">
        <v>86539</v>
      </c>
      <c r="G35" s="2" t="s">
        <v>222</v>
      </c>
      <c r="H35" s="2">
        <v>26.2</v>
      </c>
      <c r="I35" s="2"/>
    </row>
    <row r="36" spans="1:9" x14ac:dyDescent="0.45">
      <c r="A36" s="2" t="s">
        <v>72</v>
      </c>
      <c r="B36" s="2">
        <v>61374</v>
      </c>
      <c r="C36" s="2">
        <v>70792</v>
      </c>
      <c r="D36" s="2" t="s">
        <v>222</v>
      </c>
      <c r="E36" s="2">
        <v>39298</v>
      </c>
      <c r="F36" s="2">
        <v>42525</v>
      </c>
      <c r="G36" s="2" t="s">
        <v>222</v>
      </c>
      <c r="H36" s="2">
        <v>22.3</v>
      </c>
      <c r="I36" s="2"/>
    </row>
    <row r="37" spans="1:9" x14ac:dyDescent="0.45">
      <c r="A37" s="2" t="s">
        <v>73</v>
      </c>
      <c r="B37" s="2">
        <v>184002</v>
      </c>
      <c r="C37" s="2">
        <v>211657</v>
      </c>
      <c r="D37" s="2">
        <v>233565</v>
      </c>
      <c r="E37" s="2">
        <v>137987</v>
      </c>
      <c r="F37" s="2">
        <v>149015</v>
      </c>
      <c r="G37" s="2">
        <v>158245</v>
      </c>
      <c r="H37" s="2">
        <v>30.2</v>
      </c>
      <c r="I37" s="2"/>
    </row>
    <row r="38" spans="1:9" x14ac:dyDescent="0.45">
      <c r="A38" s="2" t="s">
        <v>74</v>
      </c>
      <c r="B38" s="2">
        <v>106510</v>
      </c>
      <c r="C38" s="2">
        <v>124798</v>
      </c>
      <c r="D38" s="2">
        <v>141373</v>
      </c>
      <c r="E38" s="2">
        <v>63562</v>
      </c>
      <c r="F38" s="2">
        <v>69890</v>
      </c>
      <c r="G38" s="2">
        <v>75561</v>
      </c>
      <c r="H38" s="2">
        <v>31.9</v>
      </c>
      <c r="I38" s="2"/>
    </row>
    <row r="39" spans="1:9" x14ac:dyDescent="0.4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45">
      <c r="A40" s="2" t="s">
        <v>228</v>
      </c>
      <c r="B40" s="2"/>
      <c r="C40" s="2"/>
      <c r="D40" s="2"/>
      <c r="E40" s="2"/>
      <c r="F40" s="2"/>
      <c r="G40" s="2"/>
      <c r="H40" s="2"/>
      <c r="I40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README_Sources</vt:lpstr>
      <vt:lpstr>EV_Statewise_03Aug2023</vt:lpstr>
      <vt:lpstr>EV_vs_Total_FY2019_24</vt:lpstr>
      <vt:lpstr>ChargingStations_Statewise</vt:lpstr>
      <vt:lpstr>ElecDemand_FY20_FY25</vt:lpstr>
      <vt:lpstr>National_Checkpoints</vt:lpstr>
      <vt:lpstr>Controls_NSDP_Urbanisation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Suunil Dabral</cp:lastModifiedBy>
  <cp:revision>0</cp:revision>
  <dcterms:created xsi:type="dcterms:W3CDTF">2026-07-04T17:19:59Z</dcterms:created>
  <dcterms:modified xsi:type="dcterms:W3CDTF">2026-07-05T16:50:27Z</dcterms:modified>
  <dc:language>en-US</dc:language>
</cp:coreProperties>
</file>