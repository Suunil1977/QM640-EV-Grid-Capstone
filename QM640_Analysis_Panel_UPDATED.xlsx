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suunil_dabral\Downloads\files\"/>
    </mc:Choice>
  </mc:AlternateContent>
  <xr:revisionPtr revIDLastSave="0" documentId="13_ncr:1_{2132CDD0-A97F-41B5-9482-E5E86241C086}" xr6:coauthVersionLast="47" xr6:coauthVersionMax="47" xr10:uidLastSave="{00000000-0000-0000-0000-000000000000}"/>
  <bookViews>
    <workbookView xWindow="-110" yWindow="-110" windowWidth="19420" windowHeight="11500" tabRatio="500" xr2:uid="{00000000-000D-0000-FFFF-FFFF00000000}"/>
  </bookViews>
  <sheets>
    <sheet name="Sheet_Inventory" sheetId="1" r:id="rId1"/>
    <sheet name="Panel_State_FY" sheetId="2" r:id="rId2"/>
    <sheet name="Trends_National" sheetId="3" r:id="rId3"/>
    <sheet name="Trends_Statewise" sheetId="4" r:id="rId4"/>
    <sheet name="PeakDemand_State_Month" sheetId="5" r:id="rId5"/>
    <sheet name="PeakDemand_State_FY" sheetId="6" r:id="rId6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41" i="6" l="1"/>
  <c r="F340" i="6"/>
  <c r="F339" i="6"/>
  <c r="F338" i="6"/>
  <c r="F337" i="6"/>
  <c r="F336" i="6"/>
  <c r="F335" i="6"/>
  <c r="F334" i="6"/>
  <c r="F333" i="6"/>
  <c r="F332" i="6"/>
  <c r="F331" i="6"/>
  <c r="F330" i="6"/>
  <c r="F329" i="6"/>
  <c r="F328" i="6"/>
  <c r="F327" i="6"/>
  <c r="F326" i="6"/>
  <c r="F325" i="6"/>
  <c r="F324" i="6"/>
  <c r="F323" i="6"/>
  <c r="F322" i="6"/>
  <c r="F321" i="6"/>
  <c r="F320" i="6"/>
  <c r="F319" i="6"/>
  <c r="F318" i="6"/>
  <c r="F317" i="6"/>
  <c r="F316" i="6"/>
  <c r="F315" i="6"/>
  <c r="F314" i="6"/>
  <c r="F313" i="6"/>
  <c r="F312" i="6"/>
  <c r="F311" i="6"/>
  <c r="F310" i="6"/>
  <c r="F309" i="6"/>
  <c r="F308" i="6"/>
  <c r="F307" i="6"/>
  <c r="F306" i="6"/>
  <c r="F305" i="6"/>
  <c r="F304" i="6"/>
  <c r="F303" i="6"/>
  <c r="F302" i="6"/>
  <c r="F301" i="6"/>
  <c r="F300" i="6"/>
  <c r="F299" i="6"/>
  <c r="F298" i="6"/>
  <c r="F297" i="6"/>
  <c r="F296" i="6"/>
  <c r="F295" i="6"/>
  <c r="F294" i="6"/>
  <c r="F293" i="6"/>
  <c r="F292" i="6"/>
  <c r="F291" i="6"/>
  <c r="F290" i="6"/>
  <c r="F289" i="6"/>
  <c r="F288" i="6"/>
  <c r="F287" i="6"/>
  <c r="F286" i="6"/>
  <c r="F285" i="6"/>
  <c r="F284" i="6"/>
  <c r="F283" i="6"/>
  <c r="F282" i="6"/>
  <c r="F281" i="6"/>
  <c r="F280" i="6"/>
  <c r="F279" i="6"/>
  <c r="F278" i="6"/>
  <c r="F277" i="6"/>
  <c r="F276" i="6"/>
  <c r="F275" i="6"/>
  <c r="F274" i="6"/>
  <c r="F273" i="6"/>
  <c r="F272" i="6"/>
  <c r="F271" i="6"/>
  <c r="F270" i="6"/>
  <c r="F269" i="6"/>
  <c r="F268" i="6"/>
  <c r="F267" i="6"/>
  <c r="F266" i="6"/>
  <c r="F265" i="6"/>
  <c r="F264" i="6"/>
  <c r="F263" i="6"/>
  <c r="F262" i="6"/>
  <c r="F261" i="6"/>
  <c r="F260" i="6"/>
  <c r="F259" i="6"/>
  <c r="F258" i="6"/>
  <c r="F257" i="6"/>
  <c r="F256" i="6"/>
  <c r="F255" i="6"/>
  <c r="F254" i="6"/>
  <c r="F253" i="6"/>
  <c r="F252" i="6"/>
  <c r="F251" i="6"/>
  <c r="F250" i="6"/>
  <c r="F249" i="6"/>
  <c r="F248" i="6"/>
  <c r="F247" i="6"/>
  <c r="F246" i="6"/>
  <c r="F245" i="6"/>
  <c r="F244" i="6"/>
  <c r="F243" i="6"/>
  <c r="F242" i="6"/>
  <c r="F241" i="6"/>
  <c r="F240" i="6"/>
  <c r="F239" i="6"/>
  <c r="F238" i="6"/>
  <c r="F237" i="6"/>
  <c r="F236" i="6"/>
  <c r="F235" i="6"/>
  <c r="F234" i="6"/>
  <c r="F233" i="6"/>
  <c r="F232" i="6"/>
  <c r="F231" i="6"/>
  <c r="F230" i="6"/>
  <c r="F229" i="6"/>
  <c r="F228" i="6"/>
  <c r="F227" i="6"/>
  <c r="F226" i="6"/>
  <c r="F225" i="6"/>
  <c r="F224" i="6"/>
  <c r="F223" i="6"/>
  <c r="F222" i="6"/>
  <c r="F221" i="6"/>
  <c r="F220" i="6"/>
  <c r="F219" i="6"/>
  <c r="F218" i="6"/>
  <c r="F217" i="6"/>
  <c r="F216" i="6"/>
  <c r="F215" i="6"/>
  <c r="F214" i="6"/>
  <c r="F213" i="6"/>
  <c r="F212" i="6"/>
  <c r="F211" i="6"/>
  <c r="F210" i="6"/>
  <c r="F209" i="6"/>
  <c r="F208" i="6"/>
  <c r="F207" i="6"/>
  <c r="F206" i="6"/>
  <c r="F205" i="6"/>
  <c r="F204" i="6"/>
  <c r="F203" i="6"/>
  <c r="F202" i="6"/>
  <c r="F201" i="6"/>
  <c r="F200" i="6"/>
  <c r="F199" i="6"/>
  <c r="F198" i="6"/>
  <c r="F197" i="6"/>
  <c r="F196" i="6"/>
  <c r="F195" i="6"/>
  <c r="F194" i="6"/>
  <c r="F193" i="6"/>
  <c r="F192" i="6"/>
  <c r="F191" i="6"/>
  <c r="F190" i="6"/>
  <c r="F189" i="6"/>
  <c r="F188" i="6"/>
  <c r="F187" i="6"/>
  <c r="F186" i="6"/>
  <c r="F185" i="6"/>
  <c r="F184" i="6"/>
  <c r="F183" i="6"/>
  <c r="F182" i="6"/>
  <c r="F181" i="6"/>
  <c r="F180" i="6"/>
  <c r="F179" i="6"/>
  <c r="F178" i="6"/>
  <c r="F177" i="6"/>
  <c r="F176" i="6"/>
  <c r="F175" i="6"/>
  <c r="F174" i="6"/>
  <c r="F173" i="6"/>
  <c r="F172" i="6"/>
  <c r="F171" i="6"/>
  <c r="F170" i="6"/>
  <c r="F169" i="6"/>
  <c r="F168" i="6"/>
  <c r="F167" i="6"/>
  <c r="F166" i="6"/>
  <c r="F165" i="6"/>
  <c r="F164" i="6"/>
  <c r="F163" i="6"/>
  <c r="F162" i="6"/>
  <c r="F161" i="6"/>
  <c r="F160" i="6"/>
  <c r="F159" i="6"/>
  <c r="F158" i="6"/>
  <c r="F157" i="6"/>
  <c r="F156" i="6"/>
  <c r="F155" i="6"/>
  <c r="F154" i="6"/>
  <c r="F153" i="6"/>
  <c r="F152" i="6"/>
  <c r="F151" i="6"/>
  <c r="F150" i="6"/>
  <c r="F149" i="6"/>
  <c r="F148" i="6"/>
  <c r="F147" i="6"/>
  <c r="F146" i="6"/>
  <c r="F145" i="6"/>
  <c r="F144" i="6"/>
  <c r="F143" i="6"/>
  <c r="F142" i="6"/>
  <c r="F141" i="6"/>
  <c r="F140" i="6"/>
  <c r="F139" i="6"/>
  <c r="F138" i="6"/>
  <c r="F137" i="6"/>
  <c r="F136" i="6"/>
  <c r="F135" i="6"/>
  <c r="F134" i="6"/>
  <c r="F133" i="6"/>
  <c r="F132" i="6"/>
  <c r="F131" i="6"/>
  <c r="F130" i="6"/>
  <c r="F129" i="6"/>
  <c r="F128" i="6"/>
  <c r="F127" i="6"/>
  <c r="F126" i="6"/>
  <c r="F125" i="6"/>
  <c r="F124" i="6"/>
  <c r="F123" i="6"/>
  <c r="F122" i="6"/>
  <c r="F121" i="6"/>
  <c r="F120" i="6"/>
  <c r="F119" i="6"/>
  <c r="F118" i="6"/>
  <c r="F117" i="6"/>
  <c r="F116" i="6"/>
  <c r="F115" i="6"/>
  <c r="F114" i="6"/>
  <c r="F113" i="6"/>
  <c r="F112" i="6"/>
  <c r="F111" i="6"/>
  <c r="F110" i="6"/>
  <c r="F109" i="6"/>
  <c r="F108" i="6"/>
  <c r="F107" i="6"/>
  <c r="F106" i="6"/>
  <c r="F105" i="6"/>
  <c r="F104" i="6"/>
  <c r="F103" i="6"/>
  <c r="F102" i="6"/>
  <c r="F101" i="6"/>
  <c r="F100" i="6"/>
  <c r="F99" i="6"/>
  <c r="F98" i="6"/>
  <c r="F97" i="6"/>
  <c r="F96" i="6"/>
  <c r="F95" i="6"/>
  <c r="F94" i="6"/>
  <c r="F93" i="6"/>
  <c r="F92" i="6"/>
  <c r="F91" i="6"/>
  <c r="F90" i="6"/>
  <c r="F89" i="6"/>
  <c r="F88" i="6"/>
  <c r="F87" i="6"/>
  <c r="F86" i="6"/>
  <c r="F85" i="6"/>
  <c r="F84" i="6"/>
  <c r="F83" i="6"/>
  <c r="F82" i="6"/>
  <c r="F81" i="6"/>
  <c r="F80" i="6"/>
  <c r="F79" i="6"/>
  <c r="F78" i="6"/>
  <c r="F77" i="6"/>
  <c r="F76" i="6"/>
  <c r="F75" i="6"/>
  <c r="F74" i="6"/>
  <c r="F73" i="6"/>
  <c r="F72" i="6"/>
  <c r="F71" i="6"/>
  <c r="F70" i="6"/>
  <c r="F69" i="6"/>
  <c r="F68" i="6"/>
  <c r="F67" i="6"/>
  <c r="F66" i="6"/>
  <c r="F65" i="6"/>
  <c r="F64" i="6"/>
  <c r="F63" i="6"/>
  <c r="F62" i="6"/>
  <c r="F61" i="6"/>
  <c r="F60" i="6"/>
  <c r="F59" i="6"/>
  <c r="F58" i="6"/>
  <c r="F57" i="6"/>
  <c r="F56" i="6"/>
  <c r="F55" i="6"/>
  <c r="F54" i="6"/>
  <c r="F53" i="6"/>
  <c r="F52" i="6"/>
  <c r="F51" i="6"/>
  <c r="F50" i="6"/>
  <c r="F49" i="6"/>
  <c r="F48" i="6"/>
  <c r="F47" i="6"/>
  <c r="F46" i="6"/>
  <c r="F45" i="6"/>
  <c r="F44" i="6"/>
  <c r="F43" i="6"/>
  <c r="F42" i="6"/>
  <c r="F41" i="6"/>
  <c r="F40" i="6"/>
  <c r="F39" i="6"/>
  <c r="F38" i="6"/>
  <c r="F37" i="6"/>
  <c r="F36" i="6"/>
  <c r="F35" i="6"/>
  <c r="F34" i="6"/>
  <c r="F33" i="6"/>
  <c r="F32" i="6"/>
  <c r="F31" i="6"/>
  <c r="F30" i="6"/>
  <c r="F29" i="6"/>
  <c r="F28" i="6"/>
  <c r="F27" i="6"/>
  <c r="F26" i="6"/>
  <c r="F25" i="6"/>
  <c r="F24" i="6"/>
  <c r="F23" i="6"/>
  <c r="F22" i="6"/>
  <c r="F21" i="6"/>
  <c r="F20" i="6"/>
  <c r="F19" i="6"/>
  <c r="F18" i="6"/>
  <c r="F17" i="6"/>
  <c r="F16" i="6"/>
  <c r="F15" i="6"/>
  <c r="F14" i="6"/>
  <c r="F13" i="6"/>
  <c r="F12" i="6"/>
  <c r="F11" i="6"/>
  <c r="F10" i="6"/>
  <c r="F9" i="6"/>
  <c r="F8" i="6"/>
  <c r="F7" i="6"/>
  <c r="F6" i="6"/>
  <c r="F5" i="6"/>
  <c r="F4" i="6"/>
  <c r="F3" i="6"/>
  <c r="F2" i="6"/>
  <c r="I37" i="4"/>
  <c r="J37" i="4" s="1"/>
  <c r="H37" i="4"/>
  <c r="G37" i="4"/>
  <c r="D37" i="4"/>
  <c r="I36" i="4"/>
  <c r="J36" i="4" s="1"/>
  <c r="H36" i="4"/>
  <c r="G36" i="4"/>
  <c r="D36" i="4"/>
  <c r="I35" i="4"/>
  <c r="H35" i="4"/>
  <c r="J35" i="4" s="1"/>
  <c r="G35" i="4"/>
  <c r="D35" i="4"/>
  <c r="I34" i="4"/>
  <c r="J34" i="4" s="1"/>
  <c r="H34" i="4"/>
  <c r="G34" i="4"/>
  <c r="D34" i="4"/>
  <c r="I33" i="4"/>
  <c r="J33" i="4" s="1"/>
  <c r="H33" i="4"/>
  <c r="G33" i="4"/>
  <c r="D33" i="4"/>
  <c r="I32" i="4"/>
  <c r="J32" i="4" s="1"/>
  <c r="H32" i="4"/>
  <c r="G32" i="4"/>
  <c r="D32" i="4"/>
  <c r="I31" i="4"/>
  <c r="J31" i="4" s="1"/>
  <c r="H31" i="4"/>
  <c r="G31" i="4"/>
  <c r="D31" i="4"/>
  <c r="I30" i="4"/>
  <c r="J30" i="4" s="1"/>
  <c r="H30" i="4"/>
  <c r="G30" i="4"/>
  <c r="D30" i="4"/>
  <c r="I29" i="4"/>
  <c r="J29" i="4" s="1"/>
  <c r="H29" i="4"/>
  <c r="G29" i="4"/>
  <c r="D29" i="4"/>
  <c r="I28" i="4"/>
  <c r="J28" i="4" s="1"/>
  <c r="H28" i="4"/>
  <c r="G28" i="4"/>
  <c r="D28" i="4"/>
  <c r="I27" i="4"/>
  <c r="J27" i="4" s="1"/>
  <c r="H27" i="4"/>
  <c r="G27" i="4"/>
  <c r="D27" i="4"/>
  <c r="I26" i="4"/>
  <c r="J26" i="4" s="1"/>
  <c r="H26" i="4"/>
  <c r="G26" i="4"/>
  <c r="D26" i="4"/>
  <c r="I25" i="4"/>
  <c r="J25" i="4" s="1"/>
  <c r="H25" i="4"/>
  <c r="G25" i="4"/>
  <c r="D25" i="4"/>
  <c r="I24" i="4"/>
  <c r="J24" i="4" s="1"/>
  <c r="H24" i="4"/>
  <c r="G24" i="4"/>
  <c r="D24" i="4"/>
  <c r="J23" i="4"/>
  <c r="I23" i="4"/>
  <c r="H23" i="4"/>
  <c r="G23" i="4"/>
  <c r="D23" i="4"/>
  <c r="I22" i="4"/>
  <c r="J22" i="4" s="1"/>
  <c r="H22" i="4"/>
  <c r="G22" i="4"/>
  <c r="D22" i="4"/>
  <c r="I21" i="4"/>
  <c r="H21" i="4"/>
  <c r="J21" i="4" s="1"/>
  <c r="G21" i="4"/>
  <c r="D21" i="4"/>
  <c r="I20" i="4"/>
  <c r="J20" i="4" s="1"/>
  <c r="H20" i="4"/>
  <c r="G20" i="4"/>
  <c r="D20" i="4"/>
  <c r="I19" i="4"/>
  <c r="H19" i="4"/>
  <c r="J19" i="4" s="1"/>
  <c r="G19" i="4"/>
  <c r="D19" i="4"/>
  <c r="I18" i="4"/>
  <c r="H18" i="4"/>
  <c r="J18" i="4" s="1"/>
  <c r="G18" i="4"/>
  <c r="D18" i="4"/>
  <c r="J17" i="4"/>
  <c r="I17" i="4"/>
  <c r="H17" i="4"/>
  <c r="G17" i="4"/>
  <c r="D17" i="4"/>
  <c r="I16" i="4"/>
  <c r="J16" i="4" s="1"/>
  <c r="H16" i="4"/>
  <c r="G16" i="4"/>
  <c r="D16" i="4"/>
  <c r="I15" i="4"/>
  <c r="J15" i="4" s="1"/>
  <c r="H15" i="4"/>
  <c r="G15" i="4"/>
  <c r="D15" i="4"/>
  <c r="I14" i="4"/>
  <c r="J14" i="4" s="1"/>
  <c r="H14" i="4"/>
  <c r="G14" i="4"/>
  <c r="D14" i="4"/>
  <c r="I13" i="4"/>
  <c r="J13" i="4" s="1"/>
  <c r="H13" i="4"/>
  <c r="G13" i="4"/>
  <c r="D13" i="4"/>
  <c r="I12" i="4"/>
  <c r="J12" i="4" s="1"/>
  <c r="H12" i="4"/>
  <c r="G12" i="4"/>
  <c r="D12" i="4"/>
  <c r="J11" i="4"/>
  <c r="I11" i="4"/>
  <c r="H11" i="4"/>
  <c r="G11" i="4"/>
  <c r="D11" i="4"/>
  <c r="I10" i="4"/>
  <c r="J10" i="4" s="1"/>
  <c r="H10" i="4"/>
  <c r="G10" i="4"/>
  <c r="D10" i="4"/>
  <c r="I9" i="4"/>
  <c r="H9" i="4"/>
  <c r="J9" i="4" s="1"/>
  <c r="G9" i="4"/>
  <c r="D9" i="4"/>
  <c r="I8" i="4"/>
  <c r="J8" i="4" s="1"/>
  <c r="H8" i="4"/>
  <c r="G8" i="4"/>
  <c r="D8" i="4"/>
  <c r="I7" i="4"/>
  <c r="H7" i="4"/>
  <c r="J7" i="4" s="1"/>
  <c r="G7" i="4"/>
  <c r="D7" i="4"/>
  <c r="J6" i="4"/>
  <c r="I6" i="4"/>
  <c r="H6" i="4"/>
  <c r="G6" i="4"/>
  <c r="D6" i="4"/>
  <c r="J5" i="4"/>
  <c r="I5" i="4"/>
  <c r="H5" i="4"/>
  <c r="G5" i="4"/>
  <c r="D5" i="4"/>
  <c r="I4" i="4"/>
  <c r="J4" i="4" s="1"/>
  <c r="H4" i="4"/>
  <c r="G4" i="4"/>
  <c r="D4" i="4"/>
  <c r="I3" i="4"/>
  <c r="J3" i="4" s="1"/>
  <c r="H3" i="4"/>
  <c r="G3" i="4"/>
  <c r="D3" i="4"/>
  <c r="I2" i="4"/>
  <c r="J2" i="4" s="1"/>
  <c r="H2" i="4"/>
  <c r="G2" i="4"/>
  <c r="D2" i="4"/>
  <c r="G13" i="3"/>
  <c r="F13" i="3"/>
  <c r="E13" i="3"/>
  <c r="G12" i="3"/>
  <c r="F12" i="3"/>
  <c r="E12" i="3"/>
  <c r="G11" i="3"/>
  <c r="F11" i="3"/>
  <c r="E11" i="3"/>
  <c r="G10" i="3"/>
  <c r="F10" i="3"/>
  <c r="E10" i="3"/>
  <c r="G9" i="3"/>
  <c r="F9" i="3"/>
  <c r="E9" i="3"/>
  <c r="G8" i="3"/>
  <c r="F8" i="3"/>
  <c r="E8" i="3"/>
  <c r="G7" i="3"/>
  <c r="F7" i="3"/>
  <c r="E7" i="3"/>
  <c r="G6" i="3"/>
  <c r="F6" i="3"/>
  <c r="E6" i="3"/>
  <c r="G5" i="3"/>
  <c r="F5" i="3"/>
  <c r="E5" i="3"/>
  <c r="G4" i="3"/>
  <c r="F4" i="3"/>
  <c r="E4" i="3"/>
  <c r="G3" i="3"/>
  <c r="F3" i="3"/>
  <c r="E3" i="3"/>
  <c r="G2" i="3"/>
</calcChain>
</file>

<file path=xl/sharedStrings.xml><?xml version="1.0" encoding="utf-8"?>
<sst xmlns="http://schemas.openxmlformats.org/spreadsheetml/2006/main" count="16542" uniqueCount="201">
  <si>
    <t>QM640 CAPSTONE — ANALYSIS PANEL — SHEET INVENTORY &amp; DATA DICTIONARY</t>
  </si>
  <si>
    <t>Workbook: QM640_Analysis_Panel.xlsx  |  Compiled 04-Jul-2026  |  Derived-analysis layer (built FROM raw govt sources; not itself a raw source)</t>
  </si>
  <si>
    <t>This is the DERIVED workbook. Verbatim government tables live separately in QM640_Official_EV_Datasets.xlsx. Raw ICED downloads are the student's own exports from iced.niti.gov.in.</t>
  </si>
  <si>
    <t>#</t>
  </si>
  <si>
    <t>Tab</t>
  </si>
  <si>
    <t>What it is</t>
  </si>
  <si>
    <t>Grain</t>
  </si>
  <si>
    <t>Key columns</t>
  </si>
  <si>
    <t>Rows (data)</t>
  </si>
  <si>
    <t>Provenance</t>
  </si>
  <si>
    <t>1</t>
  </si>
  <si>
    <t>Panel_State_FY</t>
  </si>
  <si>
    <t>THE MODELLING TABLE. One row per State × Financial Year with all model variables joined on harmonised state names. Derived columns are live formulas.</t>
  </si>
  <si>
    <t>State × FY (2019-20 to 2025-26)</t>
  </si>
  <si>
    <t>EV regs, Total regs, Fuel-based regs, EV share %, Chargers (snapshot), Energy Req/Supplied/Deficit %, PC-NSDP, Urban %, Annual Peak MW, Annual Avg MW, Peak-to-Avg ratio</t>
  </si>
  <si>
    <t>252</t>
  </si>
  <si>
    <t>ICED (vehicles) + PIB/MoP/MoSPI/MHA (verified tables) + ICED (peak). Per-column sources in the sheet's PROVENANCE footer.</t>
  </si>
  <si>
    <t>2</t>
  </si>
  <si>
    <t>Trends_National</t>
  </si>
  <si>
    <t>EV vs fuel-based (ICE) registration trend — YoY growth, EV share of new registrations, national.</t>
  </si>
  <si>
    <t>National × FY (2015-16 to 2026-27)</t>
  </si>
  <si>
    <t>EV regs, Fuel-based regs, Total, EV YoY %, Fuel YoY %, EV share %</t>
  </si>
  <si>
    <t>12</t>
  </si>
  <si>
    <t>NITI Aayog ICED all-fuel export, 04-Jul-2026. FY2026-27 flagged partial.</t>
  </si>
  <si>
    <t>3</t>
  </si>
  <si>
    <t>Trends_Statewise</t>
  </si>
  <si>
    <t>Per-state EV vs fuel-based growth: 6-yr CAGR each, EV-share change in percentage points.</t>
  </si>
  <si>
    <t>State (36) × summary</t>
  </si>
  <si>
    <t>EV/Fuel CAGR, EV share FY20 vs FY26, share change (pp)</t>
  </si>
  <si>
    <t>36</t>
  </si>
  <si>
    <t>NITI Aayog ICED all-fuel export, 04-Jul-2026.</t>
  </si>
  <si>
    <t>4</t>
  </si>
  <si>
    <t>PeakDemand_State_Month</t>
  </si>
  <si>
    <t>RAW monthly archive of the 34 statewise ICED peak files, stacked. Values transcribed unmodified; every row tagged with its source file.</t>
  </si>
  <si>
    <t>State × Month (Jan-2017 to Mar-2026)</t>
  </si>
  <si>
    <t>Year, Month, Month_No, State, Avg/Max/Min MW, FY, Source file</t>
  </si>
  <si>
    <t>3,774</t>
  </si>
  <si>
    <t>NITI Aayog ICED 34 per-state 'Min-Max-Avg Peak Demand' exports, 04-Jul-2026. Units MW.</t>
  </si>
  <si>
    <t>5</t>
  </si>
  <si>
    <t>PeakDemand_State_FY</t>
  </si>
  <si>
    <t>Peak data aggregated to FY: Annual Peak = MAX of monthly Max; Annual Avg = MEAN of monthly Avg; plus peak-to-average ratio.</t>
  </si>
  <si>
    <t>State × FY (2016-17 to 2025-26)</t>
  </si>
  <si>
    <t>Annual Peak MW, Annual Avg MW, Annual Min MW, Peak-to-Avg ratio, Months covered</t>
  </si>
  <si>
    <t>340</t>
  </si>
  <si>
    <t>Aggregated from tab 4. Partial-year rows flagged.</t>
  </si>
  <si>
    <t>INTEGRITY NOTES (read before citing):</t>
  </si>
  <si>
    <t>1. No duplicate tabs. Earlier drafts briefly carried a duplicate monthly sheet and a duplicate peak-column block in Panel_State_FY; both removed 04-Jul-2026. Peak columns in Panel_State_FY are STATIC VALUES (cannot break on sheet edits).</t>
  </si>
  <si>
    <t>2. Units: statewise peak data is in MW. The separate All-India peak file is in GW. Never mix without converting (1 GW = 1000 MW).</t>
  </si>
  <si>
    <t>3. Non-additivity: sum of state peaks (~275 GW FY24) exceeds All-India peak (~250 GW) because states peak at different times (coincidence factor). Expected, not an error — declare in Limitations.</t>
  </si>
  <si>
    <t>4. Charger columns are SNAPSHOTS at two different definitions (operational 02-02-2024; installed 01-08-2025), NOT a continuous series. Use cross-sectionally; do not interpolate.</t>
  </si>
  <si>
    <t>5. FY2026-27 is a partial year (in progress at extraction) — exclude from trend statistics.</t>
  </si>
  <si>
    <t>6. Cross-source reconciliation gaps (ICED vs PIB EV totals ~+3.3%, driven by Telangana; CEA All-India vs state-sum) are documented in the source workbook and must appear in your methodology.</t>
  </si>
  <si>
    <t>State (ICED name)</t>
  </si>
  <si>
    <t>FY</t>
  </si>
  <si>
    <t>EV registrations</t>
  </si>
  <si>
    <t>Total registrations (all fuels)</t>
  </si>
  <si>
    <t>Fuel-based (non-EV) registrations</t>
  </si>
  <si>
    <t>EV share %</t>
  </si>
  <si>
    <t>Public chargers (snapshot)</t>
  </si>
  <si>
    <t>Charger snapshot definition &amp; as-on</t>
  </si>
  <si>
    <t>Energy Requirement (MU)</t>
  </si>
  <si>
    <t>Energy Supplied (MU)</t>
  </si>
  <si>
    <t>Energy Deficit %</t>
  </si>
  <si>
    <t>PC-NSDP Current Rs (MoSPI)</t>
  </si>
  <si>
    <t>Urban % (Census 2011)</t>
  </si>
  <si>
    <t>Annual Peak Demand (MW)</t>
  </si>
  <si>
    <t>Annual Avg Demand (MW)</t>
  </si>
  <si>
    <t>Peak-to-Avg Ratio</t>
  </si>
  <si>
    <t>Peak-demand YoY growth</t>
  </si>
  <si>
    <t>Grid-stress class</t>
  </si>
  <si>
    <t>Andaman and Nicobar Islands</t>
  </si>
  <si>
    <t>2019-20</t>
  </si>
  <si>
    <t>2020-21</t>
  </si>
  <si>
    <t>2021-22</t>
  </si>
  <si>
    <t>2022-23</t>
  </si>
  <si>
    <t>2023-24</t>
  </si>
  <si>
    <t>OPERATIONAL as on 02.02.2024 (PRID 2003003)</t>
  </si>
  <si>
    <t>2024-25</t>
  </si>
  <si>
    <t>2025-26</t>
  </si>
  <si>
    <t>INSTALLED as on 01.08.2025 (PRID 2151390)</t>
  </si>
  <si>
    <t>Andhra Pradesh</t>
  </si>
  <si>
    <t>Arunachal Pradesh</t>
  </si>
  <si>
    <t>Assam</t>
  </si>
  <si>
    <t>Bihar</t>
  </si>
  <si>
    <t>Chandigarh</t>
  </si>
  <si>
    <t>Chhattisgarh</t>
  </si>
  <si>
    <t>Dadra and Nagar Haveli and Daman and Diu</t>
  </si>
  <si>
    <t>Delhi</t>
  </si>
  <si>
    <t>Goa</t>
  </si>
  <si>
    <t>Gujarat</t>
  </si>
  <si>
    <t>Haryana</t>
  </si>
  <si>
    <t>Himachal Pradesh</t>
  </si>
  <si>
    <t>Jammu and Kashmir</t>
  </si>
  <si>
    <t>Jharkhand</t>
  </si>
  <si>
    <t>Karnataka</t>
  </si>
  <si>
    <t>Kerala</t>
  </si>
  <si>
    <t>Ladakh</t>
  </si>
  <si>
    <t>Lakshadweep</t>
  </si>
  <si>
    <t>Madhya Pradesh</t>
  </si>
  <si>
    <t>Maharashtra</t>
  </si>
  <si>
    <t>Manipur</t>
  </si>
  <si>
    <t>Meghalaya</t>
  </si>
  <si>
    <t>Mizoram</t>
  </si>
  <si>
    <t>Nagaland</t>
  </si>
  <si>
    <t>Odisha</t>
  </si>
  <si>
    <t>PEAK DEMAND cols added: NITI Aayog ICED 34 statewise 'Min-Max-Avg Peak Demand' exports (iced.niti.gov.in), downloaded 04-Jul-2026. Units MW (statewise files) - distinct from the All-India file which is GW. Annual Peak = MAX of 12 monthly Max values (true annual stress hour); Annual Avg = MEAN of monthly Avg. Non-additive: sum of state peaks != All-India peak (states peak at different times = coincidence factor); this is expected, not an error. DVC listed separately by ICED. Blank rows = state has no ICED peak file (e.g., some UTs) or FY outside 2017-2026 coverage.</t>
  </si>
  <si>
    <t>Puducherry</t>
  </si>
  <si>
    <t>Punjab</t>
  </si>
  <si>
    <t>Rajasthan</t>
  </si>
  <si>
    <t>Sikkim</t>
  </si>
  <si>
    <t>Tamil Nadu</t>
  </si>
  <si>
    <t>Telangana</t>
  </si>
  <si>
    <t>Tripura</t>
  </si>
  <si>
    <t>Uttar Pradesh</t>
  </si>
  <si>
    <t>Uttarakhand</t>
  </si>
  <si>
    <t>West Bengal</t>
  </si>
  <si>
    <t>Fuel-based (non-EV)</t>
  </si>
  <si>
    <t>Total</t>
  </si>
  <si>
    <t>EV YoY %</t>
  </si>
  <si>
    <t>Fuel-based YoY %</t>
  </si>
  <si>
    <t>Note</t>
  </si>
  <si>
    <t>2015-16</t>
  </si>
  <si>
    <t>2016-17</t>
  </si>
  <si>
    <t>2017-18</t>
  </si>
  <si>
    <t>2018-19</t>
  </si>
  <si>
    <t>2026-27</t>
  </si>
  <si>
    <t>PARTIAL YEAR - exclude from trend stats</t>
  </si>
  <si>
    <t>Source: NITI Aayog ICED all-fuel export, downloaded 04-Jul-2026. 'Fuel-based' = Petrol &amp; Others + Diesel &amp; Others + CNG + Others (i.e., all non-EV). FY2026-27 is partial (year in progress as of 04-Jul-2026).</t>
  </si>
  <si>
    <t>State</t>
  </si>
  <si>
    <t>EV FY2019-20</t>
  </si>
  <si>
    <t>EV FY2025-26</t>
  </si>
  <si>
    <t>EV CAGR (6y)</t>
  </si>
  <si>
    <t>Fuel-based FY2019-20</t>
  </si>
  <si>
    <t>Fuel-based FY2025-26</t>
  </si>
  <si>
    <t>Fuel-based CAGR (6y)</t>
  </si>
  <si>
    <t>EV share FY2019-20</t>
  </si>
  <si>
    <t>EV share FY2025-26</t>
  </si>
  <si>
    <t>Share change (pp)</t>
  </si>
  <si>
    <t>Source: ICED all-fuel export (04-Jul-2026). CAGR over FY2019-20 -&gt; FY2025-26 (6 intervals). States with zero FY2019-20 EV base show 'n/a' - report absolute growth instead. Share change in percentage points.</t>
  </si>
  <si>
    <t>Year</t>
  </si>
  <si>
    <t>Month</t>
  </si>
  <si>
    <t>Month_No</t>
  </si>
  <si>
    <t>Avg Demand (MW)</t>
  </si>
  <si>
    <t>Max Demand (MW)</t>
  </si>
  <si>
    <t>Min Demand (MW)</t>
  </si>
  <si>
    <t>FY (Apr-Mar)</t>
  </si>
  <si>
    <t>Source file (ICED export)</t>
  </si>
  <si>
    <t>January</t>
  </si>
  <si>
    <t>Min-Max-Avg Peak Demand 1783235700576-Andhra Pradesh.xlsx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</si>
  <si>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</si>
  <si>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</si>
  <si>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</si>
  <si>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</si>
  <si>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</si>
  <si>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</si>
  <si>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</si>
  <si>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</si>
  <si>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</si>
  <si>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</si>
  <si>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</si>
  <si>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Min-Max-Avg Peak Demand 1783235773322_Arunachal Pradesh.xlsx</t>
  </si>
  <si>
    <t>Min-Max-Avg Peak Demand 1783235789961_Assam.xlsx</t>
  </si>
  <si>
    <t>Min-Max-Avg Peak Demand 1783235799221_Bihar.xlsx</t>
  </si>
  <si>
    <t>Min-Max-Avg Peak Demand 1783235809826_Chandigarh.xlsx</t>
  </si>
  <si>
    <t>Min-Max-Avg Peak Demand 1783235820227_Chhattisgarh.xlsx</t>
  </si>
  <si>
    <t>DVC</t>
  </si>
  <si>
    <t>Min-Max-Avg Peak Demand 1783235830849_DVC.xlsx</t>
  </si>
  <si>
    <t>Min-Max-Avg Peak Demand 1783235839395_Dadra and Nagar Haveli and Daman and Diu.xlsx</t>
  </si>
  <si>
    <t>Min-Max-Avg Peak Demand 1783235851186_Delhi.xlsx</t>
  </si>
  <si>
    <t>Min-Max-Avg Peak Demand 1783235860262_Goa.xlsx</t>
  </si>
  <si>
    <t>Min-Max-Avg Peak Demand 1783235867938_Gujarat.xlsx</t>
  </si>
  <si>
    <t>Min-Max-Avg Peak Demand 1783235877399_Haryana.xlsx</t>
  </si>
  <si>
    <t>Min-Max-Avg Peak Demand 1783235886316_Himachal Pradesh.xlsx</t>
  </si>
  <si>
    <t>Min-Max-Avg Peak Demand 1783235894894_J&amp;K.xlsx</t>
  </si>
  <si>
    <t>Min-Max-Avg Peak Demand 1783235902984_Jharkhand.xlsx</t>
  </si>
  <si>
    <t>Min-Max-Avg Peak Demand 1783235918550_Karnataka.xlsx</t>
  </si>
  <si>
    <t>Min-Max-Avg Peak Demand 1783235926840_Kerala.xlsx</t>
  </si>
  <si>
    <t>Min-Max-Avg Peak Demand 1783235936301_Madhya Pradesh.xlsx</t>
  </si>
  <si>
    <t>Min-Max-Avg Peak Demand 1783235945145_Maharashtra.xlsx</t>
  </si>
  <si>
    <t>Min-Max-Avg Peak Demand 1783235953462_Manipur.xlsx</t>
  </si>
  <si>
    <t>Min-Max-Avg Peak Demand 1783235962248_Meghalaya.xlsx</t>
  </si>
  <si>
    <t>Min-Max-Avg Peak Demand 1783235973737_Mizoram.xlsx</t>
  </si>
  <si>
    <t>Min-Max-Avg Peak Demand 1783236036086_Nagaland.xlsx</t>
  </si>
  <si>
    <t>Min-Max-Avg Peak Demand 1783236048012_Odisha.xlsx</t>
  </si>
  <si>
    <t>Min-Max-Avg Peak Demand 1783236057882_Puducherry.xlsx</t>
  </si>
  <si>
    <t>Min-Max-Avg Peak Demand 1783236066109_Punjab.xlsx</t>
  </si>
  <si>
    <t>Min-Max-Avg Peak Demand 1783236074865_Rajasthan.xlsx</t>
  </si>
  <si>
    <t>Min-Max-Avg Peak Demand 1783236083821_Sikkim.xlsx</t>
  </si>
  <si>
    <t>Min-Max-Avg Peak Demand 1783236092135_Tamil Nadu.xlsx</t>
  </si>
  <si>
    <t>Min-Max-Avg Peak Demand 1783236107556_Telangana.xlsx</t>
  </si>
  <si>
    <t>Min-Max-Avg Peak Demand 1783236121831_Tripura.xlsx</t>
  </si>
  <si>
    <t>Min-Max-Avg Peak Demand 1783236129778_Uttar Pradesh.xlsx</t>
  </si>
  <si>
    <t>Min-Max-Avg Peak Demand 1783236142707_UK.xlsx</t>
  </si>
  <si>
    <t>Min-Max-Avg Peak Demand 1783236152801_WB.xlsx</t>
  </si>
  <si>
    <t>Source: NITI Aayog ICED (iced.niti.gov.in) 'Min-Max-Avg Peak Demand' per-state exports, downloaded 04-Jul-2026 (filename epoch timestamps). Values transcribed unmodified; FY column derived (Apr-Mar). Units: MW (the separate All-India export is in GW). Coverage: 33 States/UTs + DVC; Andaman &amp; Nicobar, Lakshadweep, Ladakh not reported (island/UT grids outside per-state national grid reporting; Ladakh within J&amp;K reporting).</t>
  </si>
  <si>
    <t>Annual Peak Demand (MW) = max of monthly Max</t>
  </si>
  <si>
    <t>Annual Avg Demand (MW) = mean of monthly Avg</t>
  </si>
  <si>
    <t>Annual Min Demand (MW) = min of monthly Min</t>
  </si>
  <si>
    <t>Peak-to-Average Ratio</t>
  </si>
  <si>
    <t>Months covered</t>
  </si>
  <si>
    <t>PARTIAL (3 months) - exclude from annual trend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</si>
</sst>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"/>
  </numFmts>
  <fonts count="8" x14ac:knownFonts="1">
    <font>
      <sz val="11"/>
      <color theme="1"/>
      <name val="Calibri"/>
      <family val="2"/>
      <charset val="1"/>
    </font>
    <font>
      <b/>
      <sz val="13"/>
      <name val="Cambria"/>
      <charset val="1"/>
    </font>
    <font>
      <i/>
      <sz val="9"/>
      <name val="Cambria"/>
      <charset val="1"/>
    </font>
    <font>
      <b/>
      <sz val="10"/>
      <color rgb="FFFFFFFF"/>
      <name val="Arial"/>
      <charset val="1"/>
    </font>
    <font>
      <b/>
      <sz val="10"/>
      <name val="Cambria"/>
      <charset val="1"/>
    </font>
    <font>
      <sz val="10"/>
      <name val="Arial"/>
      <charset val="1"/>
    </font>
    <font>
      <b/>
      <sz val="10"/>
      <name val="Arial"/>
      <charset val="1"/>
    </font>
    <font>
      <sz val="9"/>
      <name val="Cambria"/>
      <charset val="1"/>
    </font>
  </fonts>
  <fills count="4">
    <fill>
      <patternFill patternType="none"/>
    </fill>
    <fill>
      <patternFill patternType="gray125"/>
    </fill>
    <fill>
      <patternFill patternType="solid">
        <fgColor rgb="FF305496"/>
        <bgColor rgb="FF666699"/>
      </patternFill>
    </fill>
    <fill>
      <patternFill patternType="solid">
        <fgColor rgb="FFD9E1F2"/>
        <bgColor rgb="FFCC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2" borderId="0" xfId="0" applyFont="1" applyFill="1"/>
    <xf numFmtId="0" fontId="4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  <xf numFmtId="0" fontId="6" fillId="3" borderId="0" xfId="0" applyFont="1" applyFill="1"/>
    <xf numFmtId="2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7" fillId="0" borderId="0" xfId="0" applyFont="1" applyAlignment="1">
      <alignment vertical="top" wrapText="1"/>
    </xf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0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8"/>
  <sheetViews>
    <sheetView tabSelected="1" zoomScaleNormal="100" workbookViewId="0">
      <selection sqref="A1:G1"/>
    </sheetView>
  </sheetViews>
  <sheetFormatPr defaultColWidth="8.6328125" defaultRowHeight="14.5" x14ac:dyDescent="0.35"/>
  <cols>
    <col min="1" max="1" width="4" customWidth="1"/>
    <col min="2" max="2" width="26" customWidth="1"/>
    <col min="3" max="3" width="50" customWidth="1"/>
    <col min="4" max="4" width="26" customWidth="1"/>
    <col min="5" max="5" width="46" customWidth="1"/>
    <col min="6" max="6" width="11" customWidth="1"/>
    <col min="7" max="7" width="46" customWidth="1"/>
  </cols>
  <sheetData>
    <row r="1" spans="1:7" ht="16.5" customHeight="1" x14ac:dyDescent="0.35">
      <c r="A1" s="10" t="s">
        <v>0</v>
      </c>
      <c r="B1" s="9"/>
      <c r="C1" s="9"/>
      <c r="D1" s="9"/>
      <c r="E1" s="9"/>
      <c r="F1" s="9"/>
      <c r="G1" s="9"/>
    </row>
    <row r="2" spans="1:7" x14ac:dyDescent="0.35">
      <c r="A2" s="11" t="s">
        <v>1</v>
      </c>
      <c r="B2" s="9"/>
      <c r="C2" s="9"/>
      <c r="D2" s="9"/>
      <c r="E2" s="9"/>
      <c r="F2" s="9"/>
      <c r="G2" s="9"/>
    </row>
    <row r="3" spans="1:7" x14ac:dyDescent="0.35">
      <c r="A3" s="11" t="s">
        <v>2</v>
      </c>
      <c r="B3" s="9"/>
      <c r="C3" s="9"/>
      <c r="D3" s="9"/>
      <c r="E3" s="9"/>
      <c r="F3" s="9"/>
      <c r="G3" s="9"/>
    </row>
    <row r="5" spans="1:7" x14ac:dyDescent="0.35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</row>
    <row r="6" spans="1:7" ht="90" customHeight="1" x14ac:dyDescent="0.35">
      <c r="A6" s="2" t="s">
        <v>10</v>
      </c>
      <c r="B6" s="3" t="s">
        <v>11</v>
      </c>
      <c r="C6" s="3" t="s">
        <v>12</v>
      </c>
      <c r="D6" s="3" t="s">
        <v>13</v>
      </c>
      <c r="E6" s="3" t="s">
        <v>14</v>
      </c>
      <c r="F6" s="3" t="s">
        <v>15</v>
      </c>
      <c r="G6" s="3" t="s">
        <v>16</v>
      </c>
    </row>
    <row r="7" spans="1:7" ht="90" customHeight="1" x14ac:dyDescent="0.35">
      <c r="A7" s="2" t="s">
        <v>17</v>
      </c>
      <c r="B7" s="3" t="s">
        <v>18</v>
      </c>
      <c r="C7" s="3" t="s">
        <v>19</v>
      </c>
      <c r="D7" s="3" t="s">
        <v>20</v>
      </c>
      <c r="E7" s="3" t="s">
        <v>21</v>
      </c>
      <c r="F7" s="3" t="s">
        <v>22</v>
      </c>
      <c r="G7" s="3" t="s">
        <v>23</v>
      </c>
    </row>
    <row r="8" spans="1:7" ht="90" customHeight="1" x14ac:dyDescent="0.35">
      <c r="A8" s="2" t="s">
        <v>24</v>
      </c>
      <c r="B8" s="3" t="s">
        <v>25</v>
      </c>
      <c r="C8" s="3" t="s">
        <v>26</v>
      </c>
      <c r="D8" s="3" t="s">
        <v>27</v>
      </c>
      <c r="E8" s="3" t="s">
        <v>28</v>
      </c>
      <c r="F8" s="3" t="s">
        <v>29</v>
      </c>
      <c r="G8" s="3" t="s">
        <v>30</v>
      </c>
    </row>
    <row r="9" spans="1:7" ht="90" customHeight="1" x14ac:dyDescent="0.35">
      <c r="A9" s="2" t="s">
        <v>31</v>
      </c>
      <c r="B9" s="3" t="s">
        <v>32</v>
      </c>
      <c r="C9" s="3" t="s">
        <v>33</v>
      </c>
      <c r="D9" s="3" t="s">
        <v>34</v>
      </c>
      <c r="E9" s="3" t="s">
        <v>35</v>
      </c>
      <c r="F9" s="3" t="s">
        <v>36</v>
      </c>
      <c r="G9" s="3" t="s">
        <v>37</v>
      </c>
    </row>
    <row r="10" spans="1:7" ht="90" customHeight="1" x14ac:dyDescent="0.35">
      <c r="A10" s="2" t="s">
        <v>38</v>
      </c>
      <c r="B10" s="3" t="s">
        <v>39</v>
      </c>
      <c r="C10" s="3" t="s">
        <v>40</v>
      </c>
      <c r="D10" s="3" t="s">
        <v>41</v>
      </c>
      <c r="E10" s="3" t="s">
        <v>42</v>
      </c>
      <c r="F10" s="3" t="s">
        <v>43</v>
      </c>
      <c r="G10" s="3" t="s">
        <v>44</v>
      </c>
    </row>
    <row r="12" spans="1:7" x14ac:dyDescent="0.35">
      <c r="A12" s="4" t="s">
        <v>45</v>
      </c>
    </row>
    <row r="13" spans="1:7" ht="15" customHeight="1" x14ac:dyDescent="0.35">
      <c r="A13" s="8" t="s">
        <v>46</v>
      </c>
      <c r="B13" s="9"/>
      <c r="C13" s="9"/>
      <c r="D13" s="9"/>
      <c r="E13" s="9"/>
      <c r="F13" s="9"/>
      <c r="G13" s="9"/>
    </row>
    <row r="14" spans="1:7" ht="15" customHeight="1" x14ac:dyDescent="0.35">
      <c r="A14" s="8" t="s">
        <v>47</v>
      </c>
      <c r="B14" s="9"/>
      <c r="C14" s="9"/>
      <c r="D14" s="9"/>
      <c r="E14" s="9"/>
      <c r="F14" s="9"/>
      <c r="G14" s="9"/>
    </row>
    <row r="15" spans="1:7" ht="15" customHeight="1" x14ac:dyDescent="0.35">
      <c r="A15" s="8" t="s">
        <v>48</v>
      </c>
      <c r="B15" s="9"/>
      <c r="C15" s="9"/>
      <c r="D15" s="9"/>
      <c r="E15" s="9"/>
      <c r="F15" s="9"/>
      <c r="G15" s="9"/>
    </row>
    <row r="16" spans="1:7" ht="15" customHeight="1" x14ac:dyDescent="0.35">
      <c r="A16" s="8" t="s">
        <v>49</v>
      </c>
      <c r="B16" s="9"/>
      <c r="C16" s="9"/>
      <c r="D16" s="9"/>
      <c r="E16" s="9"/>
      <c r="F16" s="9"/>
      <c r="G16" s="9"/>
    </row>
    <row r="17" spans="1:7" ht="15" customHeight="1" x14ac:dyDescent="0.35">
      <c r="A17" s="8" t="s">
        <v>50</v>
      </c>
      <c r="B17" s="9"/>
      <c r="C17" s="9"/>
      <c r="D17" s="9"/>
      <c r="E17" s="9"/>
      <c r="F17" s="9"/>
      <c r="G17" s="9"/>
    </row>
    <row r="18" spans="1:7" ht="15" customHeight="1" x14ac:dyDescent="0.35">
      <c r="A18" s="8" t="s">
        <v>51</v>
      </c>
      <c r="B18" s="9"/>
      <c r="C18" s="9"/>
      <c r="D18" s="9"/>
      <c r="E18" s="9"/>
      <c r="F18" s="9"/>
      <c r="G18" s="9"/>
    </row>
  </sheetData>
  <mergeCells count="9">
    <mergeCell ref="A13:G13"/>
    <mergeCell ref="A14:G14"/>
    <mergeCell ref="A1:G1"/>
    <mergeCell ref="A17:G17"/>
    <mergeCell ref="A18:G18"/>
    <mergeCell ref="A3:G3"/>
    <mergeCell ref="A16:G16"/>
    <mergeCell ref="A2:G2"/>
    <mergeCell ref="A15:G15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254"/>
  <sheetViews>
    <sheetView workbookViewId="0"/>
  </sheetViews>
  <sheetFormatPr defaultRowHeight="14.5" x14ac:dyDescent="0.35"/>
  <sheetData>
    <row r="1" spans="1:18" x14ac:dyDescent="0.35">
      <c r="A1" t="s">
        <v>52</v>
      </c>
      <c r="B1" t="s">
        <v>53</v>
      </c>
      <c r="C1" t="s">
        <v>54</v>
      </c>
      <c r="D1" t="s">
        <v>55</v>
      </c>
      <c r="E1" t="s">
        <v>56</v>
      </c>
      <c r="F1" t="s">
        <v>57</v>
      </c>
      <c r="G1" t="s">
        <v>58</v>
      </c>
      <c r="H1" t="s">
        <v>59</v>
      </c>
      <c r="I1" t="s">
        <v>60</v>
      </c>
      <c r="J1" t="s">
        <v>61</v>
      </c>
      <c r="K1" t="s">
        <v>62</v>
      </c>
      <c r="L1" t="s">
        <v>63</v>
      </c>
      <c r="M1" t="s">
        <v>64</v>
      </c>
      <c r="N1" t="s">
        <v>65</v>
      </c>
      <c r="O1" t="s">
        <v>66</v>
      </c>
      <c r="P1" t="s">
        <v>67</v>
      </c>
      <c r="Q1" t="s">
        <v>68</v>
      </c>
      <c r="R1" t="s">
        <v>69</v>
      </c>
    </row>
    <row r="2" spans="1:18" x14ac:dyDescent="0.35">
      <c r="A2" t="s">
        <v>70</v>
      </c>
      <c r="B2" t="s">
        <v>71</v>
      </c>
      <c r="C2">
        <v>5</v>
      </c>
      <c r="D2">
        <v>8918</v>
      </c>
      <c r="E2">
        <v>8913</v>
      </c>
      <c r="F2">
        <v>5.6066382596994845E-4</v>
      </c>
      <c r="I2">
        <v>346</v>
      </c>
      <c r="J2">
        <v>323</v>
      </c>
      <c r="K2">
        <v>6.6473988439306353E-2</v>
      </c>
      <c r="M2">
        <v>37.700000000000003</v>
      </c>
    </row>
    <row r="3" spans="1:18" x14ac:dyDescent="0.35">
      <c r="A3" t="s">
        <v>70</v>
      </c>
      <c r="B3" t="s">
        <v>72</v>
      </c>
      <c r="C3">
        <v>105</v>
      </c>
      <c r="D3">
        <v>5694</v>
      </c>
      <c r="E3">
        <v>5589</v>
      </c>
      <c r="F3">
        <v>1.8440463645943098E-2</v>
      </c>
      <c r="I3">
        <v>346</v>
      </c>
      <c r="J3">
        <v>323</v>
      </c>
      <c r="K3">
        <v>6.6473988439306353E-2</v>
      </c>
      <c r="L3">
        <v>197275</v>
      </c>
      <c r="M3">
        <v>37.700000000000003</v>
      </c>
    </row>
    <row r="4" spans="1:18" x14ac:dyDescent="0.35">
      <c r="A4" t="s">
        <v>70</v>
      </c>
      <c r="B4" t="s">
        <v>73</v>
      </c>
      <c r="C4">
        <v>22</v>
      </c>
      <c r="D4">
        <v>5557</v>
      </c>
      <c r="E4">
        <v>5535</v>
      </c>
      <c r="F4">
        <v>3.9589706676264168E-3</v>
      </c>
      <c r="I4">
        <v>335</v>
      </c>
      <c r="J4">
        <v>327</v>
      </c>
      <c r="K4">
        <v>2.388059701492537E-2</v>
      </c>
      <c r="M4">
        <v>37.700000000000003</v>
      </c>
    </row>
    <row r="5" spans="1:18" x14ac:dyDescent="0.35">
      <c r="A5" t="s">
        <v>70</v>
      </c>
      <c r="B5" t="s">
        <v>74</v>
      </c>
      <c r="C5">
        <v>23</v>
      </c>
      <c r="D5">
        <v>7491</v>
      </c>
      <c r="E5">
        <v>7468</v>
      </c>
      <c r="F5">
        <v>3.070351087972233E-3</v>
      </c>
      <c r="I5">
        <v>348</v>
      </c>
      <c r="J5">
        <v>348</v>
      </c>
      <c r="K5">
        <v>0</v>
      </c>
      <c r="M5">
        <v>37.700000000000003</v>
      </c>
    </row>
    <row r="6" spans="1:18" x14ac:dyDescent="0.35">
      <c r="A6" t="s">
        <v>70</v>
      </c>
      <c r="B6" t="s">
        <v>75</v>
      </c>
      <c r="C6">
        <v>36</v>
      </c>
      <c r="D6">
        <v>8187</v>
      </c>
      <c r="E6">
        <v>8151</v>
      </c>
      <c r="F6">
        <v>4.3972150971051671E-3</v>
      </c>
      <c r="G6">
        <v>3</v>
      </c>
      <c r="H6" t="s">
        <v>76</v>
      </c>
      <c r="I6">
        <v>386</v>
      </c>
      <c r="J6">
        <v>374</v>
      </c>
      <c r="K6">
        <v>3.10880829015544E-2</v>
      </c>
      <c r="M6">
        <v>37.700000000000003</v>
      </c>
    </row>
    <row r="7" spans="1:18" x14ac:dyDescent="0.35">
      <c r="A7" t="s">
        <v>70</v>
      </c>
      <c r="B7" t="s">
        <v>77</v>
      </c>
      <c r="C7">
        <v>76</v>
      </c>
      <c r="D7">
        <v>8393</v>
      </c>
      <c r="E7">
        <v>8317</v>
      </c>
      <c r="F7">
        <v>9.0551650184677712E-3</v>
      </c>
      <c r="I7">
        <v>316</v>
      </c>
      <c r="J7">
        <v>307</v>
      </c>
      <c r="K7">
        <v>2.8481012658227851E-2</v>
      </c>
      <c r="M7">
        <v>37.700000000000003</v>
      </c>
    </row>
    <row r="8" spans="1:18" x14ac:dyDescent="0.35">
      <c r="A8" t="s">
        <v>70</v>
      </c>
      <c r="B8" t="s">
        <v>78</v>
      </c>
      <c r="C8">
        <v>179</v>
      </c>
      <c r="D8">
        <v>10758</v>
      </c>
      <c r="E8">
        <v>10579</v>
      </c>
      <c r="F8">
        <v>1.6638780442461421E-2</v>
      </c>
      <c r="G8">
        <v>4</v>
      </c>
      <c r="H8" t="s">
        <v>79</v>
      </c>
      <c r="M8">
        <v>37.700000000000003</v>
      </c>
    </row>
    <row r="9" spans="1:18" x14ac:dyDescent="0.35">
      <c r="A9" t="s">
        <v>80</v>
      </c>
      <c r="B9" t="s">
        <v>71</v>
      </c>
      <c r="C9">
        <v>1690</v>
      </c>
      <c r="D9">
        <v>1148590</v>
      </c>
      <c r="E9">
        <v>1146900</v>
      </c>
      <c r="F9">
        <v>1.4713692440296361E-3</v>
      </c>
      <c r="I9">
        <v>65452</v>
      </c>
      <c r="J9">
        <v>65414</v>
      </c>
      <c r="K9">
        <v>5.8057813359408425E-4</v>
      </c>
      <c r="N9">
        <v>10134</v>
      </c>
      <c r="O9">
        <v>7283.8</v>
      </c>
      <c r="P9">
        <v>1.391306735495208</v>
      </c>
    </row>
    <row r="10" spans="1:18" x14ac:dyDescent="0.35">
      <c r="A10" t="s">
        <v>80</v>
      </c>
      <c r="B10" t="s">
        <v>72</v>
      </c>
      <c r="C10">
        <v>3134</v>
      </c>
      <c r="D10">
        <v>972321</v>
      </c>
      <c r="E10">
        <v>969187</v>
      </c>
      <c r="F10">
        <v>3.223215378460406E-3</v>
      </c>
      <c r="I10">
        <v>62080</v>
      </c>
      <c r="J10">
        <v>62076</v>
      </c>
      <c r="K10">
        <v>6.4432989690721651E-5</v>
      </c>
      <c r="L10">
        <v>163746</v>
      </c>
      <c r="N10">
        <v>11089</v>
      </c>
      <c r="O10">
        <v>7092</v>
      </c>
      <c r="P10">
        <v>1.5635927805978569</v>
      </c>
      <c r="Q10">
        <v>9.4237221235444979E-2</v>
      </c>
      <c r="R10">
        <v>1</v>
      </c>
    </row>
    <row r="11" spans="1:18" x14ac:dyDescent="0.35">
      <c r="A11" t="s">
        <v>80</v>
      </c>
      <c r="B11" t="s">
        <v>73</v>
      </c>
      <c r="C11">
        <v>15411</v>
      </c>
      <c r="D11">
        <v>880404</v>
      </c>
      <c r="E11">
        <v>864993</v>
      </c>
      <c r="F11">
        <v>1.7504463859773469E-2</v>
      </c>
      <c r="I11">
        <v>68413</v>
      </c>
      <c r="J11">
        <v>68219</v>
      </c>
      <c r="K11">
        <v>2.8357183576220892E-3</v>
      </c>
      <c r="L11">
        <v>192587</v>
      </c>
      <c r="N11">
        <v>11991</v>
      </c>
      <c r="O11">
        <v>7813.7</v>
      </c>
      <c r="P11">
        <v>1.5346122835532461</v>
      </c>
      <c r="Q11">
        <v>8.1341870321940624E-2</v>
      </c>
      <c r="R11">
        <v>1</v>
      </c>
    </row>
    <row r="12" spans="1:18" x14ac:dyDescent="0.35">
      <c r="A12" t="s">
        <v>80</v>
      </c>
      <c r="B12" t="s">
        <v>74</v>
      </c>
      <c r="C12">
        <v>31985</v>
      </c>
      <c r="D12">
        <v>848036</v>
      </c>
      <c r="E12">
        <v>816051</v>
      </c>
      <c r="F12">
        <v>3.7716559202675359E-2</v>
      </c>
      <c r="I12">
        <v>72302</v>
      </c>
      <c r="J12">
        <v>71893</v>
      </c>
      <c r="K12">
        <v>5.6568283035047439E-3</v>
      </c>
      <c r="L12">
        <v>219518</v>
      </c>
      <c r="N12">
        <v>12179</v>
      </c>
      <c r="O12">
        <v>8155.2</v>
      </c>
      <c r="P12">
        <v>1.493402982146361</v>
      </c>
      <c r="Q12">
        <v>1.5678425485780911E-2</v>
      </c>
      <c r="R12">
        <v>0</v>
      </c>
    </row>
    <row r="13" spans="1:18" x14ac:dyDescent="0.35">
      <c r="A13" t="s">
        <v>80</v>
      </c>
      <c r="B13" t="s">
        <v>75</v>
      </c>
      <c r="C13">
        <v>36329</v>
      </c>
      <c r="D13">
        <v>906785</v>
      </c>
      <c r="E13">
        <v>870456</v>
      </c>
      <c r="F13">
        <v>4.006352112132424E-2</v>
      </c>
      <c r="G13">
        <v>327</v>
      </c>
      <c r="H13" t="s">
        <v>76</v>
      </c>
      <c r="I13">
        <v>80209</v>
      </c>
      <c r="J13">
        <v>80151</v>
      </c>
      <c r="K13">
        <v>7.2311087284469323E-4</v>
      </c>
      <c r="N13">
        <v>13025</v>
      </c>
      <c r="O13">
        <v>9092.2999999999993</v>
      </c>
      <c r="P13">
        <v>1.432530822784114</v>
      </c>
      <c r="Q13">
        <v>6.9463831184826352E-2</v>
      </c>
      <c r="R13">
        <v>1</v>
      </c>
    </row>
    <row r="14" spans="1:18" x14ac:dyDescent="0.35">
      <c r="A14" t="s">
        <v>80</v>
      </c>
      <c r="B14" t="s">
        <v>77</v>
      </c>
      <c r="C14">
        <v>54977</v>
      </c>
      <c r="D14">
        <v>885505</v>
      </c>
      <c r="E14">
        <v>830528</v>
      </c>
      <c r="F14">
        <v>6.2085476648917851E-2</v>
      </c>
      <c r="I14">
        <v>58558</v>
      </c>
      <c r="J14">
        <v>58555</v>
      </c>
      <c r="K14">
        <v>5.1231257898152261E-5</v>
      </c>
      <c r="N14">
        <v>13652</v>
      </c>
      <c r="O14">
        <v>9050.9</v>
      </c>
      <c r="P14">
        <v>1.508358284811455</v>
      </c>
      <c r="Q14">
        <v>4.8138195777351227E-2</v>
      </c>
      <c r="R14">
        <v>0</v>
      </c>
    </row>
    <row r="15" spans="1:18" x14ac:dyDescent="0.35">
      <c r="A15" t="s">
        <v>80</v>
      </c>
      <c r="B15" t="s">
        <v>78</v>
      </c>
      <c r="C15">
        <v>69495</v>
      </c>
      <c r="D15">
        <v>981629</v>
      </c>
      <c r="E15">
        <v>912134</v>
      </c>
      <c r="F15">
        <v>7.07955857049863E-2</v>
      </c>
      <c r="G15">
        <v>793</v>
      </c>
      <c r="H15" t="s">
        <v>79</v>
      </c>
      <c r="N15">
        <v>13213</v>
      </c>
      <c r="O15">
        <v>9114.6</v>
      </c>
      <c r="P15">
        <v>1.449652206350251</v>
      </c>
      <c r="Q15">
        <v>-3.2156460591854619E-2</v>
      </c>
      <c r="R15">
        <v>0</v>
      </c>
    </row>
    <row r="16" spans="1:18" x14ac:dyDescent="0.35">
      <c r="A16" t="s">
        <v>81</v>
      </c>
      <c r="B16" t="s">
        <v>71</v>
      </c>
      <c r="C16">
        <v>3</v>
      </c>
      <c r="D16">
        <v>36949</v>
      </c>
      <c r="E16">
        <v>36946</v>
      </c>
      <c r="F16">
        <v>8.1192995750899884E-5</v>
      </c>
      <c r="I16">
        <v>753</v>
      </c>
      <c r="J16">
        <v>749</v>
      </c>
      <c r="K16">
        <v>5.3120849933598934E-3</v>
      </c>
      <c r="M16">
        <v>22.9</v>
      </c>
      <c r="N16">
        <v>163</v>
      </c>
      <c r="O16">
        <v>91.5</v>
      </c>
      <c r="P16">
        <v>1.7814207650273219</v>
      </c>
    </row>
    <row r="17" spans="1:18" x14ac:dyDescent="0.35">
      <c r="A17" t="s">
        <v>81</v>
      </c>
      <c r="B17" t="s">
        <v>72</v>
      </c>
      <c r="C17">
        <v>4</v>
      </c>
      <c r="D17">
        <v>17996</v>
      </c>
      <c r="E17">
        <v>17992</v>
      </c>
      <c r="F17">
        <v>2.2227161591464769E-4</v>
      </c>
      <c r="I17">
        <v>719</v>
      </c>
      <c r="J17">
        <v>714</v>
      </c>
      <c r="K17">
        <v>6.954102920723227E-3</v>
      </c>
      <c r="L17">
        <v>190212</v>
      </c>
      <c r="M17">
        <v>22.9</v>
      </c>
      <c r="N17">
        <v>148</v>
      </c>
      <c r="O17">
        <v>79.900000000000006</v>
      </c>
      <c r="P17">
        <v>1.852315394242803</v>
      </c>
      <c r="Q17">
        <v>-9.2024539877300637E-2</v>
      </c>
      <c r="R17">
        <v>0</v>
      </c>
    </row>
    <row r="18" spans="1:18" x14ac:dyDescent="0.35">
      <c r="A18" t="s">
        <v>81</v>
      </c>
      <c r="B18" t="s">
        <v>73</v>
      </c>
      <c r="C18">
        <v>0</v>
      </c>
      <c r="D18">
        <v>22659</v>
      </c>
      <c r="E18">
        <v>22659</v>
      </c>
      <c r="F18">
        <v>0</v>
      </c>
      <c r="I18">
        <v>875</v>
      </c>
      <c r="J18">
        <v>874</v>
      </c>
      <c r="K18">
        <v>1.1428571428571429E-3</v>
      </c>
      <c r="L18">
        <v>215897</v>
      </c>
      <c r="M18">
        <v>22.9</v>
      </c>
      <c r="N18">
        <v>182</v>
      </c>
      <c r="O18">
        <v>97.2</v>
      </c>
      <c r="P18">
        <v>1.8724279835390949</v>
      </c>
      <c r="Q18">
        <v>0.2297297297297298</v>
      </c>
      <c r="R18">
        <v>1</v>
      </c>
    </row>
    <row r="19" spans="1:18" x14ac:dyDescent="0.35">
      <c r="A19" t="s">
        <v>81</v>
      </c>
      <c r="B19" t="s">
        <v>74</v>
      </c>
      <c r="C19">
        <v>2</v>
      </c>
      <c r="D19">
        <v>27347</v>
      </c>
      <c r="E19">
        <v>27345</v>
      </c>
      <c r="F19">
        <v>7.3134164625004568E-5</v>
      </c>
      <c r="I19">
        <v>915</v>
      </c>
      <c r="J19">
        <v>892</v>
      </c>
      <c r="K19">
        <v>2.5136612021857921E-2</v>
      </c>
      <c r="M19">
        <v>22.9</v>
      </c>
      <c r="N19">
        <v>178</v>
      </c>
      <c r="O19">
        <v>99.6</v>
      </c>
      <c r="P19">
        <v>1.7871485943775101</v>
      </c>
      <c r="Q19">
        <v>-2.1978021978022011E-2</v>
      </c>
      <c r="R19">
        <v>0</v>
      </c>
    </row>
    <row r="20" spans="1:18" x14ac:dyDescent="0.35">
      <c r="A20" t="s">
        <v>81</v>
      </c>
      <c r="B20" t="s">
        <v>75</v>
      </c>
      <c r="C20">
        <v>30</v>
      </c>
      <c r="D20">
        <v>32477</v>
      </c>
      <c r="E20">
        <v>32447</v>
      </c>
      <c r="F20">
        <v>9.2373064014533365E-4</v>
      </c>
      <c r="G20">
        <v>9</v>
      </c>
      <c r="H20" t="s">
        <v>76</v>
      </c>
      <c r="I20">
        <v>1014</v>
      </c>
      <c r="J20">
        <v>1014</v>
      </c>
      <c r="K20">
        <v>0</v>
      </c>
      <c r="M20">
        <v>22.9</v>
      </c>
      <c r="N20">
        <v>190</v>
      </c>
      <c r="O20">
        <v>119</v>
      </c>
      <c r="P20">
        <v>1.596638655462185</v>
      </c>
      <c r="Q20">
        <v>6.7415730337078594E-2</v>
      </c>
      <c r="R20">
        <v>1</v>
      </c>
    </row>
    <row r="21" spans="1:18" x14ac:dyDescent="0.35">
      <c r="A21" t="s">
        <v>81</v>
      </c>
      <c r="B21" t="s">
        <v>77</v>
      </c>
      <c r="C21">
        <v>55</v>
      </c>
      <c r="D21">
        <v>37320</v>
      </c>
      <c r="E21">
        <v>37265</v>
      </c>
      <c r="F21">
        <v>1.47374062165059E-3</v>
      </c>
      <c r="I21">
        <v>767</v>
      </c>
      <c r="J21">
        <v>767</v>
      </c>
      <c r="K21">
        <v>0</v>
      </c>
      <c r="M21">
        <v>22.9</v>
      </c>
      <c r="N21">
        <v>197</v>
      </c>
      <c r="O21">
        <v>123.8</v>
      </c>
      <c r="P21">
        <v>1.5912762520193859</v>
      </c>
      <c r="Q21">
        <v>3.6842105263157787E-2</v>
      </c>
      <c r="R21">
        <v>0</v>
      </c>
    </row>
    <row r="22" spans="1:18" x14ac:dyDescent="0.35">
      <c r="A22" t="s">
        <v>81</v>
      </c>
      <c r="B22" t="s">
        <v>78</v>
      </c>
      <c r="C22">
        <v>132</v>
      </c>
      <c r="D22">
        <v>42511</v>
      </c>
      <c r="E22">
        <v>42379</v>
      </c>
      <c r="F22">
        <v>3.1050786855166901E-3</v>
      </c>
      <c r="G22">
        <v>47</v>
      </c>
      <c r="H22" t="s">
        <v>79</v>
      </c>
      <c r="M22">
        <v>22.9</v>
      </c>
      <c r="N22">
        <v>216</v>
      </c>
      <c r="O22">
        <v>137.4</v>
      </c>
      <c r="P22">
        <v>1.572052401746725</v>
      </c>
      <c r="Q22">
        <v>9.6446700507614169E-2</v>
      </c>
      <c r="R22">
        <v>1</v>
      </c>
    </row>
    <row r="23" spans="1:18" x14ac:dyDescent="0.35">
      <c r="A23" t="s">
        <v>82</v>
      </c>
      <c r="B23" t="s">
        <v>71</v>
      </c>
      <c r="C23">
        <v>12019</v>
      </c>
      <c r="D23">
        <v>517052</v>
      </c>
      <c r="E23">
        <v>505033</v>
      </c>
      <c r="F23">
        <v>2.3245244192073529E-2</v>
      </c>
      <c r="I23">
        <v>9804</v>
      </c>
      <c r="J23">
        <v>9288</v>
      </c>
      <c r="K23">
        <v>5.2631578947368418E-2</v>
      </c>
      <c r="M23">
        <v>14.1</v>
      </c>
      <c r="N23">
        <v>1896</v>
      </c>
      <c r="O23">
        <v>1079.8</v>
      </c>
      <c r="P23">
        <v>1.7558807186516019</v>
      </c>
    </row>
    <row r="24" spans="1:18" x14ac:dyDescent="0.35">
      <c r="A24" t="s">
        <v>82</v>
      </c>
      <c r="B24" t="s">
        <v>72</v>
      </c>
      <c r="C24">
        <v>8959</v>
      </c>
      <c r="D24">
        <v>418381</v>
      </c>
      <c r="E24">
        <v>409422</v>
      </c>
      <c r="F24">
        <v>2.1413496310778931E-2</v>
      </c>
      <c r="I24">
        <v>10192</v>
      </c>
      <c r="J24">
        <v>9815</v>
      </c>
      <c r="K24">
        <v>3.6989795918367353E-2</v>
      </c>
      <c r="L24">
        <v>90482</v>
      </c>
      <c r="M24">
        <v>14.1</v>
      </c>
      <c r="N24">
        <v>1969</v>
      </c>
      <c r="O24">
        <v>1116.2</v>
      </c>
      <c r="P24">
        <v>1.76402078480559</v>
      </c>
      <c r="Q24">
        <v>3.8502109704641407E-2</v>
      </c>
      <c r="R24">
        <v>1</v>
      </c>
    </row>
    <row r="25" spans="1:18" x14ac:dyDescent="0.35">
      <c r="A25" t="s">
        <v>82</v>
      </c>
      <c r="B25" t="s">
        <v>73</v>
      </c>
      <c r="C25">
        <v>20431</v>
      </c>
      <c r="D25">
        <v>434448</v>
      </c>
      <c r="E25">
        <v>414017</v>
      </c>
      <c r="F25">
        <v>4.702749235811881E-2</v>
      </c>
      <c r="I25">
        <v>10844</v>
      </c>
      <c r="J25">
        <v>10825</v>
      </c>
      <c r="K25">
        <v>1.752120988565105E-3</v>
      </c>
      <c r="L25">
        <v>102965</v>
      </c>
      <c r="M25">
        <v>14.1</v>
      </c>
      <c r="N25">
        <v>2089</v>
      </c>
      <c r="O25">
        <v>1240.2</v>
      </c>
      <c r="P25">
        <v>1.684405741009515</v>
      </c>
      <c r="Q25">
        <v>6.094464195022864E-2</v>
      </c>
      <c r="R25">
        <v>0</v>
      </c>
    </row>
    <row r="26" spans="1:18" x14ac:dyDescent="0.35">
      <c r="A26" t="s">
        <v>82</v>
      </c>
      <c r="B26" t="s">
        <v>74</v>
      </c>
      <c r="C26">
        <v>45265</v>
      </c>
      <c r="D26">
        <v>565680</v>
      </c>
      <c r="E26">
        <v>520415</v>
      </c>
      <c r="F26">
        <v>8.0018738509404608E-2</v>
      </c>
      <c r="I26">
        <v>11465</v>
      </c>
      <c r="J26">
        <v>11465</v>
      </c>
      <c r="K26">
        <v>0</v>
      </c>
      <c r="L26">
        <v>118504</v>
      </c>
      <c r="M26">
        <v>14.1</v>
      </c>
      <c r="N26">
        <v>2352</v>
      </c>
      <c r="O26">
        <v>1299.2</v>
      </c>
      <c r="P26">
        <v>1.8103448275862071</v>
      </c>
      <c r="Q26">
        <v>0.12589755864049779</v>
      </c>
      <c r="R26">
        <v>1</v>
      </c>
    </row>
    <row r="27" spans="1:18" x14ac:dyDescent="0.35">
      <c r="A27" t="s">
        <v>82</v>
      </c>
      <c r="B27" t="s">
        <v>75</v>
      </c>
      <c r="C27">
        <v>63944</v>
      </c>
      <c r="D27">
        <v>660571</v>
      </c>
      <c r="E27">
        <v>596627</v>
      </c>
      <c r="F27">
        <v>9.6801100865766126E-2</v>
      </c>
      <c r="G27">
        <v>86</v>
      </c>
      <c r="H27" t="s">
        <v>76</v>
      </c>
      <c r="I27">
        <v>12445</v>
      </c>
      <c r="J27">
        <v>12341</v>
      </c>
      <c r="K27">
        <v>8.3567697870630779E-3</v>
      </c>
      <c r="M27">
        <v>14.1</v>
      </c>
      <c r="N27">
        <v>2379</v>
      </c>
      <c r="O27">
        <v>1382.2</v>
      </c>
      <c r="P27">
        <v>1.7211691506294311</v>
      </c>
      <c r="Q27">
        <v>1.147959183673475E-2</v>
      </c>
      <c r="R27">
        <v>0</v>
      </c>
    </row>
    <row r="28" spans="1:18" x14ac:dyDescent="0.35">
      <c r="A28" t="s">
        <v>82</v>
      </c>
      <c r="B28" t="s">
        <v>77</v>
      </c>
      <c r="C28">
        <v>67973</v>
      </c>
      <c r="D28">
        <v>614355</v>
      </c>
      <c r="E28">
        <v>546382</v>
      </c>
      <c r="F28">
        <v>0.1106412416273978</v>
      </c>
      <c r="I28">
        <v>10250</v>
      </c>
      <c r="J28">
        <v>10244</v>
      </c>
      <c r="K28">
        <v>5.8536585365853656E-4</v>
      </c>
      <c r="M28">
        <v>14.1</v>
      </c>
      <c r="N28">
        <v>2635</v>
      </c>
      <c r="O28">
        <v>1448.8</v>
      </c>
      <c r="P28">
        <v>1.818746548868029</v>
      </c>
      <c r="Q28">
        <v>0.1076082387557797</v>
      </c>
      <c r="R28">
        <v>1</v>
      </c>
    </row>
    <row r="29" spans="1:18" x14ac:dyDescent="0.35">
      <c r="A29" t="s">
        <v>82</v>
      </c>
      <c r="B29" t="s">
        <v>78</v>
      </c>
      <c r="C29">
        <v>93137</v>
      </c>
      <c r="D29">
        <v>597135</v>
      </c>
      <c r="E29">
        <v>503998</v>
      </c>
      <c r="F29">
        <v>0.1559731049092751</v>
      </c>
      <c r="G29">
        <v>344</v>
      </c>
      <c r="H29" t="s">
        <v>79</v>
      </c>
      <c r="M29">
        <v>14.1</v>
      </c>
      <c r="N29">
        <v>2788</v>
      </c>
      <c r="O29">
        <v>1532.7</v>
      </c>
      <c r="P29">
        <v>1.8190122006915901</v>
      </c>
      <c r="Q29">
        <v>5.8064516129032302E-2</v>
      </c>
      <c r="R29">
        <v>1</v>
      </c>
    </row>
    <row r="30" spans="1:18" x14ac:dyDescent="0.35">
      <c r="A30" t="s">
        <v>83</v>
      </c>
      <c r="B30" t="s">
        <v>71</v>
      </c>
      <c r="C30">
        <v>14262</v>
      </c>
      <c r="D30">
        <v>1361964</v>
      </c>
      <c r="E30">
        <v>1347702</v>
      </c>
      <c r="F30">
        <v>1.0471642422266669E-2</v>
      </c>
      <c r="I30">
        <v>31627</v>
      </c>
      <c r="J30">
        <v>31533</v>
      </c>
      <c r="K30">
        <v>2.9721440541309639E-3</v>
      </c>
      <c r="M30">
        <v>11.3</v>
      </c>
      <c r="N30">
        <v>5716</v>
      </c>
      <c r="O30">
        <v>3533.4</v>
      </c>
      <c r="P30">
        <v>1.617705326314598</v>
      </c>
    </row>
    <row r="31" spans="1:18" x14ac:dyDescent="0.35">
      <c r="A31" t="s">
        <v>83</v>
      </c>
      <c r="B31" t="s">
        <v>72</v>
      </c>
      <c r="C31">
        <v>13289</v>
      </c>
      <c r="D31">
        <v>908774</v>
      </c>
      <c r="E31">
        <v>895485</v>
      </c>
      <c r="F31">
        <v>1.4622997576955329E-2</v>
      </c>
      <c r="I31">
        <v>34171</v>
      </c>
      <c r="J31">
        <v>34018</v>
      </c>
      <c r="K31">
        <v>4.4774809048608467E-3</v>
      </c>
      <c r="L31">
        <v>43605</v>
      </c>
      <c r="M31">
        <v>11.3</v>
      </c>
      <c r="N31">
        <v>5818</v>
      </c>
      <c r="O31">
        <v>3819.8</v>
      </c>
      <c r="P31">
        <v>1.5231163935284571</v>
      </c>
      <c r="Q31">
        <v>1.7844646606018259E-2</v>
      </c>
      <c r="R31">
        <v>1</v>
      </c>
    </row>
    <row r="32" spans="1:18" x14ac:dyDescent="0.35">
      <c r="A32" t="s">
        <v>83</v>
      </c>
      <c r="B32" t="s">
        <v>73</v>
      </c>
      <c r="C32">
        <v>28275</v>
      </c>
      <c r="D32">
        <v>998057</v>
      </c>
      <c r="E32">
        <v>969782</v>
      </c>
      <c r="F32">
        <v>2.833004527797511E-2</v>
      </c>
      <c r="I32">
        <v>36216</v>
      </c>
      <c r="J32">
        <v>35761</v>
      </c>
      <c r="K32">
        <v>1.256350784183786E-2</v>
      </c>
      <c r="L32">
        <v>49470</v>
      </c>
      <c r="M32">
        <v>11.3</v>
      </c>
      <c r="N32">
        <v>6485</v>
      </c>
      <c r="O32">
        <v>4044.3</v>
      </c>
      <c r="P32">
        <v>1.60349133348169</v>
      </c>
      <c r="Q32">
        <v>0.1146442076314884</v>
      </c>
      <c r="R32">
        <v>1</v>
      </c>
    </row>
    <row r="33" spans="1:18" x14ac:dyDescent="0.35">
      <c r="A33" t="s">
        <v>83</v>
      </c>
      <c r="B33" t="s">
        <v>74</v>
      </c>
      <c r="C33">
        <v>62613</v>
      </c>
      <c r="D33">
        <v>1175722</v>
      </c>
      <c r="E33">
        <v>1113109</v>
      </c>
      <c r="F33">
        <v>5.3254936115850512E-2</v>
      </c>
      <c r="I33">
        <v>39545</v>
      </c>
      <c r="J33">
        <v>38762</v>
      </c>
      <c r="K33">
        <v>1.9800227588822859E-2</v>
      </c>
      <c r="M33">
        <v>11.3</v>
      </c>
      <c r="N33">
        <v>6644</v>
      </c>
      <c r="O33">
        <v>4362.8999999999996</v>
      </c>
      <c r="P33">
        <v>1.522840312636091</v>
      </c>
      <c r="Q33">
        <v>2.4518118735543659E-2</v>
      </c>
      <c r="R33">
        <v>0</v>
      </c>
    </row>
    <row r="34" spans="1:18" x14ac:dyDescent="0.35">
      <c r="A34" t="s">
        <v>83</v>
      </c>
      <c r="B34" t="s">
        <v>75</v>
      </c>
      <c r="C34">
        <v>96489</v>
      </c>
      <c r="D34">
        <v>1319971</v>
      </c>
      <c r="E34">
        <v>1223482</v>
      </c>
      <c r="F34">
        <v>7.3099333242927306E-2</v>
      </c>
      <c r="G34">
        <v>124</v>
      </c>
      <c r="H34" t="s">
        <v>76</v>
      </c>
      <c r="I34">
        <v>41514</v>
      </c>
      <c r="J34">
        <v>40918</v>
      </c>
      <c r="K34">
        <v>1.435660259189671E-2</v>
      </c>
      <c r="M34">
        <v>11.3</v>
      </c>
      <c r="N34">
        <v>7494</v>
      </c>
      <c r="O34">
        <v>4631.8999999999996</v>
      </c>
      <c r="P34">
        <v>1.6179105766532089</v>
      </c>
      <c r="Q34">
        <v>0.1279349789283564</v>
      </c>
      <c r="R34">
        <v>1</v>
      </c>
    </row>
    <row r="35" spans="1:18" x14ac:dyDescent="0.35">
      <c r="A35" t="s">
        <v>83</v>
      </c>
      <c r="B35" t="s">
        <v>77</v>
      </c>
      <c r="C35">
        <v>113652</v>
      </c>
      <c r="D35">
        <v>1382611</v>
      </c>
      <c r="E35">
        <v>1268959</v>
      </c>
      <c r="F35">
        <v>8.2200995073813246E-2</v>
      </c>
      <c r="I35">
        <v>35400</v>
      </c>
      <c r="J35">
        <v>35246</v>
      </c>
      <c r="K35">
        <v>4.3502824858757056E-3</v>
      </c>
      <c r="M35">
        <v>11.3</v>
      </c>
      <c r="N35">
        <v>7873</v>
      </c>
      <c r="O35">
        <v>4911</v>
      </c>
      <c r="P35">
        <v>1.6031358175524331</v>
      </c>
      <c r="Q35">
        <v>5.0573792367227137E-2</v>
      </c>
      <c r="R35">
        <v>0</v>
      </c>
    </row>
    <row r="36" spans="1:18" x14ac:dyDescent="0.35">
      <c r="A36" t="s">
        <v>83</v>
      </c>
      <c r="B36" t="s">
        <v>78</v>
      </c>
      <c r="C36">
        <v>129464</v>
      </c>
      <c r="D36">
        <v>1586679</v>
      </c>
      <c r="E36">
        <v>1457215</v>
      </c>
      <c r="F36">
        <v>8.1594323741601166E-2</v>
      </c>
      <c r="G36">
        <v>521</v>
      </c>
      <c r="H36" t="s">
        <v>79</v>
      </c>
      <c r="M36">
        <v>11.3</v>
      </c>
      <c r="N36">
        <v>8676</v>
      </c>
      <c r="O36">
        <v>5370.7</v>
      </c>
      <c r="P36">
        <v>1.615431880388031</v>
      </c>
      <c r="Q36">
        <v>0.1019941572462848</v>
      </c>
      <c r="R36">
        <v>1</v>
      </c>
    </row>
    <row r="37" spans="1:18" x14ac:dyDescent="0.35">
      <c r="A37" t="s">
        <v>84</v>
      </c>
      <c r="B37" t="s">
        <v>71</v>
      </c>
      <c r="C37">
        <v>532</v>
      </c>
      <c r="D37">
        <v>45860</v>
      </c>
      <c r="E37">
        <v>45328</v>
      </c>
      <c r="F37">
        <v>1.1600523331879629E-2</v>
      </c>
      <c r="I37">
        <v>1732</v>
      </c>
      <c r="J37">
        <v>1732</v>
      </c>
      <c r="K37">
        <v>0</v>
      </c>
      <c r="M37">
        <v>97.3</v>
      </c>
      <c r="N37">
        <v>426</v>
      </c>
      <c r="O37">
        <v>202.9</v>
      </c>
      <c r="P37">
        <v>2.099556431739773</v>
      </c>
    </row>
    <row r="38" spans="1:18" x14ac:dyDescent="0.35">
      <c r="A38" t="s">
        <v>84</v>
      </c>
      <c r="B38" t="s">
        <v>72</v>
      </c>
      <c r="C38">
        <v>407</v>
      </c>
      <c r="D38">
        <v>30906</v>
      </c>
      <c r="E38">
        <v>30499</v>
      </c>
      <c r="F38">
        <v>1.316896395521905E-2</v>
      </c>
      <c r="I38">
        <v>1523</v>
      </c>
      <c r="J38">
        <v>1523</v>
      </c>
      <c r="K38">
        <v>0</v>
      </c>
      <c r="L38">
        <v>291194</v>
      </c>
      <c r="M38">
        <v>97.3</v>
      </c>
      <c r="N38">
        <v>376</v>
      </c>
      <c r="O38">
        <v>172.3</v>
      </c>
      <c r="P38">
        <v>2.182240278583865</v>
      </c>
      <c r="Q38">
        <v>-0.1173708920187794</v>
      </c>
      <c r="R38">
        <v>0</v>
      </c>
    </row>
    <row r="39" spans="1:18" x14ac:dyDescent="0.35">
      <c r="A39" t="s">
        <v>84</v>
      </c>
      <c r="B39" t="s">
        <v>73</v>
      </c>
      <c r="C39">
        <v>975</v>
      </c>
      <c r="D39">
        <v>38596</v>
      </c>
      <c r="E39">
        <v>37621</v>
      </c>
      <c r="F39">
        <v>2.526168514872007E-2</v>
      </c>
      <c r="I39">
        <v>1606</v>
      </c>
      <c r="J39">
        <v>1606</v>
      </c>
      <c r="K39">
        <v>0</v>
      </c>
      <c r="L39">
        <v>349373</v>
      </c>
      <c r="M39">
        <v>97.3</v>
      </c>
      <c r="N39">
        <v>420</v>
      </c>
      <c r="O39">
        <v>183</v>
      </c>
      <c r="P39">
        <v>2.2950819672131151</v>
      </c>
      <c r="Q39">
        <v>0.1170212765957446</v>
      </c>
      <c r="R39">
        <v>1</v>
      </c>
    </row>
    <row r="40" spans="1:18" x14ac:dyDescent="0.35">
      <c r="A40" t="s">
        <v>84</v>
      </c>
      <c r="B40" t="s">
        <v>74</v>
      </c>
      <c r="C40">
        <v>3898</v>
      </c>
      <c r="D40">
        <v>51893</v>
      </c>
      <c r="E40">
        <v>47995</v>
      </c>
      <c r="F40">
        <v>7.5116104291522948E-2</v>
      </c>
      <c r="I40">
        <v>1788</v>
      </c>
      <c r="J40">
        <v>1788</v>
      </c>
      <c r="K40">
        <v>0</v>
      </c>
      <c r="M40">
        <v>97.3</v>
      </c>
      <c r="N40">
        <v>403</v>
      </c>
      <c r="O40">
        <v>203.8</v>
      </c>
      <c r="P40">
        <v>1.977428851815505</v>
      </c>
      <c r="Q40">
        <v>-4.0476190476190443E-2</v>
      </c>
      <c r="R40">
        <v>0</v>
      </c>
    </row>
    <row r="41" spans="1:18" x14ac:dyDescent="0.35">
      <c r="A41" t="s">
        <v>84</v>
      </c>
      <c r="B41" t="s">
        <v>75</v>
      </c>
      <c r="C41">
        <v>6531</v>
      </c>
      <c r="D41">
        <v>52057</v>
      </c>
      <c r="E41">
        <v>45526</v>
      </c>
      <c r="F41">
        <v>0.12545863188428069</v>
      </c>
      <c r="G41">
        <v>12</v>
      </c>
      <c r="H41" t="s">
        <v>76</v>
      </c>
      <c r="I41">
        <v>1789</v>
      </c>
      <c r="J41">
        <v>1789</v>
      </c>
      <c r="K41">
        <v>0</v>
      </c>
      <c r="M41">
        <v>97.3</v>
      </c>
      <c r="N41">
        <v>408</v>
      </c>
      <c r="O41">
        <v>202.6</v>
      </c>
      <c r="P41">
        <v>2.0138203356367228</v>
      </c>
      <c r="Q41">
        <v>1.2406947890818859E-2</v>
      </c>
      <c r="R41">
        <v>0</v>
      </c>
    </row>
    <row r="42" spans="1:18" x14ac:dyDescent="0.35">
      <c r="A42" t="s">
        <v>84</v>
      </c>
      <c r="B42" t="s">
        <v>77</v>
      </c>
      <c r="C42">
        <v>5719</v>
      </c>
      <c r="D42">
        <v>47579</v>
      </c>
      <c r="E42">
        <v>41860</v>
      </c>
      <c r="F42">
        <v>0.1202000882742386</v>
      </c>
      <c r="I42">
        <v>1597</v>
      </c>
      <c r="J42">
        <v>1597</v>
      </c>
      <c r="K42">
        <v>0</v>
      </c>
      <c r="M42">
        <v>97.3</v>
      </c>
      <c r="N42">
        <v>443</v>
      </c>
      <c r="O42">
        <v>219.5</v>
      </c>
      <c r="P42">
        <v>2.0182232346241462</v>
      </c>
      <c r="Q42">
        <v>8.5784313725490113E-2</v>
      </c>
      <c r="R42">
        <v>1</v>
      </c>
    </row>
    <row r="43" spans="1:18" x14ac:dyDescent="0.35">
      <c r="A43" t="s">
        <v>84</v>
      </c>
      <c r="B43" t="s">
        <v>78</v>
      </c>
      <c r="C43">
        <v>5465</v>
      </c>
      <c r="D43">
        <v>53156</v>
      </c>
      <c r="E43">
        <v>47691</v>
      </c>
      <c r="F43">
        <v>0.10281059522913689</v>
      </c>
      <c r="G43">
        <v>14</v>
      </c>
      <c r="H43" t="s">
        <v>79</v>
      </c>
      <c r="M43">
        <v>97.3</v>
      </c>
      <c r="N43">
        <v>462</v>
      </c>
      <c r="O43">
        <v>218.2</v>
      </c>
      <c r="P43">
        <v>2.117323556370303</v>
      </c>
      <c r="Q43">
        <v>4.2889390519187387E-2</v>
      </c>
      <c r="R43">
        <v>1</v>
      </c>
    </row>
    <row r="44" spans="1:18" x14ac:dyDescent="0.35">
      <c r="A44" t="s">
        <v>85</v>
      </c>
      <c r="B44" t="s">
        <v>71</v>
      </c>
      <c r="C44">
        <v>2272</v>
      </c>
      <c r="D44">
        <v>652528</v>
      </c>
      <c r="E44">
        <v>650256</v>
      </c>
      <c r="F44">
        <v>3.481842924748057E-3</v>
      </c>
      <c r="I44">
        <v>30111</v>
      </c>
      <c r="J44">
        <v>30107</v>
      </c>
      <c r="K44">
        <v>1.3284181860449671E-4</v>
      </c>
      <c r="M44">
        <v>23.2</v>
      </c>
      <c r="N44">
        <v>4671</v>
      </c>
      <c r="O44">
        <v>3423</v>
      </c>
      <c r="P44">
        <v>1.3645924627519721</v>
      </c>
    </row>
    <row r="45" spans="1:18" x14ac:dyDescent="0.35">
      <c r="A45" t="s">
        <v>85</v>
      </c>
      <c r="B45" t="s">
        <v>72</v>
      </c>
      <c r="C45">
        <v>1685</v>
      </c>
      <c r="D45">
        <v>445729</v>
      </c>
      <c r="E45">
        <v>444044</v>
      </c>
      <c r="F45">
        <v>3.780323918793706E-3</v>
      </c>
      <c r="I45">
        <v>30472</v>
      </c>
      <c r="J45">
        <v>30449</v>
      </c>
      <c r="K45">
        <v>7.5479128380152275E-4</v>
      </c>
      <c r="L45">
        <v>104788</v>
      </c>
      <c r="M45">
        <v>23.2</v>
      </c>
      <c r="N45">
        <v>4643</v>
      </c>
      <c r="O45">
        <v>3426.5</v>
      </c>
      <c r="P45">
        <v>1.355026995476434</v>
      </c>
      <c r="Q45">
        <v>-5.9944337400984482E-3</v>
      </c>
      <c r="R45">
        <v>0</v>
      </c>
    </row>
    <row r="46" spans="1:18" x14ac:dyDescent="0.35">
      <c r="A46" t="s">
        <v>85</v>
      </c>
      <c r="B46" t="s">
        <v>73</v>
      </c>
      <c r="C46">
        <v>6530</v>
      </c>
      <c r="D46">
        <v>443107</v>
      </c>
      <c r="E46">
        <v>436577</v>
      </c>
      <c r="F46">
        <v>1.4736846856402631E-2</v>
      </c>
      <c r="I46">
        <v>31908</v>
      </c>
      <c r="J46">
        <v>31872</v>
      </c>
      <c r="K46">
        <v>1.1282437006393379E-3</v>
      </c>
      <c r="L46">
        <v>120704</v>
      </c>
      <c r="M46">
        <v>23.2</v>
      </c>
      <c r="N46">
        <v>4955</v>
      </c>
      <c r="O46">
        <v>3676.2</v>
      </c>
      <c r="P46">
        <v>1.3478592024373</v>
      </c>
      <c r="Q46">
        <v>6.7197932371311664E-2</v>
      </c>
      <c r="R46">
        <v>1</v>
      </c>
    </row>
    <row r="47" spans="1:18" x14ac:dyDescent="0.35">
      <c r="A47" t="s">
        <v>85</v>
      </c>
      <c r="B47" t="s">
        <v>74</v>
      </c>
      <c r="C47">
        <v>27711</v>
      </c>
      <c r="D47">
        <v>514349</v>
      </c>
      <c r="E47">
        <v>486638</v>
      </c>
      <c r="F47">
        <v>5.3875870274852293E-2</v>
      </c>
      <c r="I47">
        <v>37446</v>
      </c>
      <c r="J47">
        <v>37374</v>
      </c>
      <c r="K47">
        <v>1.922768787053357E-3</v>
      </c>
      <c r="L47">
        <v>133898</v>
      </c>
      <c r="M47">
        <v>23.2</v>
      </c>
      <c r="N47">
        <v>5433</v>
      </c>
      <c r="O47">
        <v>4175</v>
      </c>
      <c r="P47">
        <v>1.301317365269461</v>
      </c>
      <c r="Q47">
        <v>9.6468213925327895E-2</v>
      </c>
      <c r="R47">
        <v>1</v>
      </c>
    </row>
    <row r="48" spans="1:18" x14ac:dyDescent="0.35">
      <c r="A48" t="s">
        <v>85</v>
      </c>
      <c r="B48" t="s">
        <v>75</v>
      </c>
      <c r="C48">
        <v>42158</v>
      </c>
      <c r="D48">
        <v>601482</v>
      </c>
      <c r="E48">
        <v>559324</v>
      </c>
      <c r="F48">
        <v>7.0090210513365322E-2</v>
      </c>
      <c r="G48">
        <v>149</v>
      </c>
      <c r="H48" t="s">
        <v>76</v>
      </c>
      <c r="I48">
        <v>39930</v>
      </c>
      <c r="J48">
        <v>39872</v>
      </c>
      <c r="K48">
        <v>1.452541948409717E-3</v>
      </c>
      <c r="M48">
        <v>23.2</v>
      </c>
      <c r="N48">
        <v>6170</v>
      </c>
      <c r="O48">
        <v>4505.5</v>
      </c>
      <c r="P48">
        <v>1.36943735434469</v>
      </c>
      <c r="Q48">
        <v>0.13565249401803789</v>
      </c>
      <c r="R48">
        <v>1</v>
      </c>
    </row>
    <row r="49" spans="1:18" x14ac:dyDescent="0.35">
      <c r="A49" t="s">
        <v>85</v>
      </c>
      <c r="B49" t="s">
        <v>77</v>
      </c>
      <c r="C49">
        <v>47869</v>
      </c>
      <c r="D49">
        <v>729486</v>
      </c>
      <c r="E49">
        <v>681617</v>
      </c>
      <c r="F49">
        <v>6.5620176398176244E-2</v>
      </c>
      <c r="I49">
        <v>31494</v>
      </c>
      <c r="J49">
        <v>31478</v>
      </c>
      <c r="K49">
        <v>5.080332761795898E-4</v>
      </c>
      <c r="M49">
        <v>23.2</v>
      </c>
      <c r="N49">
        <v>6602</v>
      </c>
      <c r="O49">
        <v>4880.3999999999996</v>
      </c>
      <c r="P49">
        <v>1.352757970658143</v>
      </c>
      <c r="Q49">
        <v>7.001620745542958E-2</v>
      </c>
      <c r="R49">
        <v>0</v>
      </c>
    </row>
    <row r="50" spans="1:18" x14ac:dyDescent="0.35">
      <c r="A50" t="s">
        <v>85</v>
      </c>
      <c r="B50" t="s">
        <v>78</v>
      </c>
      <c r="C50">
        <v>50819</v>
      </c>
      <c r="D50">
        <v>756933</v>
      </c>
      <c r="E50">
        <v>706114</v>
      </c>
      <c r="F50">
        <v>6.7138042600864284E-2</v>
      </c>
      <c r="G50">
        <v>346</v>
      </c>
      <c r="H50" t="s">
        <v>79</v>
      </c>
      <c r="M50">
        <v>23.2</v>
      </c>
      <c r="N50">
        <v>6845</v>
      </c>
      <c r="O50">
        <v>4820.8</v>
      </c>
      <c r="P50">
        <v>1.419888815134418</v>
      </c>
      <c r="Q50">
        <v>3.6807028173280847E-2</v>
      </c>
      <c r="R50">
        <v>1</v>
      </c>
    </row>
    <row r="51" spans="1:18" x14ac:dyDescent="0.35">
      <c r="A51" t="s">
        <v>86</v>
      </c>
      <c r="B51" t="s">
        <v>71</v>
      </c>
      <c r="C51">
        <v>24</v>
      </c>
      <c r="D51">
        <v>18074</v>
      </c>
      <c r="E51">
        <v>18050</v>
      </c>
      <c r="F51">
        <v>1.3278742945667811E-3</v>
      </c>
      <c r="I51">
        <v>9102</v>
      </c>
      <c r="J51">
        <v>9102</v>
      </c>
      <c r="K51">
        <v>0</v>
      </c>
      <c r="N51">
        <v>1169</v>
      </c>
      <c r="O51">
        <v>1034.9000000000001</v>
      </c>
      <c r="P51">
        <v>1.129577736979418</v>
      </c>
    </row>
    <row r="52" spans="1:18" x14ac:dyDescent="0.35">
      <c r="A52" t="s">
        <v>86</v>
      </c>
      <c r="B52" t="s">
        <v>72</v>
      </c>
      <c r="C52">
        <v>21</v>
      </c>
      <c r="D52">
        <v>13489</v>
      </c>
      <c r="E52">
        <v>13468</v>
      </c>
      <c r="F52">
        <v>1.5568240788790869E-3</v>
      </c>
      <c r="I52">
        <v>7720</v>
      </c>
      <c r="J52">
        <v>7720</v>
      </c>
      <c r="K52">
        <v>0</v>
      </c>
      <c r="N52">
        <v>1232</v>
      </c>
      <c r="O52">
        <v>877</v>
      </c>
      <c r="P52">
        <v>1.40478905359179</v>
      </c>
      <c r="Q52">
        <v>5.3892215568862367E-2</v>
      </c>
      <c r="R52">
        <v>1</v>
      </c>
    </row>
    <row r="53" spans="1:18" x14ac:dyDescent="0.35">
      <c r="A53" t="s">
        <v>86</v>
      </c>
      <c r="B53" t="s">
        <v>73</v>
      </c>
      <c r="C53">
        <v>41</v>
      </c>
      <c r="D53">
        <v>15966</v>
      </c>
      <c r="E53">
        <v>15925</v>
      </c>
      <c r="F53">
        <v>2.5679569084304148E-3</v>
      </c>
      <c r="I53">
        <v>9433</v>
      </c>
      <c r="J53">
        <v>9433</v>
      </c>
      <c r="K53">
        <v>0</v>
      </c>
      <c r="N53">
        <v>1260</v>
      </c>
      <c r="O53">
        <v>1081.5999999999999</v>
      </c>
      <c r="P53">
        <v>1.164940828402367</v>
      </c>
      <c r="Q53">
        <v>2.2727272727272711E-2</v>
      </c>
      <c r="R53">
        <v>0</v>
      </c>
    </row>
    <row r="54" spans="1:18" x14ac:dyDescent="0.35">
      <c r="A54" t="s">
        <v>86</v>
      </c>
      <c r="B54" t="s">
        <v>74</v>
      </c>
      <c r="C54">
        <v>162</v>
      </c>
      <c r="D54">
        <v>19144</v>
      </c>
      <c r="E54">
        <v>18982</v>
      </c>
      <c r="F54">
        <v>8.4621813623067272E-3</v>
      </c>
      <c r="I54">
        <v>10018</v>
      </c>
      <c r="J54">
        <v>10018</v>
      </c>
      <c r="K54">
        <v>0</v>
      </c>
      <c r="N54">
        <v>1345</v>
      </c>
      <c r="O54">
        <v>1143</v>
      </c>
      <c r="P54">
        <v>1.176727909011374</v>
      </c>
      <c r="Q54">
        <v>6.7460317460317443E-2</v>
      </c>
      <c r="R54">
        <v>1</v>
      </c>
    </row>
    <row r="55" spans="1:18" x14ac:dyDescent="0.35">
      <c r="A55" t="s">
        <v>86</v>
      </c>
      <c r="B55" t="s">
        <v>75</v>
      </c>
      <c r="C55">
        <v>218</v>
      </c>
      <c r="D55">
        <v>23426</v>
      </c>
      <c r="E55">
        <v>23208</v>
      </c>
      <c r="F55">
        <v>9.3058994279859985E-3</v>
      </c>
      <c r="G55">
        <v>1</v>
      </c>
      <c r="H55" t="s">
        <v>76</v>
      </c>
      <c r="I55">
        <v>10164</v>
      </c>
      <c r="J55">
        <v>10164</v>
      </c>
      <c r="K55">
        <v>0</v>
      </c>
      <c r="N55">
        <v>1332</v>
      </c>
      <c r="O55">
        <v>1196.8</v>
      </c>
      <c r="P55">
        <v>1.112967914438503</v>
      </c>
      <c r="Q55">
        <v>-9.665427509293667E-3</v>
      </c>
      <c r="R55">
        <v>0</v>
      </c>
    </row>
    <row r="56" spans="1:18" x14ac:dyDescent="0.35">
      <c r="A56" t="s">
        <v>86</v>
      </c>
      <c r="B56" t="s">
        <v>77</v>
      </c>
      <c r="C56">
        <v>318</v>
      </c>
      <c r="D56">
        <v>24386</v>
      </c>
      <c r="E56">
        <v>24068</v>
      </c>
      <c r="F56">
        <v>1.304026900680719E-2</v>
      </c>
      <c r="I56">
        <v>8153</v>
      </c>
      <c r="J56">
        <v>8153</v>
      </c>
      <c r="K56">
        <v>0</v>
      </c>
      <c r="N56">
        <v>1500</v>
      </c>
      <c r="O56">
        <v>1228.9000000000001</v>
      </c>
      <c r="P56">
        <v>1.220603792009114</v>
      </c>
      <c r="Q56">
        <v>0.1261261261261262</v>
      </c>
      <c r="R56">
        <v>1</v>
      </c>
    </row>
    <row r="57" spans="1:18" x14ac:dyDescent="0.35">
      <c r="A57" t="s">
        <v>86</v>
      </c>
      <c r="B57" t="s">
        <v>78</v>
      </c>
      <c r="C57">
        <v>299</v>
      </c>
      <c r="D57">
        <v>27809</v>
      </c>
      <c r="E57">
        <v>27510</v>
      </c>
      <c r="F57">
        <v>1.075191484771117E-2</v>
      </c>
      <c r="G57">
        <v>9</v>
      </c>
      <c r="H57" t="s">
        <v>79</v>
      </c>
      <c r="N57">
        <v>1414</v>
      </c>
      <c r="O57">
        <v>1270</v>
      </c>
      <c r="P57">
        <v>1.1133858267716541</v>
      </c>
      <c r="Q57">
        <v>-5.7333333333333347E-2</v>
      </c>
      <c r="R57">
        <v>0</v>
      </c>
    </row>
    <row r="58" spans="1:18" x14ac:dyDescent="0.35">
      <c r="A58" t="s">
        <v>87</v>
      </c>
      <c r="B58" t="s">
        <v>71</v>
      </c>
      <c r="C58">
        <v>23684</v>
      </c>
      <c r="D58">
        <v>606680</v>
      </c>
      <c r="E58">
        <v>582996</v>
      </c>
      <c r="F58">
        <v>3.9038702446100089E-2</v>
      </c>
      <c r="I58">
        <v>33086</v>
      </c>
      <c r="J58">
        <v>33077</v>
      </c>
      <c r="K58">
        <v>2.7201837635253579E-4</v>
      </c>
      <c r="M58">
        <v>97.5</v>
      </c>
      <c r="N58">
        <v>7302</v>
      </c>
      <c r="O58">
        <v>3761.8</v>
      </c>
      <c r="P58">
        <v>1.9410920304109729</v>
      </c>
    </row>
    <row r="59" spans="1:18" x14ac:dyDescent="0.35">
      <c r="A59" t="s">
        <v>87</v>
      </c>
      <c r="B59" t="s">
        <v>72</v>
      </c>
      <c r="C59">
        <v>11808</v>
      </c>
      <c r="D59">
        <v>434462</v>
      </c>
      <c r="E59">
        <v>422654</v>
      </c>
      <c r="F59">
        <v>2.717844138267558E-2</v>
      </c>
      <c r="I59">
        <v>29560</v>
      </c>
      <c r="J59">
        <v>29555</v>
      </c>
      <c r="K59">
        <v>1.6914749661705011E-4</v>
      </c>
      <c r="L59">
        <v>331112</v>
      </c>
      <c r="M59">
        <v>97.5</v>
      </c>
      <c r="N59">
        <v>6244</v>
      </c>
      <c r="O59">
        <v>3366.1</v>
      </c>
      <c r="P59">
        <v>1.8549656872939011</v>
      </c>
      <c r="Q59">
        <v>-0.14489181046288691</v>
      </c>
      <c r="R59">
        <v>0</v>
      </c>
    </row>
    <row r="60" spans="1:18" x14ac:dyDescent="0.35">
      <c r="A60" t="s">
        <v>87</v>
      </c>
      <c r="B60" t="s">
        <v>73</v>
      </c>
      <c r="C60">
        <v>34504</v>
      </c>
      <c r="D60">
        <v>446069</v>
      </c>
      <c r="E60">
        <v>411565</v>
      </c>
      <c r="F60">
        <v>7.7351261800304438E-2</v>
      </c>
      <c r="I60">
        <v>31128</v>
      </c>
      <c r="J60">
        <v>31122</v>
      </c>
      <c r="K60">
        <v>1.9275250578257519E-4</v>
      </c>
      <c r="L60">
        <v>389529</v>
      </c>
      <c r="M60">
        <v>97.5</v>
      </c>
      <c r="N60">
        <v>7272</v>
      </c>
      <c r="O60">
        <v>3544.2</v>
      </c>
      <c r="P60">
        <v>2.0518029456576938</v>
      </c>
      <c r="Q60">
        <v>0.16463805253042921</v>
      </c>
      <c r="R60">
        <v>1</v>
      </c>
    </row>
    <row r="61" spans="1:18" x14ac:dyDescent="0.35">
      <c r="A61" t="s">
        <v>87</v>
      </c>
      <c r="B61" t="s">
        <v>74</v>
      </c>
      <c r="C61">
        <v>67112</v>
      </c>
      <c r="D61">
        <v>637654</v>
      </c>
      <c r="E61">
        <v>570542</v>
      </c>
      <c r="F61">
        <v>0.1052483008026296</v>
      </c>
      <c r="I61">
        <v>35143</v>
      </c>
      <c r="J61">
        <v>35133</v>
      </c>
      <c r="K61">
        <v>2.8455168881427311E-4</v>
      </c>
      <c r="M61">
        <v>97.5</v>
      </c>
      <c r="N61">
        <v>7713</v>
      </c>
      <c r="O61">
        <v>4008.5</v>
      </c>
      <c r="P61">
        <v>1.9241611575402271</v>
      </c>
      <c r="Q61">
        <v>6.0643564356435593E-2</v>
      </c>
      <c r="R61">
        <v>1</v>
      </c>
    </row>
    <row r="62" spans="1:18" x14ac:dyDescent="0.35">
      <c r="A62" t="s">
        <v>87</v>
      </c>
      <c r="B62" t="s">
        <v>75</v>
      </c>
      <c r="C62">
        <v>79039</v>
      </c>
      <c r="D62">
        <v>670090</v>
      </c>
      <c r="E62">
        <v>591051</v>
      </c>
      <c r="F62">
        <v>0.1179528123087943</v>
      </c>
      <c r="G62">
        <v>1886</v>
      </c>
      <c r="H62" t="s">
        <v>76</v>
      </c>
      <c r="I62">
        <v>35501</v>
      </c>
      <c r="J62">
        <v>35496</v>
      </c>
      <c r="K62">
        <v>1.408411030675192E-4</v>
      </c>
      <c r="M62">
        <v>97.5</v>
      </c>
      <c r="N62">
        <v>7293</v>
      </c>
      <c r="O62">
        <v>3966.4</v>
      </c>
      <c r="P62">
        <v>1.8386950383219041</v>
      </c>
      <c r="Q62">
        <v>-5.4453520031116247E-2</v>
      </c>
      <c r="R62">
        <v>0</v>
      </c>
    </row>
    <row r="63" spans="1:18" x14ac:dyDescent="0.35">
      <c r="A63" t="s">
        <v>87</v>
      </c>
      <c r="B63" t="s">
        <v>77</v>
      </c>
      <c r="C63">
        <v>83555</v>
      </c>
      <c r="D63">
        <v>721133</v>
      </c>
      <c r="E63">
        <v>637578</v>
      </c>
      <c r="F63">
        <v>0.11586628264134349</v>
      </c>
      <c r="I63">
        <v>31308</v>
      </c>
      <c r="J63">
        <v>31297</v>
      </c>
      <c r="K63">
        <v>3.5134789830075378E-4</v>
      </c>
      <c r="M63">
        <v>97.5</v>
      </c>
      <c r="N63">
        <v>8611</v>
      </c>
      <c r="O63">
        <v>4261.2</v>
      </c>
      <c r="P63">
        <v>2.0207922650896459</v>
      </c>
      <c r="Q63">
        <v>0.18072123954476901</v>
      </c>
      <c r="R63">
        <v>1</v>
      </c>
    </row>
    <row r="64" spans="1:18" x14ac:dyDescent="0.35">
      <c r="A64" t="s">
        <v>87</v>
      </c>
      <c r="B64" t="s">
        <v>78</v>
      </c>
      <c r="C64">
        <v>107644</v>
      </c>
      <c r="D64">
        <v>850386</v>
      </c>
      <c r="E64">
        <v>742742</v>
      </c>
      <c r="F64">
        <v>0.1265825166453822</v>
      </c>
      <c r="G64">
        <v>1967</v>
      </c>
      <c r="H64" t="s">
        <v>79</v>
      </c>
      <c r="M64">
        <v>97.5</v>
      </c>
      <c r="N64">
        <v>8372</v>
      </c>
      <c r="O64">
        <v>4406.8999999999996</v>
      </c>
      <c r="P64">
        <v>1.899748122262815</v>
      </c>
      <c r="Q64">
        <v>-2.7755196841249611E-2</v>
      </c>
      <c r="R64">
        <v>0</v>
      </c>
    </row>
    <row r="65" spans="1:18" x14ac:dyDescent="0.35">
      <c r="A65" t="s">
        <v>88</v>
      </c>
      <c r="B65" t="s">
        <v>71</v>
      </c>
      <c r="C65">
        <v>41</v>
      </c>
      <c r="D65">
        <v>69848</v>
      </c>
      <c r="E65">
        <v>69807</v>
      </c>
      <c r="F65">
        <v>5.8698889016149355E-4</v>
      </c>
      <c r="I65">
        <v>4350</v>
      </c>
      <c r="J65">
        <v>4350</v>
      </c>
      <c r="K65">
        <v>0</v>
      </c>
      <c r="M65">
        <v>62.2</v>
      </c>
      <c r="N65">
        <v>632</v>
      </c>
      <c r="O65">
        <v>446.4</v>
      </c>
      <c r="P65">
        <v>1.415770609318997</v>
      </c>
    </row>
    <row r="66" spans="1:18" x14ac:dyDescent="0.35">
      <c r="A66" t="s">
        <v>88</v>
      </c>
      <c r="B66" t="s">
        <v>72</v>
      </c>
      <c r="C66">
        <v>232</v>
      </c>
      <c r="D66">
        <v>44198</v>
      </c>
      <c r="E66">
        <v>43966</v>
      </c>
      <c r="F66">
        <v>5.2491062944024624E-3</v>
      </c>
      <c r="I66">
        <v>4083</v>
      </c>
      <c r="J66">
        <v>4083</v>
      </c>
      <c r="K66">
        <v>0</v>
      </c>
      <c r="L66">
        <v>431351</v>
      </c>
      <c r="M66">
        <v>62.2</v>
      </c>
      <c r="N66">
        <v>593</v>
      </c>
      <c r="O66">
        <v>392.1</v>
      </c>
      <c r="P66">
        <v>1.5123692935475641</v>
      </c>
      <c r="Q66">
        <v>-6.1708860759493667E-2</v>
      </c>
      <c r="R66">
        <v>0</v>
      </c>
    </row>
    <row r="67" spans="1:18" x14ac:dyDescent="0.35">
      <c r="A67" t="s">
        <v>88</v>
      </c>
      <c r="B67" t="s">
        <v>73</v>
      </c>
      <c r="C67">
        <v>1820</v>
      </c>
      <c r="D67">
        <v>50634</v>
      </c>
      <c r="E67">
        <v>48814</v>
      </c>
      <c r="F67">
        <v>3.594422719911522E-2</v>
      </c>
      <c r="I67">
        <v>4448</v>
      </c>
      <c r="J67">
        <v>4448</v>
      </c>
      <c r="K67">
        <v>0</v>
      </c>
      <c r="L67">
        <v>472070</v>
      </c>
      <c r="M67">
        <v>62.2</v>
      </c>
      <c r="N67">
        <v>587</v>
      </c>
      <c r="O67">
        <v>418.1</v>
      </c>
      <c r="P67">
        <v>1.4039703420234391</v>
      </c>
      <c r="Q67">
        <v>-1.0118043844856711E-2</v>
      </c>
      <c r="R67">
        <v>0</v>
      </c>
    </row>
    <row r="68" spans="1:18" x14ac:dyDescent="0.35">
      <c r="A68" t="s">
        <v>88</v>
      </c>
      <c r="B68" t="s">
        <v>74</v>
      </c>
      <c r="C68">
        <v>7188</v>
      </c>
      <c r="D68">
        <v>76171</v>
      </c>
      <c r="E68">
        <v>68983</v>
      </c>
      <c r="F68">
        <v>9.4366622467868352E-2</v>
      </c>
      <c r="I68">
        <v>4669</v>
      </c>
      <c r="J68">
        <v>4669</v>
      </c>
      <c r="K68">
        <v>0</v>
      </c>
      <c r="M68">
        <v>62.2</v>
      </c>
      <c r="N68">
        <v>675</v>
      </c>
      <c r="O68">
        <v>448.3</v>
      </c>
      <c r="P68">
        <v>1.5056881552531789</v>
      </c>
      <c r="Q68">
        <v>0.14991482112436111</v>
      </c>
      <c r="R68">
        <v>1</v>
      </c>
    </row>
    <row r="69" spans="1:18" x14ac:dyDescent="0.35">
      <c r="A69" t="s">
        <v>88</v>
      </c>
      <c r="B69" t="s">
        <v>75</v>
      </c>
      <c r="C69">
        <v>11060</v>
      </c>
      <c r="D69">
        <v>82721</v>
      </c>
      <c r="E69">
        <v>71661</v>
      </c>
      <c r="F69">
        <v>0.13370244557004871</v>
      </c>
      <c r="G69">
        <v>113</v>
      </c>
      <c r="H69" t="s">
        <v>76</v>
      </c>
      <c r="I69">
        <v>5111</v>
      </c>
      <c r="J69">
        <v>5111</v>
      </c>
      <c r="K69">
        <v>0</v>
      </c>
      <c r="M69">
        <v>62.2</v>
      </c>
      <c r="N69">
        <v>702</v>
      </c>
      <c r="O69">
        <v>483.6</v>
      </c>
      <c r="P69">
        <v>1.4516129032258061</v>
      </c>
      <c r="Q69">
        <v>4.0000000000000042E-2</v>
      </c>
      <c r="R69">
        <v>0</v>
      </c>
    </row>
    <row r="70" spans="1:18" x14ac:dyDescent="0.35">
      <c r="A70" t="s">
        <v>88</v>
      </c>
      <c r="B70" t="s">
        <v>77</v>
      </c>
      <c r="C70">
        <v>10092</v>
      </c>
      <c r="D70">
        <v>84484</v>
      </c>
      <c r="E70">
        <v>74392</v>
      </c>
      <c r="F70">
        <v>0.119454571279769</v>
      </c>
      <c r="I70">
        <v>4035</v>
      </c>
      <c r="J70">
        <v>4035</v>
      </c>
      <c r="K70">
        <v>0</v>
      </c>
      <c r="M70">
        <v>62.2</v>
      </c>
      <c r="N70">
        <v>743</v>
      </c>
      <c r="O70">
        <v>488.2</v>
      </c>
      <c r="P70">
        <v>1.5219172470299061</v>
      </c>
      <c r="Q70">
        <v>5.8404558404558493E-2</v>
      </c>
      <c r="R70">
        <v>0</v>
      </c>
    </row>
    <row r="71" spans="1:18" x14ac:dyDescent="0.35">
      <c r="A71" t="s">
        <v>88</v>
      </c>
      <c r="B71" t="s">
        <v>78</v>
      </c>
      <c r="C71">
        <v>9785</v>
      </c>
      <c r="D71">
        <v>88977</v>
      </c>
      <c r="E71">
        <v>79192</v>
      </c>
      <c r="F71">
        <v>0.1099722400170831</v>
      </c>
      <c r="G71">
        <v>158</v>
      </c>
      <c r="H71" t="s">
        <v>79</v>
      </c>
      <c r="M71">
        <v>62.2</v>
      </c>
      <c r="N71">
        <v>716</v>
      </c>
      <c r="O71">
        <v>507.8</v>
      </c>
      <c r="P71">
        <v>1.410003938558487</v>
      </c>
      <c r="Q71">
        <v>-3.6339165545087537E-2</v>
      </c>
      <c r="R71">
        <v>0</v>
      </c>
    </row>
    <row r="72" spans="1:18" x14ac:dyDescent="0.35">
      <c r="A72" t="s">
        <v>89</v>
      </c>
      <c r="B72" t="s">
        <v>71</v>
      </c>
      <c r="C72">
        <v>897</v>
      </c>
      <c r="D72">
        <v>1649694</v>
      </c>
      <c r="E72">
        <v>1648797</v>
      </c>
      <c r="F72">
        <v>5.4373720217203918E-4</v>
      </c>
      <c r="I72">
        <v>113940</v>
      </c>
      <c r="J72">
        <v>113939</v>
      </c>
      <c r="K72">
        <v>8.7765490609092503E-6</v>
      </c>
      <c r="M72">
        <v>42.6</v>
      </c>
      <c r="N72">
        <v>18391</v>
      </c>
      <c r="O72">
        <v>13580.3</v>
      </c>
      <c r="P72">
        <v>1.354241069784909</v>
      </c>
    </row>
    <row r="73" spans="1:18" x14ac:dyDescent="0.35">
      <c r="A73" t="s">
        <v>89</v>
      </c>
      <c r="B73" t="s">
        <v>72</v>
      </c>
      <c r="C73">
        <v>1687</v>
      </c>
      <c r="D73">
        <v>1044391</v>
      </c>
      <c r="E73">
        <v>1042704</v>
      </c>
      <c r="F73">
        <v>1.615295420967818E-3</v>
      </c>
      <c r="I73">
        <v>111622</v>
      </c>
      <c r="J73">
        <v>111622</v>
      </c>
      <c r="K73">
        <v>0</v>
      </c>
      <c r="L73">
        <v>212821</v>
      </c>
      <c r="M73">
        <v>42.6</v>
      </c>
      <c r="N73">
        <v>18290</v>
      </c>
      <c r="O73">
        <v>13250.7</v>
      </c>
      <c r="P73">
        <v>1.3803044367467381</v>
      </c>
      <c r="Q73">
        <v>-5.4918166494480891E-3</v>
      </c>
      <c r="R73">
        <v>1</v>
      </c>
    </row>
    <row r="74" spans="1:18" x14ac:dyDescent="0.35">
      <c r="A74" t="s">
        <v>89</v>
      </c>
      <c r="B74" t="s">
        <v>73</v>
      </c>
      <c r="C74">
        <v>19031</v>
      </c>
      <c r="D74">
        <v>1249562</v>
      </c>
      <c r="E74">
        <v>1230531</v>
      </c>
      <c r="F74">
        <v>1.523013663987861E-2</v>
      </c>
      <c r="I74">
        <v>123953</v>
      </c>
      <c r="J74">
        <v>123666</v>
      </c>
      <c r="K74">
        <v>2.315393737949061E-3</v>
      </c>
      <c r="L74">
        <v>250100</v>
      </c>
      <c r="M74">
        <v>42.6</v>
      </c>
      <c r="N74">
        <v>19416</v>
      </c>
      <c r="O74">
        <v>14711.6</v>
      </c>
      <c r="P74">
        <v>1.3197748715299491</v>
      </c>
      <c r="Q74">
        <v>6.1563696008748003E-2</v>
      </c>
      <c r="R74">
        <v>1</v>
      </c>
    </row>
    <row r="75" spans="1:18" x14ac:dyDescent="0.35">
      <c r="A75" t="s">
        <v>89</v>
      </c>
      <c r="B75" t="s">
        <v>74</v>
      </c>
      <c r="C75">
        <v>81116</v>
      </c>
      <c r="D75">
        <v>1636978</v>
      </c>
      <c r="E75">
        <v>1555862</v>
      </c>
      <c r="F75">
        <v>4.9552284758866652E-2</v>
      </c>
      <c r="I75">
        <v>139043</v>
      </c>
      <c r="J75">
        <v>138999</v>
      </c>
      <c r="K75">
        <v>3.1644886833569468E-4</v>
      </c>
      <c r="M75">
        <v>42.6</v>
      </c>
      <c r="N75">
        <v>21202</v>
      </c>
      <c r="O75">
        <v>16068.8</v>
      </c>
      <c r="P75">
        <v>1.3194513591556309</v>
      </c>
      <c r="Q75">
        <v>9.1985990935311124E-2</v>
      </c>
      <c r="R75">
        <v>1</v>
      </c>
    </row>
    <row r="76" spans="1:18" x14ac:dyDescent="0.35">
      <c r="A76" t="s">
        <v>89</v>
      </c>
      <c r="B76" t="s">
        <v>75</v>
      </c>
      <c r="C76">
        <v>88442</v>
      </c>
      <c r="D76">
        <v>1874840</v>
      </c>
      <c r="E76">
        <v>1786398</v>
      </c>
      <c r="F76">
        <v>4.7173092103859532E-2</v>
      </c>
      <c r="G76">
        <v>476</v>
      </c>
      <c r="H76" t="s">
        <v>76</v>
      </c>
      <c r="I76">
        <v>145768</v>
      </c>
      <c r="J76">
        <v>145740</v>
      </c>
      <c r="K76">
        <v>1.920860545524395E-4</v>
      </c>
      <c r="M76">
        <v>42.6</v>
      </c>
      <c r="N76">
        <v>24184</v>
      </c>
      <c r="O76">
        <v>17058.8</v>
      </c>
      <c r="P76">
        <v>1.417684714047881</v>
      </c>
      <c r="Q76">
        <v>0.14064710876332431</v>
      </c>
      <c r="R76">
        <v>1</v>
      </c>
    </row>
    <row r="77" spans="1:18" x14ac:dyDescent="0.35">
      <c r="A77" t="s">
        <v>89</v>
      </c>
      <c r="B77" t="s">
        <v>77</v>
      </c>
      <c r="C77">
        <v>69143</v>
      </c>
      <c r="D77">
        <v>1894763</v>
      </c>
      <c r="E77">
        <v>1825620</v>
      </c>
      <c r="F77">
        <v>3.649163510159318E-2</v>
      </c>
      <c r="I77">
        <v>113697</v>
      </c>
      <c r="J77">
        <v>113697</v>
      </c>
      <c r="K77">
        <v>0</v>
      </c>
      <c r="M77">
        <v>42.6</v>
      </c>
      <c r="N77">
        <v>26054</v>
      </c>
      <c r="O77">
        <v>17693.7</v>
      </c>
      <c r="P77">
        <v>1.4725015118375471</v>
      </c>
      <c r="Q77">
        <v>7.7323850479656064E-2</v>
      </c>
      <c r="R77">
        <v>1</v>
      </c>
    </row>
    <row r="78" spans="1:18" x14ac:dyDescent="0.35">
      <c r="A78" t="s">
        <v>89</v>
      </c>
      <c r="B78" t="s">
        <v>78</v>
      </c>
      <c r="C78">
        <v>86280</v>
      </c>
      <c r="D78">
        <v>2235678</v>
      </c>
      <c r="E78">
        <v>2149398</v>
      </c>
      <c r="F78">
        <v>3.8592319645315648E-2</v>
      </c>
      <c r="G78">
        <v>1208</v>
      </c>
      <c r="H78" t="s">
        <v>79</v>
      </c>
      <c r="M78">
        <v>42.6</v>
      </c>
      <c r="N78">
        <v>26503</v>
      </c>
      <c r="O78">
        <v>18163.2</v>
      </c>
      <c r="P78">
        <v>1.459159178999295</v>
      </c>
      <c r="Q78">
        <v>1.7233438243647869E-2</v>
      </c>
      <c r="R78">
        <v>1</v>
      </c>
    </row>
    <row r="79" spans="1:18" x14ac:dyDescent="0.35">
      <c r="A79" t="s">
        <v>90</v>
      </c>
      <c r="B79" t="s">
        <v>71</v>
      </c>
      <c r="C79">
        <v>4675</v>
      </c>
      <c r="D79">
        <v>842876</v>
      </c>
      <c r="E79">
        <v>838201</v>
      </c>
      <c r="F79">
        <v>5.5464860786165462E-3</v>
      </c>
      <c r="I79">
        <v>54505</v>
      </c>
      <c r="J79">
        <v>54492</v>
      </c>
      <c r="K79">
        <v>2.3851022841941109E-4</v>
      </c>
      <c r="M79">
        <v>34.9</v>
      </c>
      <c r="N79">
        <v>10838</v>
      </c>
      <c r="O79">
        <v>6135.9</v>
      </c>
      <c r="P79">
        <v>1.7663260483384671</v>
      </c>
    </row>
    <row r="80" spans="1:18" x14ac:dyDescent="0.35">
      <c r="A80" t="s">
        <v>90</v>
      </c>
      <c r="B80" t="s">
        <v>72</v>
      </c>
      <c r="C80">
        <v>3029</v>
      </c>
      <c r="D80">
        <v>576077</v>
      </c>
      <c r="E80">
        <v>573048</v>
      </c>
      <c r="F80">
        <v>5.2579776661800422E-3</v>
      </c>
      <c r="I80">
        <v>53161</v>
      </c>
      <c r="J80">
        <v>53108</v>
      </c>
      <c r="K80">
        <v>9.9697146404318965E-4</v>
      </c>
      <c r="L80">
        <v>229065</v>
      </c>
      <c r="M80">
        <v>34.9</v>
      </c>
      <c r="N80">
        <v>10837</v>
      </c>
      <c r="O80">
        <v>6039.4</v>
      </c>
      <c r="P80">
        <v>1.7943835480345729</v>
      </c>
      <c r="Q80">
        <v>-9.2267946115498489E-5</v>
      </c>
      <c r="R80">
        <v>1</v>
      </c>
    </row>
    <row r="81" spans="1:18" x14ac:dyDescent="0.35">
      <c r="A81" t="s">
        <v>90</v>
      </c>
      <c r="B81" t="s">
        <v>73</v>
      </c>
      <c r="C81">
        <v>11849</v>
      </c>
      <c r="D81">
        <v>625387</v>
      </c>
      <c r="E81">
        <v>613538</v>
      </c>
      <c r="F81">
        <v>1.8946668223036301E-2</v>
      </c>
      <c r="I81">
        <v>55499</v>
      </c>
      <c r="J81">
        <v>55209</v>
      </c>
      <c r="K81">
        <v>5.2253193751238764E-3</v>
      </c>
      <c r="L81">
        <v>264835</v>
      </c>
      <c r="M81">
        <v>34.9</v>
      </c>
      <c r="N81">
        <v>12090</v>
      </c>
      <c r="O81">
        <v>6332.5</v>
      </c>
      <c r="P81">
        <v>1.9091985787603629</v>
      </c>
      <c r="Q81">
        <v>0.1156224047245549</v>
      </c>
      <c r="R81">
        <v>1</v>
      </c>
    </row>
    <row r="82" spans="1:18" x14ac:dyDescent="0.35">
      <c r="A82" t="s">
        <v>90</v>
      </c>
      <c r="B82" t="s">
        <v>74</v>
      </c>
      <c r="C82">
        <v>28705</v>
      </c>
      <c r="D82">
        <v>771358</v>
      </c>
      <c r="E82">
        <v>742653</v>
      </c>
      <c r="F82">
        <v>3.7213589539487502E-2</v>
      </c>
      <c r="I82">
        <v>61451</v>
      </c>
      <c r="J82">
        <v>60945</v>
      </c>
      <c r="K82">
        <v>8.2342028608159354E-3</v>
      </c>
      <c r="L82">
        <v>296685</v>
      </c>
      <c r="M82">
        <v>34.9</v>
      </c>
      <c r="N82">
        <v>12312</v>
      </c>
      <c r="O82">
        <v>6921.2</v>
      </c>
      <c r="P82">
        <v>1.778882274750043</v>
      </c>
      <c r="Q82">
        <v>1.8362282878412021E-2</v>
      </c>
      <c r="R82">
        <v>0</v>
      </c>
    </row>
    <row r="83" spans="1:18" x14ac:dyDescent="0.35">
      <c r="A83" t="s">
        <v>90</v>
      </c>
      <c r="B83" t="s">
        <v>75</v>
      </c>
      <c r="C83">
        <v>33597</v>
      </c>
      <c r="D83">
        <v>877776</v>
      </c>
      <c r="E83">
        <v>844179</v>
      </c>
      <c r="F83">
        <v>3.8275140810411758E-2</v>
      </c>
      <c r="G83">
        <v>377</v>
      </c>
      <c r="H83" t="s">
        <v>76</v>
      </c>
      <c r="I83">
        <v>63983</v>
      </c>
      <c r="J83">
        <v>63636</v>
      </c>
      <c r="K83">
        <v>5.4233155681978028E-3</v>
      </c>
      <c r="M83">
        <v>34.9</v>
      </c>
      <c r="N83">
        <v>12720</v>
      </c>
      <c r="O83">
        <v>7288.2</v>
      </c>
      <c r="P83">
        <v>1.7452869021157491</v>
      </c>
      <c r="Q83">
        <v>3.3138401559454238E-2</v>
      </c>
      <c r="R83">
        <v>0</v>
      </c>
    </row>
    <row r="84" spans="1:18" x14ac:dyDescent="0.35">
      <c r="A84" t="s">
        <v>90</v>
      </c>
      <c r="B84" t="s">
        <v>77</v>
      </c>
      <c r="C84">
        <v>41183</v>
      </c>
      <c r="D84">
        <v>1008273</v>
      </c>
      <c r="E84">
        <v>967090</v>
      </c>
      <c r="F84">
        <v>4.0845088582159787E-2</v>
      </c>
      <c r="I84">
        <v>56486</v>
      </c>
      <c r="J84">
        <v>56457</v>
      </c>
      <c r="K84">
        <v>5.1340155082675349E-4</v>
      </c>
      <c r="M84">
        <v>34.9</v>
      </c>
      <c r="N84">
        <v>14740</v>
      </c>
      <c r="O84">
        <v>8029.4</v>
      </c>
      <c r="P84">
        <v>1.8357536054997881</v>
      </c>
      <c r="Q84">
        <v>0.15880503144654079</v>
      </c>
      <c r="R84">
        <v>1</v>
      </c>
    </row>
    <row r="85" spans="1:18" x14ac:dyDescent="0.35">
      <c r="A85" t="s">
        <v>90</v>
      </c>
      <c r="B85" t="s">
        <v>78</v>
      </c>
      <c r="C85">
        <v>37137</v>
      </c>
      <c r="D85">
        <v>1114019</v>
      </c>
      <c r="E85">
        <v>1076882</v>
      </c>
      <c r="F85">
        <v>3.3336056207299868E-2</v>
      </c>
      <c r="G85">
        <v>935</v>
      </c>
      <c r="H85" t="s">
        <v>79</v>
      </c>
      <c r="M85">
        <v>34.9</v>
      </c>
      <c r="N85">
        <v>14166</v>
      </c>
      <c r="O85">
        <v>8173.8</v>
      </c>
      <c r="P85">
        <v>1.733098436467738</v>
      </c>
      <c r="Q85">
        <v>-3.8941655359565841E-2</v>
      </c>
      <c r="R85">
        <v>0</v>
      </c>
    </row>
    <row r="86" spans="1:18" x14ac:dyDescent="0.35">
      <c r="A86" t="s">
        <v>91</v>
      </c>
      <c r="B86" t="s">
        <v>71</v>
      </c>
      <c r="C86">
        <v>161</v>
      </c>
      <c r="D86">
        <v>143828</v>
      </c>
      <c r="E86">
        <v>143667</v>
      </c>
      <c r="F86">
        <v>1.119392607837139E-3</v>
      </c>
      <c r="I86">
        <v>10424</v>
      </c>
      <c r="J86">
        <v>10353</v>
      </c>
      <c r="K86">
        <v>6.8112049117421336E-3</v>
      </c>
      <c r="M86">
        <v>10</v>
      </c>
      <c r="N86">
        <v>1913</v>
      </c>
      <c r="O86">
        <v>1125.7</v>
      </c>
      <c r="P86">
        <v>1.699387048058985</v>
      </c>
    </row>
    <row r="87" spans="1:18" x14ac:dyDescent="0.35">
      <c r="A87" t="s">
        <v>91</v>
      </c>
      <c r="B87" t="s">
        <v>72</v>
      </c>
      <c r="C87">
        <v>100</v>
      </c>
      <c r="D87">
        <v>127622</v>
      </c>
      <c r="E87">
        <v>127522</v>
      </c>
      <c r="F87">
        <v>7.8356396232624466E-4</v>
      </c>
      <c r="I87">
        <v>10186</v>
      </c>
      <c r="J87">
        <v>10130</v>
      </c>
      <c r="K87">
        <v>5.4977419988219128E-3</v>
      </c>
      <c r="L87">
        <v>183333</v>
      </c>
      <c r="M87">
        <v>10</v>
      </c>
      <c r="N87">
        <v>1924</v>
      </c>
      <c r="O87">
        <v>1153.5999999999999</v>
      </c>
      <c r="P87">
        <v>1.6678224687933429</v>
      </c>
      <c r="Q87">
        <v>5.7501306847882461E-3</v>
      </c>
      <c r="R87">
        <v>1</v>
      </c>
    </row>
    <row r="88" spans="1:18" x14ac:dyDescent="0.35">
      <c r="A88" t="s">
        <v>91</v>
      </c>
      <c r="B88" t="s">
        <v>73</v>
      </c>
      <c r="C88">
        <v>454</v>
      </c>
      <c r="D88">
        <v>110286</v>
      </c>
      <c r="E88">
        <v>109832</v>
      </c>
      <c r="F88">
        <v>4.1165696461926268E-3</v>
      </c>
      <c r="I88">
        <v>12115</v>
      </c>
      <c r="J88">
        <v>12088</v>
      </c>
      <c r="K88">
        <v>2.2286421791167972E-3</v>
      </c>
      <c r="L88">
        <v>201854</v>
      </c>
      <c r="M88">
        <v>10</v>
      </c>
      <c r="N88">
        <v>2025</v>
      </c>
      <c r="O88">
        <v>1250.7</v>
      </c>
      <c r="P88">
        <v>1.619093307747661</v>
      </c>
      <c r="Q88">
        <v>5.2494802494802428E-2</v>
      </c>
      <c r="R88">
        <v>0</v>
      </c>
    </row>
    <row r="89" spans="1:18" x14ac:dyDescent="0.35">
      <c r="A89" t="s">
        <v>91</v>
      </c>
      <c r="B89" t="s">
        <v>74</v>
      </c>
      <c r="C89">
        <v>1140</v>
      </c>
      <c r="D89">
        <v>124043</v>
      </c>
      <c r="E89">
        <v>122903</v>
      </c>
      <c r="F89">
        <v>9.190361406931467E-3</v>
      </c>
      <c r="I89">
        <v>12649</v>
      </c>
      <c r="J89">
        <v>12542</v>
      </c>
      <c r="K89">
        <v>8.459166732548028E-3</v>
      </c>
      <c r="M89">
        <v>10</v>
      </c>
      <c r="N89">
        <v>2017</v>
      </c>
      <c r="O89">
        <v>1347.3</v>
      </c>
      <c r="P89">
        <v>1.4970682104950639</v>
      </c>
      <c r="Q89">
        <v>-3.9506172839506304E-3</v>
      </c>
      <c r="R89">
        <v>0</v>
      </c>
    </row>
    <row r="90" spans="1:18" x14ac:dyDescent="0.35">
      <c r="A90" t="s">
        <v>91</v>
      </c>
      <c r="B90" t="s">
        <v>75</v>
      </c>
      <c r="C90">
        <v>1205</v>
      </c>
      <c r="D90">
        <v>132429</v>
      </c>
      <c r="E90">
        <v>131224</v>
      </c>
      <c r="F90">
        <v>9.0992154286447836E-3</v>
      </c>
      <c r="G90">
        <v>44</v>
      </c>
      <c r="H90" t="s">
        <v>76</v>
      </c>
      <c r="I90">
        <v>12805</v>
      </c>
      <c r="J90">
        <v>12767</v>
      </c>
      <c r="K90">
        <v>2.9675907848496679E-3</v>
      </c>
      <c r="M90">
        <v>10</v>
      </c>
      <c r="N90">
        <v>2107</v>
      </c>
      <c r="O90">
        <v>1320</v>
      </c>
      <c r="P90">
        <v>1.596212121212121</v>
      </c>
      <c r="Q90">
        <v>4.4620723847297983E-2</v>
      </c>
      <c r="R90">
        <v>1</v>
      </c>
    </row>
    <row r="91" spans="1:18" x14ac:dyDescent="0.35">
      <c r="A91" t="s">
        <v>91</v>
      </c>
      <c r="B91" t="s">
        <v>77</v>
      </c>
      <c r="C91">
        <v>1975</v>
      </c>
      <c r="D91">
        <v>150531</v>
      </c>
      <c r="E91">
        <v>148556</v>
      </c>
      <c r="F91">
        <v>1.31202210840292E-2</v>
      </c>
      <c r="I91">
        <v>10254</v>
      </c>
      <c r="J91">
        <v>10219</v>
      </c>
      <c r="K91">
        <v>3.4133021259996101E-3</v>
      </c>
      <c r="M91">
        <v>10</v>
      </c>
      <c r="N91">
        <v>2150</v>
      </c>
      <c r="O91">
        <v>1451.1</v>
      </c>
      <c r="P91">
        <v>1.481634622010888</v>
      </c>
      <c r="Q91">
        <v>2.0408163265306149E-2</v>
      </c>
      <c r="R91">
        <v>0</v>
      </c>
    </row>
    <row r="92" spans="1:18" x14ac:dyDescent="0.35">
      <c r="A92" t="s">
        <v>91</v>
      </c>
      <c r="B92" t="s">
        <v>78</v>
      </c>
      <c r="C92">
        <v>1848</v>
      </c>
      <c r="D92">
        <v>168472</v>
      </c>
      <c r="E92">
        <v>166624</v>
      </c>
      <c r="F92">
        <v>1.096918182249869E-2</v>
      </c>
      <c r="G92">
        <v>137</v>
      </c>
      <c r="H92" t="s">
        <v>79</v>
      </c>
      <c r="M92">
        <v>10</v>
      </c>
      <c r="N92">
        <v>2279</v>
      </c>
      <c r="O92">
        <v>1415.1</v>
      </c>
      <c r="P92">
        <v>1.6104868913857679</v>
      </c>
      <c r="Q92">
        <v>6.0000000000000053E-2</v>
      </c>
      <c r="R92">
        <v>1</v>
      </c>
    </row>
    <row r="93" spans="1:18" x14ac:dyDescent="0.35">
      <c r="A93" t="s">
        <v>92</v>
      </c>
      <c r="B93" t="s">
        <v>71</v>
      </c>
      <c r="C93">
        <v>65</v>
      </c>
      <c r="D93">
        <v>178505</v>
      </c>
      <c r="E93">
        <v>178440</v>
      </c>
      <c r="F93">
        <v>3.6413545839052131E-4</v>
      </c>
      <c r="I93">
        <v>20025</v>
      </c>
      <c r="J93">
        <v>16259</v>
      </c>
      <c r="K93">
        <v>0.1880649188514357</v>
      </c>
      <c r="M93">
        <v>27.4</v>
      </c>
      <c r="N93">
        <v>2739</v>
      </c>
      <c r="O93">
        <v>1885.4</v>
      </c>
      <c r="P93">
        <v>1.4527421236872811</v>
      </c>
    </row>
    <row r="94" spans="1:18" x14ac:dyDescent="0.35">
      <c r="A94" t="s">
        <v>92</v>
      </c>
      <c r="B94" t="s">
        <v>72</v>
      </c>
      <c r="C94">
        <v>180</v>
      </c>
      <c r="D94">
        <v>149879</v>
      </c>
      <c r="E94">
        <v>149699</v>
      </c>
      <c r="F94">
        <v>1.2009687814837299E-3</v>
      </c>
      <c r="I94">
        <v>19773</v>
      </c>
      <c r="J94">
        <v>17222</v>
      </c>
      <c r="K94">
        <v>0.1290143124462651</v>
      </c>
      <c r="L94">
        <v>102803</v>
      </c>
      <c r="M94">
        <v>27.4</v>
      </c>
      <c r="N94">
        <v>2689</v>
      </c>
      <c r="O94">
        <v>1976.5</v>
      </c>
      <c r="P94">
        <v>1.360485707057931</v>
      </c>
      <c r="Q94">
        <v>-1.8254837531946011E-2</v>
      </c>
      <c r="R94">
        <v>0</v>
      </c>
    </row>
    <row r="95" spans="1:18" x14ac:dyDescent="0.35">
      <c r="A95" t="s">
        <v>92</v>
      </c>
      <c r="B95" t="s">
        <v>73</v>
      </c>
      <c r="C95">
        <v>1556</v>
      </c>
      <c r="D95">
        <v>155387</v>
      </c>
      <c r="E95">
        <v>153831</v>
      </c>
      <c r="F95">
        <v>1.001370771042623E-2</v>
      </c>
      <c r="I95">
        <v>19957</v>
      </c>
      <c r="J95">
        <v>18434</v>
      </c>
      <c r="K95">
        <v>7.63140752618129E-2</v>
      </c>
      <c r="L95">
        <v>116619</v>
      </c>
      <c r="M95">
        <v>27.4</v>
      </c>
      <c r="N95">
        <v>3137</v>
      </c>
      <c r="O95">
        <v>2130.8000000000002</v>
      </c>
      <c r="P95">
        <v>1.4722170076966401</v>
      </c>
      <c r="Q95">
        <v>0.16660468575678691</v>
      </c>
      <c r="R95">
        <v>1</v>
      </c>
    </row>
    <row r="96" spans="1:18" x14ac:dyDescent="0.35">
      <c r="A96" t="s">
        <v>92</v>
      </c>
      <c r="B96" t="s">
        <v>74</v>
      </c>
      <c r="C96">
        <v>5640</v>
      </c>
      <c r="D96">
        <v>166523</v>
      </c>
      <c r="E96">
        <v>160883</v>
      </c>
      <c r="F96">
        <v>3.386919524630231E-2</v>
      </c>
      <c r="I96">
        <v>19639</v>
      </c>
      <c r="J96">
        <v>19322</v>
      </c>
      <c r="K96">
        <v>1.6141351392637102E-2</v>
      </c>
      <c r="L96">
        <v>132806</v>
      </c>
      <c r="M96">
        <v>27.4</v>
      </c>
      <c r="N96">
        <v>3072</v>
      </c>
      <c r="O96">
        <v>2216.6</v>
      </c>
      <c r="P96">
        <v>1.385906343047911</v>
      </c>
      <c r="Q96">
        <v>-2.0720433535224791E-2</v>
      </c>
      <c r="R96">
        <v>0</v>
      </c>
    </row>
    <row r="97" spans="1:18" x14ac:dyDescent="0.35">
      <c r="A97" t="s">
        <v>92</v>
      </c>
      <c r="B97" t="s">
        <v>75</v>
      </c>
      <c r="C97">
        <v>11664</v>
      </c>
      <c r="D97">
        <v>173345</v>
      </c>
      <c r="E97">
        <v>161681</v>
      </c>
      <c r="F97">
        <v>6.72877787072024E-2</v>
      </c>
      <c r="G97">
        <v>47</v>
      </c>
      <c r="H97" t="s">
        <v>76</v>
      </c>
      <c r="I97">
        <v>20040</v>
      </c>
      <c r="J97">
        <v>19763</v>
      </c>
      <c r="K97">
        <v>1.382235528942116E-2</v>
      </c>
      <c r="M97">
        <v>27.4</v>
      </c>
      <c r="N97">
        <v>3156</v>
      </c>
      <c r="O97">
        <v>2211.1999999999998</v>
      </c>
      <c r="P97">
        <v>1.4272793053545589</v>
      </c>
      <c r="Q97">
        <v>2.734375E-2</v>
      </c>
      <c r="R97">
        <v>0</v>
      </c>
    </row>
    <row r="98" spans="1:18" x14ac:dyDescent="0.35">
      <c r="A98" t="s">
        <v>92</v>
      </c>
      <c r="B98" t="s">
        <v>77</v>
      </c>
      <c r="C98">
        <v>12409</v>
      </c>
      <c r="D98">
        <v>180017</v>
      </c>
      <c r="E98">
        <v>167608</v>
      </c>
      <c r="F98">
        <v>6.8932378608686951E-2</v>
      </c>
      <c r="I98">
        <v>14717</v>
      </c>
      <c r="J98">
        <v>14636</v>
      </c>
      <c r="K98">
        <v>5.5038390976421816E-3</v>
      </c>
      <c r="M98">
        <v>27.4</v>
      </c>
      <c r="N98">
        <v>3396</v>
      </c>
      <c r="O98">
        <v>2341.9</v>
      </c>
      <c r="P98">
        <v>1.450104615910158</v>
      </c>
      <c r="Q98">
        <v>7.6045627376425839E-2</v>
      </c>
      <c r="R98">
        <v>0</v>
      </c>
    </row>
    <row r="99" spans="1:18" x14ac:dyDescent="0.35">
      <c r="A99" t="s">
        <v>92</v>
      </c>
      <c r="B99" t="s">
        <v>78</v>
      </c>
      <c r="C99">
        <v>12562</v>
      </c>
      <c r="D99">
        <v>202317</v>
      </c>
      <c r="E99">
        <v>189755</v>
      </c>
      <c r="F99">
        <v>6.2090679478244537E-2</v>
      </c>
      <c r="G99">
        <v>185</v>
      </c>
      <c r="H99" t="s">
        <v>79</v>
      </c>
      <c r="M99">
        <v>27.4</v>
      </c>
      <c r="N99">
        <v>3338</v>
      </c>
      <c r="O99">
        <v>2316.3000000000002</v>
      </c>
      <c r="P99">
        <v>1.4410913957604801</v>
      </c>
      <c r="Q99">
        <v>-1.7078916372202602E-2</v>
      </c>
      <c r="R99">
        <v>0</v>
      </c>
    </row>
    <row r="100" spans="1:18" x14ac:dyDescent="0.35">
      <c r="A100" t="s">
        <v>93</v>
      </c>
      <c r="B100" t="s">
        <v>71</v>
      </c>
      <c r="C100">
        <v>2169</v>
      </c>
      <c r="D100">
        <v>591263</v>
      </c>
      <c r="E100">
        <v>589094</v>
      </c>
      <c r="F100">
        <v>3.6684182842491408E-3</v>
      </c>
      <c r="I100">
        <v>8941</v>
      </c>
      <c r="J100">
        <v>8872</v>
      </c>
      <c r="K100">
        <v>7.7172575774521867E-3</v>
      </c>
      <c r="M100">
        <v>24</v>
      </c>
      <c r="N100">
        <v>1319</v>
      </c>
      <c r="O100">
        <v>950.2</v>
      </c>
      <c r="P100">
        <v>1.3881288149863189</v>
      </c>
    </row>
    <row r="101" spans="1:18" x14ac:dyDescent="0.35">
      <c r="A101" t="s">
        <v>93</v>
      </c>
      <c r="B101" t="s">
        <v>72</v>
      </c>
      <c r="C101">
        <v>1537</v>
      </c>
      <c r="D101">
        <v>455577</v>
      </c>
      <c r="E101">
        <v>454040</v>
      </c>
      <c r="F101">
        <v>3.373743626214668E-3</v>
      </c>
      <c r="I101">
        <v>9953</v>
      </c>
      <c r="J101">
        <v>9675</v>
      </c>
      <c r="K101">
        <v>2.793127700190897E-2</v>
      </c>
      <c r="L101">
        <v>71071</v>
      </c>
      <c r="M101">
        <v>24</v>
      </c>
      <c r="N101">
        <v>1609</v>
      </c>
      <c r="O101">
        <v>1125</v>
      </c>
      <c r="P101">
        <v>1.4302222222222221</v>
      </c>
      <c r="Q101">
        <v>0.21986353297953001</v>
      </c>
      <c r="R101">
        <v>1</v>
      </c>
    </row>
    <row r="102" spans="1:18" x14ac:dyDescent="0.35">
      <c r="A102" t="s">
        <v>93</v>
      </c>
      <c r="B102" t="s">
        <v>73</v>
      </c>
      <c r="C102">
        <v>5277</v>
      </c>
      <c r="D102">
        <v>443497</v>
      </c>
      <c r="E102">
        <v>438220</v>
      </c>
      <c r="F102">
        <v>1.1898614872253931E-2</v>
      </c>
      <c r="I102">
        <v>11148</v>
      </c>
      <c r="J102">
        <v>10590</v>
      </c>
      <c r="K102">
        <v>5.0053821313240043E-2</v>
      </c>
      <c r="L102">
        <v>78660</v>
      </c>
      <c r="M102">
        <v>24</v>
      </c>
      <c r="N102">
        <v>1609</v>
      </c>
      <c r="O102">
        <v>1205.7</v>
      </c>
      <c r="P102">
        <v>1.334494484531807</v>
      </c>
      <c r="Q102">
        <v>0</v>
      </c>
      <c r="R102">
        <v>0</v>
      </c>
    </row>
    <row r="103" spans="1:18" x14ac:dyDescent="0.35">
      <c r="A103" t="s">
        <v>93</v>
      </c>
      <c r="B103" t="s">
        <v>74</v>
      </c>
      <c r="C103">
        <v>16074</v>
      </c>
      <c r="D103">
        <v>502420</v>
      </c>
      <c r="E103">
        <v>486346</v>
      </c>
      <c r="F103">
        <v>3.199315313880817E-2</v>
      </c>
      <c r="I103">
        <v>13278</v>
      </c>
      <c r="J103">
        <v>12288</v>
      </c>
      <c r="K103">
        <v>7.4559421599638506E-2</v>
      </c>
      <c r="M103">
        <v>24</v>
      </c>
      <c r="N103">
        <v>1774</v>
      </c>
      <c r="O103">
        <v>1231.2</v>
      </c>
      <c r="P103">
        <v>1.4408706952566599</v>
      </c>
      <c r="Q103">
        <v>0.1025481665630827</v>
      </c>
      <c r="R103">
        <v>1</v>
      </c>
    </row>
    <row r="104" spans="1:18" x14ac:dyDescent="0.35">
      <c r="A104" t="s">
        <v>93</v>
      </c>
      <c r="B104" t="s">
        <v>75</v>
      </c>
      <c r="C104">
        <v>22338</v>
      </c>
      <c r="D104">
        <v>553077</v>
      </c>
      <c r="E104">
        <v>530739</v>
      </c>
      <c r="F104">
        <v>4.0388589653881833E-2</v>
      </c>
      <c r="G104">
        <v>135</v>
      </c>
      <c r="H104" t="s">
        <v>76</v>
      </c>
      <c r="I104">
        <v>14408</v>
      </c>
      <c r="J104">
        <v>13858</v>
      </c>
      <c r="K104">
        <v>3.8173237090505283E-2</v>
      </c>
      <c r="M104">
        <v>24</v>
      </c>
      <c r="N104">
        <v>1919</v>
      </c>
      <c r="O104">
        <v>1362.5</v>
      </c>
      <c r="P104">
        <v>1.408440366972477</v>
      </c>
      <c r="Q104">
        <v>8.1736189402480175E-2</v>
      </c>
      <c r="R104">
        <v>1</v>
      </c>
    </row>
    <row r="105" spans="1:18" x14ac:dyDescent="0.35">
      <c r="A105" t="s">
        <v>93</v>
      </c>
      <c r="B105" t="s">
        <v>77</v>
      </c>
      <c r="C105">
        <v>26868</v>
      </c>
      <c r="D105">
        <v>590073</v>
      </c>
      <c r="E105">
        <v>563205</v>
      </c>
      <c r="F105">
        <v>4.5533349263565698E-2</v>
      </c>
      <c r="I105">
        <v>11647</v>
      </c>
      <c r="J105">
        <v>11573</v>
      </c>
      <c r="K105">
        <v>6.3535674422598096E-3</v>
      </c>
      <c r="M105">
        <v>24</v>
      </c>
      <c r="N105">
        <v>2094</v>
      </c>
      <c r="O105">
        <v>1536.1</v>
      </c>
      <c r="P105">
        <v>1.363192500488249</v>
      </c>
      <c r="Q105">
        <v>9.1193329859301731E-2</v>
      </c>
      <c r="R105">
        <v>1</v>
      </c>
    </row>
    <row r="106" spans="1:18" x14ac:dyDescent="0.35">
      <c r="A106" t="s">
        <v>93</v>
      </c>
      <c r="B106" t="s">
        <v>78</v>
      </c>
      <c r="C106">
        <v>36310</v>
      </c>
      <c r="D106">
        <v>709002</v>
      </c>
      <c r="E106">
        <v>672692</v>
      </c>
      <c r="F106">
        <v>5.1212831557597857E-2</v>
      </c>
      <c r="G106">
        <v>353</v>
      </c>
      <c r="H106" t="s">
        <v>79</v>
      </c>
      <c r="M106">
        <v>24</v>
      </c>
      <c r="N106">
        <v>2146</v>
      </c>
      <c r="O106">
        <v>1587</v>
      </c>
      <c r="P106">
        <v>1.3522369250157531</v>
      </c>
      <c r="Q106">
        <v>2.4832855778414539E-2</v>
      </c>
      <c r="R106">
        <v>1</v>
      </c>
    </row>
    <row r="107" spans="1:18" x14ac:dyDescent="0.35">
      <c r="A107" t="s">
        <v>94</v>
      </c>
      <c r="B107" t="s">
        <v>71</v>
      </c>
      <c r="C107">
        <v>7156</v>
      </c>
      <c r="D107">
        <v>1579015</v>
      </c>
      <c r="E107">
        <v>1571859</v>
      </c>
      <c r="F107">
        <v>4.5319392152702786E-3</v>
      </c>
      <c r="I107">
        <v>72799</v>
      </c>
      <c r="J107">
        <v>72796</v>
      </c>
      <c r="K107">
        <v>4.1209357271391092E-5</v>
      </c>
      <c r="M107">
        <v>38.700000000000003</v>
      </c>
      <c r="N107">
        <v>12422</v>
      </c>
      <c r="O107">
        <v>7864.2</v>
      </c>
      <c r="P107">
        <v>1.579563083339691</v>
      </c>
    </row>
    <row r="108" spans="1:18" x14ac:dyDescent="0.35">
      <c r="A108" t="s">
        <v>94</v>
      </c>
      <c r="B108" t="s">
        <v>72</v>
      </c>
      <c r="C108">
        <v>12986</v>
      </c>
      <c r="D108">
        <v>1158490</v>
      </c>
      <c r="E108">
        <v>1145504</v>
      </c>
      <c r="F108">
        <v>1.120941915769666E-2</v>
      </c>
      <c r="I108">
        <v>68851</v>
      </c>
      <c r="J108">
        <v>68831</v>
      </c>
      <c r="K108">
        <v>2.9048234593542581E-4</v>
      </c>
      <c r="L108">
        <v>221310</v>
      </c>
      <c r="M108">
        <v>38.700000000000003</v>
      </c>
      <c r="N108">
        <v>14033</v>
      </c>
      <c r="O108">
        <v>7749.7</v>
      </c>
      <c r="P108">
        <v>1.810779772120211</v>
      </c>
      <c r="Q108">
        <v>0.1296892609885687</v>
      </c>
      <c r="R108">
        <v>1</v>
      </c>
    </row>
    <row r="109" spans="1:18" x14ac:dyDescent="0.35">
      <c r="A109" t="s">
        <v>94</v>
      </c>
      <c r="B109" t="s">
        <v>73</v>
      </c>
      <c r="C109">
        <v>46112</v>
      </c>
      <c r="D109">
        <v>1152143</v>
      </c>
      <c r="E109">
        <v>1106031</v>
      </c>
      <c r="F109">
        <v>4.0022809668591487E-2</v>
      </c>
      <c r="I109">
        <v>72437</v>
      </c>
      <c r="J109">
        <v>72417</v>
      </c>
      <c r="K109">
        <v>2.7610199207587279E-4</v>
      </c>
      <c r="L109">
        <v>265623</v>
      </c>
      <c r="M109">
        <v>38.700000000000003</v>
      </c>
      <c r="N109">
        <v>14752</v>
      </c>
      <c r="O109">
        <v>8267.2999999999993</v>
      </c>
      <c r="P109">
        <v>1.7843794225442411</v>
      </c>
      <c r="Q109">
        <v>5.1236371410247283E-2</v>
      </c>
      <c r="R109">
        <v>0</v>
      </c>
    </row>
    <row r="110" spans="1:18" x14ac:dyDescent="0.35">
      <c r="A110" t="s">
        <v>94</v>
      </c>
      <c r="B110" t="s">
        <v>74</v>
      </c>
      <c r="C110">
        <v>113941</v>
      </c>
      <c r="D110">
        <v>1605663</v>
      </c>
      <c r="E110">
        <v>1491722</v>
      </c>
      <c r="F110">
        <v>7.0961963998672203E-2</v>
      </c>
      <c r="I110">
        <v>75688</v>
      </c>
      <c r="J110">
        <v>75663</v>
      </c>
      <c r="K110">
        <v>3.3030335059718838E-4</v>
      </c>
      <c r="L110">
        <v>301673</v>
      </c>
      <c r="M110">
        <v>38.700000000000003</v>
      </c>
      <c r="N110">
        <v>15682</v>
      </c>
      <c r="O110">
        <v>8694</v>
      </c>
      <c r="P110">
        <v>1.803772716816195</v>
      </c>
      <c r="Q110">
        <v>6.3042299349240771E-2</v>
      </c>
      <c r="R110">
        <v>1</v>
      </c>
    </row>
    <row r="111" spans="1:18" x14ac:dyDescent="0.35">
      <c r="A111" t="s">
        <v>94</v>
      </c>
      <c r="B111" t="s">
        <v>75</v>
      </c>
      <c r="C111">
        <v>170489</v>
      </c>
      <c r="D111">
        <v>1822694</v>
      </c>
      <c r="E111">
        <v>1652205</v>
      </c>
      <c r="F111">
        <v>9.3536819674613511E-2</v>
      </c>
      <c r="G111">
        <v>1041</v>
      </c>
      <c r="H111" t="s">
        <v>76</v>
      </c>
      <c r="I111">
        <v>94088</v>
      </c>
      <c r="J111">
        <v>93934</v>
      </c>
      <c r="K111">
        <v>1.6367655811580649E-3</v>
      </c>
      <c r="M111">
        <v>38.700000000000003</v>
      </c>
      <c r="N111">
        <v>17142</v>
      </c>
      <c r="O111">
        <v>10822.6</v>
      </c>
      <c r="P111">
        <v>1.5839077486001509</v>
      </c>
      <c r="Q111">
        <v>9.3100369850784404E-2</v>
      </c>
      <c r="R111">
        <v>1</v>
      </c>
    </row>
    <row r="112" spans="1:18" x14ac:dyDescent="0.35">
      <c r="A112" t="s">
        <v>94</v>
      </c>
      <c r="B112" t="s">
        <v>77</v>
      </c>
      <c r="C112">
        <v>173976</v>
      </c>
      <c r="D112">
        <v>1852929</v>
      </c>
      <c r="E112">
        <v>1678953</v>
      </c>
      <c r="F112">
        <v>9.3892426531183876E-2</v>
      </c>
      <c r="I112">
        <v>64447</v>
      </c>
      <c r="J112">
        <v>64443</v>
      </c>
      <c r="K112">
        <v>6.2066504259313855E-5</v>
      </c>
      <c r="M112">
        <v>38.700000000000003</v>
      </c>
      <c r="N112">
        <v>18317</v>
      </c>
      <c r="O112">
        <v>10595.9</v>
      </c>
      <c r="P112">
        <v>1.7286875112071649</v>
      </c>
      <c r="Q112">
        <v>6.8545093921362765E-2</v>
      </c>
      <c r="R112">
        <v>0</v>
      </c>
    </row>
    <row r="113" spans="1:18" x14ac:dyDescent="0.35">
      <c r="A113" t="s">
        <v>94</v>
      </c>
      <c r="B113" t="s">
        <v>78</v>
      </c>
      <c r="C113">
        <v>221441</v>
      </c>
      <c r="D113">
        <v>2018961</v>
      </c>
      <c r="E113">
        <v>1797520</v>
      </c>
      <c r="F113">
        <v>0.10968067238544971</v>
      </c>
      <c r="G113">
        <v>6097</v>
      </c>
      <c r="H113" t="s">
        <v>79</v>
      </c>
      <c r="M113">
        <v>38.700000000000003</v>
      </c>
      <c r="N113">
        <v>17863</v>
      </c>
      <c r="O113">
        <v>10809.4</v>
      </c>
      <c r="P113">
        <v>1.6525431568819731</v>
      </c>
      <c r="Q113">
        <v>-2.4785718185292401E-2</v>
      </c>
      <c r="R113">
        <v>0</v>
      </c>
    </row>
    <row r="114" spans="1:18" x14ac:dyDescent="0.35">
      <c r="A114" t="s">
        <v>95</v>
      </c>
      <c r="B114" t="s">
        <v>71</v>
      </c>
      <c r="C114">
        <v>687</v>
      </c>
      <c r="D114">
        <v>852207</v>
      </c>
      <c r="E114">
        <v>851520</v>
      </c>
      <c r="F114">
        <v>8.0614216968412605E-4</v>
      </c>
      <c r="I114">
        <v>26315</v>
      </c>
      <c r="J114">
        <v>26265</v>
      </c>
      <c r="K114">
        <v>1.9000570017100511E-3</v>
      </c>
      <c r="M114">
        <v>47.7</v>
      </c>
      <c r="N114">
        <v>4305</v>
      </c>
      <c r="O114">
        <v>2951.8</v>
      </c>
      <c r="P114">
        <v>1.4584321430991261</v>
      </c>
    </row>
    <row r="115" spans="1:18" x14ac:dyDescent="0.35">
      <c r="A115" t="s">
        <v>95</v>
      </c>
      <c r="B115" t="s">
        <v>72</v>
      </c>
      <c r="C115">
        <v>2197</v>
      </c>
      <c r="D115">
        <v>664006</v>
      </c>
      <c r="E115">
        <v>661809</v>
      </c>
      <c r="F115">
        <v>3.3087050418219108E-3</v>
      </c>
      <c r="I115">
        <v>25118</v>
      </c>
      <c r="J115">
        <v>25102</v>
      </c>
      <c r="K115">
        <v>6.3699339119356634E-4</v>
      </c>
      <c r="L115">
        <v>194322</v>
      </c>
      <c r="M115">
        <v>47.7</v>
      </c>
      <c r="N115">
        <v>4257</v>
      </c>
      <c r="O115">
        <v>2808.1</v>
      </c>
      <c r="P115">
        <v>1.515971653431146</v>
      </c>
      <c r="Q115">
        <v>-1.1149825783972171E-2</v>
      </c>
      <c r="R115">
        <v>0</v>
      </c>
    </row>
    <row r="116" spans="1:18" x14ac:dyDescent="0.35">
      <c r="A116" t="s">
        <v>95</v>
      </c>
      <c r="B116" t="s">
        <v>73</v>
      </c>
      <c r="C116">
        <v>14880</v>
      </c>
      <c r="D116">
        <v>731050</v>
      </c>
      <c r="E116">
        <v>716170</v>
      </c>
      <c r="F116">
        <v>2.035428493263115E-2</v>
      </c>
      <c r="I116">
        <v>26579</v>
      </c>
      <c r="J116">
        <v>26570</v>
      </c>
      <c r="K116">
        <v>3.3861319086496861E-4</v>
      </c>
      <c r="L116">
        <v>228767</v>
      </c>
      <c r="M116">
        <v>47.7</v>
      </c>
      <c r="N116">
        <v>4350</v>
      </c>
      <c r="O116">
        <v>2960.6</v>
      </c>
      <c r="P116">
        <v>1.469296764169425</v>
      </c>
      <c r="Q116">
        <v>2.1846370683580089E-2</v>
      </c>
      <c r="R116">
        <v>0</v>
      </c>
    </row>
    <row r="117" spans="1:18" x14ac:dyDescent="0.35">
      <c r="A117" t="s">
        <v>95</v>
      </c>
      <c r="B117" t="s">
        <v>74</v>
      </c>
      <c r="C117">
        <v>52311</v>
      </c>
      <c r="D117">
        <v>791719</v>
      </c>
      <c r="E117">
        <v>739408</v>
      </c>
      <c r="F117">
        <v>6.6072684879357454E-2</v>
      </c>
      <c r="I117">
        <v>27747</v>
      </c>
      <c r="J117">
        <v>27726</v>
      </c>
      <c r="K117">
        <v>7.5683857714347496E-4</v>
      </c>
      <c r="M117">
        <v>47.7</v>
      </c>
      <c r="N117">
        <v>4412</v>
      </c>
      <c r="O117">
        <v>3097.8</v>
      </c>
      <c r="P117">
        <v>1.424236554974498</v>
      </c>
      <c r="Q117">
        <v>1.425287356321836E-2</v>
      </c>
      <c r="R117">
        <v>0</v>
      </c>
    </row>
    <row r="118" spans="1:18" x14ac:dyDescent="0.35">
      <c r="A118" t="s">
        <v>95</v>
      </c>
      <c r="B118" t="s">
        <v>75</v>
      </c>
      <c r="C118">
        <v>81021</v>
      </c>
      <c r="D118">
        <v>744300</v>
      </c>
      <c r="E118">
        <v>663279</v>
      </c>
      <c r="F118">
        <v>0.1088553002821443</v>
      </c>
      <c r="G118">
        <v>852</v>
      </c>
      <c r="H118" t="s">
        <v>76</v>
      </c>
      <c r="I118">
        <v>30943</v>
      </c>
      <c r="J118">
        <v>30938</v>
      </c>
      <c r="K118">
        <v>1.6158743496105739E-4</v>
      </c>
      <c r="M118">
        <v>47.7</v>
      </c>
      <c r="N118">
        <v>5239</v>
      </c>
      <c r="O118">
        <v>3473.6</v>
      </c>
      <c r="P118">
        <v>1.5082335329341321</v>
      </c>
      <c r="Q118">
        <v>0.18744333635539451</v>
      </c>
      <c r="R118">
        <v>1</v>
      </c>
    </row>
    <row r="119" spans="1:18" x14ac:dyDescent="0.35">
      <c r="A119" t="s">
        <v>95</v>
      </c>
      <c r="B119" t="s">
        <v>77</v>
      </c>
      <c r="C119">
        <v>82840</v>
      </c>
      <c r="D119">
        <v>785852</v>
      </c>
      <c r="E119">
        <v>703012</v>
      </c>
      <c r="F119">
        <v>0.1054142510294559</v>
      </c>
      <c r="I119">
        <v>23478</v>
      </c>
      <c r="J119">
        <v>23470</v>
      </c>
      <c r="K119">
        <v>3.4074452679103839E-4</v>
      </c>
      <c r="M119">
        <v>47.7</v>
      </c>
      <c r="N119">
        <v>5762</v>
      </c>
      <c r="O119">
        <v>3514</v>
      </c>
      <c r="P119">
        <v>1.639726807057484</v>
      </c>
      <c r="Q119">
        <v>9.9828211490742502E-2</v>
      </c>
      <c r="R119">
        <v>1</v>
      </c>
    </row>
    <row r="120" spans="1:18" x14ac:dyDescent="0.35">
      <c r="A120" t="s">
        <v>95</v>
      </c>
      <c r="B120" t="s">
        <v>78</v>
      </c>
      <c r="C120">
        <v>115400</v>
      </c>
      <c r="D120">
        <v>951313</v>
      </c>
      <c r="E120">
        <v>835913</v>
      </c>
      <c r="F120">
        <v>0.12130602651283021</v>
      </c>
      <c r="G120">
        <v>1392</v>
      </c>
      <c r="H120" t="s">
        <v>79</v>
      </c>
      <c r="M120">
        <v>47.7</v>
      </c>
      <c r="N120">
        <v>5106</v>
      </c>
      <c r="O120">
        <v>3436.8</v>
      </c>
      <c r="P120">
        <v>1.485684357541899</v>
      </c>
      <c r="Q120">
        <v>-0.1138493578618536</v>
      </c>
      <c r="R120">
        <v>0</v>
      </c>
    </row>
    <row r="121" spans="1:18" x14ac:dyDescent="0.35">
      <c r="A121" t="s">
        <v>96</v>
      </c>
      <c r="B121" t="s">
        <v>71</v>
      </c>
      <c r="C121">
        <v>1</v>
      </c>
      <c r="D121">
        <v>2488</v>
      </c>
      <c r="E121">
        <v>2487</v>
      </c>
      <c r="F121">
        <v>4.0192926045016082E-4</v>
      </c>
    </row>
    <row r="122" spans="1:18" x14ac:dyDescent="0.35">
      <c r="A122" t="s">
        <v>96</v>
      </c>
      <c r="B122" t="s">
        <v>72</v>
      </c>
      <c r="C122">
        <v>0</v>
      </c>
      <c r="D122">
        <v>2345</v>
      </c>
      <c r="E122">
        <v>2345</v>
      </c>
      <c r="F122">
        <v>0</v>
      </c>
    </row>
    <row r="123" spans="1:18" x14ac:dyDescent="0.35">
      <c r="A123" t="s">
        <v>96</v>
      </c>
      <c r="B123" t="s">
        <v>73</v>
      </c>
      <c r="C123">
        <v>12</v>
      </c>
      <c r="D123">
        <v>3704</v>
      </c>
      <c r="E123">
        <v>3692</v>
      </c>
      <c r="F123">
        <v>3.2397408207343408E-3</v>
      </c>
    </row>
    <row r="124" spans="1:18" x14ac:dyDescent="0.35">
      <c r="A124" t="s">
        <v>96</v>
      </c>
      <c r="B124" t="s">
        <v>74</v>
      </c>
      <c r="C124">
        <v>35</v>
      </c>
      <c r="D124">
        <v>6010</v>
      </c>
      <c r="E124">
        <v>5975</v>
      </c>
      <c r="F124">
        <v>5.8236272878535774E-3</v>
      </c>
    </row>
    <row r="125" spans="1:18" x14ac:dyDescent="0.35">
      <c r="A125" t="s">
        <v>96</v>
      </c>
      <c r="B125" t="s">
        <v>75</v>
      </c>
      <c r="C125">
        <v>41</v>
      </c>
      <c r="D125">
        <v>5254</v>
      </c>
      <c r="E125">
        <v>5213</v>
      </c>
      <c r="F125">
        <v>7.8035782261134373E-3</v>
      </c>
    </row>
    <row r="126" spans="1:18" x14ac:dyDescent="0.35">
      <c r="A126" t="s">
        <v>96</v>
      </c>
      <c r="B126" t="s">
        <v>77</v>
      </c>
      <c r="C126">
        <v>4</v>
      </c>
      <c r="D126">
        <v>5402</v>
      </c>
      <c r="E126">
        <v>5398</v>
      </c>
      <c r="F126">
        <v>7.4046649389115145E-4</v>
      </c>
    </row>
    <row r="127" spans="1:18" x14ac:dyDescent="0.35">
      <c r="A127" t="s">
        <v>96</v>
      </c>
      <c r="B127" t="s">
        <v>78</v>
      </c>
      <c r="C127">
        <v>4</v>
      </c>
      <c r="D127">
        <v>4327</v>
      </c>
      <c r="E127">
        <v>4323</v>
      </c>
      <c r="F127">
        <v>9.2442801016870814E-4</v>
      </c>
      <c r="G127">
        <v>1</v>
      </c>
      <c r="H127" t="s">
        <v>79</v>
      </c>
    </row>
    <row r="128" spans="1:18" x14ac:dyDescent="0.35">
      <c r="A128" t="s">
        <v>97</v>
      </c>
      <c r="B128" t="s">
        <v>71</v>
      </c>
      <c r="C128">
        <v>1</v>
      </c>
      <c r="D128">
        <v>1549</v>
      </c>
      <c r="E128">
        <v>1548</v>
      </c>
      <c r="F128">
        <v>6.4557779212395089E-4</v>
      </c>
      <c r="I128">
        <v>46</v>
      </c>
      <c r="J128">
        <v>46</v>
      </c>
      <c r="K128">
        <v>0</v>
      </c>
      <c r="M128">
        <v>78.099999999999994</v>
      </c>
    </row>
    <row r="129" spans="1:18" x14ac:dyDescent="0.35">
      <c r="A129" t="s">
        <v>97</v>
      </c>
      <c r="B129" t="s">
        <v>72</v>
      </c>
      <c r="C129">
        <v>7</v>
      </c>
      <c r="D129">
        <v>1120</v>
      </c>
      <c r="E129">
        <v>1113</v>
      </c>
      <c r="F129">
        <v>6.2500000000000003E-3</v>
      </c>
      <c r="I129">
        <v>56</v>
      </c>
      <c r="J129">
        <v>56</v>
      </c>
      <c r="K129">
        <v>0</v>
      </c>
      <c r="M129">
        <v>78.099999999999994</v>
      </c>
    </row>
    <row r="130" spans="1:18" x14ac:dyDescent="0.35">
      <c r="A130" t="s">
        <v>97</v>
      </c>
      <c r="B130" t="s">
        <v>73</v>
      </c>
      <c r="C130">
        <v>5</v>
      </c>
      <c r="D130">
        <v>934</v>
      </c>
      <c r="E130">
        <v>929</v>
      </c>
      <c r="F130">
        <v>5.3533190578158446E-3</v>
      </c>
      <c r="I130">
        <v>56</v>
      </c>
      <c r="J130">
        <v>56</v>
      </c>
      <c r="K130">
        <v>0</v>
      </c>
      <c r="M130">
        <v>78.099999999999994</v>
      </c>
    </row>
    <row r="131" spans="1:18" x14ac:dyDescent="0.35">
      <c r="A131" t="s">
        <v>97</v>
      </c>
      <c r="B131" t="s">
        <v>74</v>
      </c>
      <c r="C131">
        <v>3</v>
      </c>
      <c r="D131">
        <v>584</v>
      </c>
      <c r="E131">
        <v>581</v>
      </c>
      <c r="F131">
        <v>5.1369863013698627E-3</v>
      </c>
      <c r="I131">
        <v>64</v>
      </c>
      <c r="J131">
        <v>64</v>
      </c>
      <c r="K131">
        <v>0</v>
      </c>
      <c r="M131">
        <v>78.099999999999994</v>
      </c>
    </row>
    <row r="132" spans="1:18" x14ac:dyDescent="0.35">
      <c r="A132" t="s">
        <v>97</v>
      </c>
      <c r="B132" t="s">
        <v>75</v>
      </c>
      <c r="C132">
        <v>13</v>
      </c>
      <c r="D132">
        <v>684</v>
      </c>
      <c r="E132">
        <v>671</v>
      </c>
      <c r="F132">
        <v>1.900584795321637E-2</v>
      </c>
      <c r="G132">
        <v>1</v>
      </c>
      <c r="H132" t="s">
        <v>76</v>
      </c>
      <c r="I132">
        <v>64</v>
      </c>
      <c r="J132">
        <v>64</v>
      </c>
      <c r="K132">
        <v>0</v>
      </c>
      <c r="M132">
        <v>78.099999999999994</v>
      </c>
    </row>
    <row r="133" spans="1:18" x14ac:dyDescent="0.35">
      <c r="A133" t="s">
        <v>97</v>
      </c>
      <c r="B133" t="s">
        <v>77</v>
      </c>
      <c r="C133">
        <v>17</v>
      </c>
      <c r="D133">
        <v>665</v>
      </c>
      <c r="E133">
        <v>648</v>
      </c>
      <c r="F133">
        <v>2.5563909774436091E-2</v>
      </c>
      <c r="I133">
        <v>50</v>
      </c>
      <c r="J133">
        <v>50</v>
      </c>
      <c r="K133">
        <v>0</v>
      </c>
      <c r="M133">
        <v>78.099999999999994</v>
      </c>
    </row>
    <row r="134" spans="1:18" x14ac:dyDescent="0.35">
      <c r="A134" t="s">
        <v>97</v>
      </c>
      <c r="B134" t="s">
        <v>78</v>
      </c>
      <c r="C134">
        <v>51</v>
      </c>
      <c r="D134">
        <v>1062</v>
      </c>
      <c r="E134">
        <v>1011</v>
      </c>
      <c r="F134">
        <v>4.8022598870056499E-2</v>
      </c>
      <c r="G134">
        <v>1</v>
      </c>
      <c r="H134" t="s">
        <v>79</v>
      </c>
      <c r="M134">
        <v>78.099999999999994</v>
      </c>
    </row>
    <row r="135" spans="1:18" x14ac:dyDescent="0.35">
      <c r="A135" t="s">
        <v>98</v>
      </c>
      <c r="B135" t="s">
        <v>71</v>
      </c>
      <c r="C135">
        <v>3565</v>
      </c>
      <c r="D135">
        <v>1566488</v>
      </c>
      <c r="E135">
        <v>1562923</v>
      </c>
      <c r="F135">
        <v>2.27579145196133E-3</v>
      </c>
      <c r="I135">
        <v>76172</v>
      </c>
      <c r="J135">
        <v>76172</v>
      </c>
      <c r="K135">
        <v>0</v>
      </c>
      <c r="M135">
        <v>27.6</v>
      </c>
      <c r="N135">
        <v>14553</v>
      </c>
      <c r="O135">
        <v>8505.2000000000007</v>
      </c>
      <c r="P135">
        <v>1.71107087428867</v>
      </c>
    </row>
    <row r="136" spans="1:18" x14ac:dyDescent="0.35">
      <c r="A136" t="s">
        <v>98</v>
      </c>
      <c r="B136" t="s">
        <v>72</v>
      </c>
      <c r="C136">
        <v>4386</v>
      </c>
      <c r="D136">
        <v>1183082</v>
      </c>
      <c r="E136">
        <v>1178696</v>
      </c>
      <c r="F136">
        <v>3.7072662757103901E-3</v>
      </c>
      <c r="I136">
        <v>83437</v>
      </c>
      <c r="J136">
        <v>83437</v>
      </c>
      <c r="K136">
        <v>0</v>
      </c>
      <c r="L136">
        <v>103654</v>
      </c>
      <c r="M136">
        <v>27.6</v>
      </c>
      <c r="N136">
        <v>15332</v>
      </c>
      <c r="O136">
        <v>9364.7000000000007</v>
      </c>
      <c r="P136">
        <v>1.6372120836759321</v>
      </c>
      <c r="Q136">
        <v>5.3528482099910679E-2</v>
      </c>
      <c r="R136">
        <v>1</v>
      </c>
    </row>
    <row r="137" spans="1:18" x14ac:dyDescent="0.35">
      <c r="A137" t="s">
        <v>98</v>
      </c>
      <c r="B137" t="s">
        <v>73</v>
      </c>
      <c r="C137">
        <v>14119</v>
      </c>
      <c r="D137">
        <v>1106822</v>
      </c>
      <c r="E137">
        <v>1092703</v>
      </c>
      <c r="F137">
        <v>1.2756342031510029E-2</v>
      </c>
      <c r="I137">
        <v>86501</v>
      </c>
      <c r="J137">
        <v>86455</v>
      </c>
      <c r="K137">
        <v>5.3178575970220002E-4</v>
      </c>
      <c r="L137">
        <v>121594</v>
      </c>
      <c r="M137">
        <v>27.6</v>
      </c>
      <c r="N137">
        <v>15540</v>
      </c>
      <c r="O137">
        <v>9713.5</v>
      </c>
      <c r="P137">
        <v>1.59983528079477</v>
      </c>
      <c r="Q137">
        <v>1.356639707800689E-2</v>
      </c>
      <c r="R137">
        <v>0</v>
      </c>
    </row>
    <row r="138" spans="1:18" x14ac:dyDescent="0.35">
      <c r="A138" t="s">
        <v>98</v>
      </c>
      <c r="B138" t="s">
        <v>74</v>
      </c>
      <c r="C138">
        <v>45329</v>
      </c>
      <c r="D138">
        <v>1433011</v>
      </c>
      <c r="E138">
        <v>1387682</v>
      </c>
      <c r="F138">
        <v>3.1631997242170508E-2</v>
      </c>
      <c r="I138">
        <v>92683</v>
      </c>
      <c r="J138">
        <v>92325</v>
      </c>
      <c r="K138">
        <v>3.8626285295037931E-3</v>
      </c>
      <c r="L138">
        <v>140583</v>
      </c>
      <c r="M138">
        <v>27.6</v>
      </c>
      <c r="N138">
        <v>17003</v>
      </c>
      <c r="O138">
        <v>10441.1</v>
      </c>
      <c r="P138">
        <v>1.628468264837996</v>
      </c>
      <c r="Q138">
        <v>9.4144144144144182E-2</v>
      </c>
      <c r="R138">
        <v>1</v>
      </c>
    </row>
    <row r="139" spans="1:18" x14ac:dyDescent="0.35">
      <c r="A139" t="s">
        <v>98</v>
      </c>
      <c r="B139" t="s">
        <v>75</v>
      </c>
      <c r="C139">
        <v>77403</v>
      </c>
      <c r="D139">
        <v>1527155</v>
      </c>
      <c r="E139">
        <v>1449752</v>
      </c>
      <c r="F139">
        <v>5.0684442640072547E-2</v>
      </c>
      <c r="G139">
        <v>341</v>
      </c>
      <c r="H139" t="s">
        <v>76</v>
      </c>
      <c r="I139">
        <v>99301</v>
      </c>
      <c r="J139">
        <v>99150</v>
      </c>
      <c r="K139">
        <v>1.5206291980946821E-3</v>
      </c>
      <c r="M139">
        <v>27.6</v>
      </c>
      <c r="N139">
        <v>17341</v>
      </c>
      <c r="O139">
        <v>10988</v>
      </c>
      <c r="P139">
        <v>1.5781761922096831</v>
      </c>
      <c r="Q139">
        <v>1.9878844909721801E-2</v>
      </c>
      <c r="R139">
        <v>0</v>
      </c>
    </row>
    <row r="140" spans="1:18" x14ac:dyDescent="0.35">
      <c r="A140" t="s">
        <v>98</v>
      </c>
      <c r="B140" t="s">
        <v>77</v>
      </c>
      <c r="C140">
        <v>107617</v>
      </c>
      <c r="D140">
        <v>1668711</v>
      </c>
      <c r="E140">
        <v>1561094</v>
      </c>
      <c r="F140">
        <v>6.4491095222599965E-2</v>
      </c>
      <c r="I140">
        <v>75449</v>
      </c>
      <c r="J140">
        <v>75354</v>
      </c>
      <c r="K140">
        <v>1.2591286829513979E-3</v>
      </c>
      <c r="M140">
        <v>27.6</v>
      </c>
      <c r="N140">
        <v>18944</v>
      </c>
      <c r="O140">
        <v>11768.2</v>
      </c>
      <c r="P140">
        <v>1.6097619007154871</v>
      </c>
      <c r="Q140">
        <v>9.2439882359725445E-2</v>
      </c>
      <c r="R140">
        <v>1</v>
      </c>
    </row>
    <row r="141" spans="1:18" x14ac:dyDescent="0.35">
      <c r="A141" t="s">
        <v>98</v>
      </c>
      <c r="B141" t="s">
        <v>78</v>
      </c>
      <c r="C141">
        <v>158886</v>
      </c>
      <c r="D141">
        <v>1790818</v>
      </c>
      <c r="E141">
        <v>1631932</v>
      </c>
      <c r="F141">
        <v>8.8722583757813472E-2</v>
      </c>
      <c r="G141">
        <v>1147</v>
      </c>
      <c r="H141" t="s">
        <v>79</v>
      </c>
      <c r="M141">
        <v>27.6</v>
      </c>
      <c r="N141">
        <v>19690</v>
      </c>
      <c r="O141">
        <v>11834.3</v>
      </c>
      <c r="P141">
        <v>1.66380774528278</v>
      </c>
      <c r="Q141">
        <v>3.9379222972973027E-2</v>
      </c>
      <c r="R141">
        <v>1</v>
      </c>
    </row>
    <row r="142" spans="1:18" x14ac:dyDescent="0.35">
      <c r="A142" t="s">
        <v>99</v>
      </c>
      <c r="B142" t="s">
        <v>71</v>
      </c>
      <c r="C142">
        <v>7398</v>
      </c>
      <c r="D142">
        <v>2381996</v>
      </c>
      <c r="E142">
        <v>2374598</v>
      </c>
      <c r="F142">
        <v>3.1057986663285751E-3</v>
      </c>
      <c r="I142">
        <v>155167</v>
      </c>
      <c r="J142">
        <v>155166</v>
      </c>
      <c r="K142">
        <v>6.4446692917952919E-6</v>
      </c>
      <c r="M142">
        <v>45.2</v>
      </c>
      <c r="N142">
        <v>24528</v>
      </c>
      <c r="O142">
        <v>18383.599999999999</v>
      </c>
      <c r="P142">
        <v>1.334232685654605</v>
      </c>
    </row>
    <row r="143" spans="1:18" x14ac:dyDescent="0.35">
      <c r="A143" t="s">
        <v>99</v>
      </c>
      <c r="B143" t="s">
        <v>72</v>
      </c>
      <c r="C143">
        <v>9395</v>
      </c>
      <c r="D143">
        <v>1696447</v>
      </c>
      <c r="E143">
        <v>1687052</v>
      </c>
      <c r="F143">
        <v>5.5380451024995194E-3</v>
      </c>
      <c r="I143">
        <v>150679</v>
      </c>
      <c r="J143">
        <v>150663</v>
      </c>
      <c r="K143">
        <v>1.061859980488323E-4</v>
      </c>
      <c r="L143">
        <v>183704</v>
      </c>
      <c r="M143">
        <v>45.2</v>
      </c>
      <c r="N143">
        <v>25618</v>
      </c>
      <c r="O143">
        <v>17644.400000000001</v>
      </c>
      <c r="P143">
        <v>1.4519054204166759</v>
      </c>
      <c r="Q143">
        <v>4.4439008480104292E-2</v>
      </c>
      <c r="R143">
        <v>1</v>
      </c>
    </row>
    <row r="144" spans="1:18" x14ac:dyDescent="0.35">
      <c r="A144" t="s">
        <v>99</v>
      </c>
      <c r="B144" t="s">
        <v>73</v>
      </c>
      <c r="C144">
        <v>51432</v>
      </c>
      <c r="D144">
        <v>1912100</v>
      </c>
      <c r="E144">
        <v>1860668</v>
      </c>
      <c r="F144">
        <v>2.689817478165368E-2</v>
      </c>
      <c r="I144">
        <v>172823</v>
      </c>
      <c r="J144">
        <v>172809</v>
      </c>
      <c r="K144">
        <v>8.1007736238810808E-5</v>
      </c>
      <c r="L144">
        <v>215233</v>
      </c>
      <c r="M144">
        <v>45.2</v>
      </c>
      <c r="N144">
        <v>28422</v>
      </c>
      <c r="O144">
        <v>20085.7</v>
      </c>
      <c r="P144">
        <v>1.4150365683048141</v>
      </c>
      <c r="Q144">
        <v>0.1094542899523772</v>
      </c>
      <c r="R144">
        <v>1</v>
      </c>
    </row>
    <row r="145" spans="1:18" x14ac:dyDescent="0.35">
      <c r="A145" t="s">
        <v>99</v>
      </c>
      <c r="B145" t="s">
        <v>74</v>
      </c>
      <c r="C145">
        <v>158637</v>
      </c>
      <c r="D145">
        <v>2446751</v>
      </c>
      <c r="E145">
        <v>2288114</v>
      </c>
      <c r="F145">
        <v>6.4835776096545991E-2</v>
      </c>
      <c r="I145">
        <v>187309</v>
      </c>
      <c r="J145">
        <v>187197</v>
      </c>
      <c r="K145">
        <v>5.979424373628603E-4</v>
      </c>
      <c r="L145">
        <v>242247</v>
      </c>
      <c r="M145">
        <v>45.2</v>
      </c>
      <c r="N145">
        <v>28679</v>
      </c>
      <c r="O145">
        <v>21795.200000000001</v>
      </c>
      <c r="P145">
        <v>1.3158401849948611</v>
      </c>
      <c r="Q145">
        <v>9.0422911828864638E-3</v>
      </c>
      <c r="R145">
        <v>0</v>
      </c>
    </row>
    <row r="146" spans="1:18" x14ac:dyDescent="0.35">
      <c r="A146" t="s">
        <v>99</v>
      </c>
      <c r="B146" t="s">
        <v>75</v>
      </c>
      <c r="C146">
        <v>212313</v>
      </c>
      <c r="D146">
        <v>2614570</v>
      </c>
      <c r="E146">
        <v>2402257</v>
      </c>
      <c r="F146">
        <v>8.1203792593045887E-2</v>
      </c>
      <c r="G146">
        <v>3079</v>
      </c>
      <c r="H146" t="s">
        <v>76</v>
      </c>
      <c r="I146">
        <v>207108</v>
      </c>
      <c r="J146">
        <v>206931</v>
      </c>
      <c r="K146">
        <v>8.546265716437801E-4</v>
      </c>
      <c r="M146">
        <v>45.2</v>
      </c>
      <c r="N146">
        <v>29699</v>
      </c>
      <c r="O146">
        <v>23971.4</v>
      </c>
      <c r="P146">
        <v>1.23893473055391</v>
      </c>
      <c r="Q146">
        <v>3.556609365738006E-2</v>
      </c>
      <c r="R146">
        <v>0</v>
      </c>
    </row>
    <row r="147" spans="1:18" x14ac:dyDescent="0.35">
      <c r="A147" t="s">
        <v>99</v>
      </c>
      <c r="B147" t="s">
        <v>77</v>
      </c>
      <c r="C147">
        <v>246337</v>
      </c>
      <c r="D147">
        <v>2952357</v>
      </c>
      <c r="E147">
        <v>2706020</v>
      </c>
      <c r="F147">
        <v>8.3437402726025345E-2</v>
      </c>
      <c r="I147">
        <v>147892</v>
      </c>
      <c r="J147">
        <v>147834</v>
      </c>
      <c r="K147">
        <v>3.9217807589321941E-4</v>
      </c>
      <c r="M147">
        <v>45.2</v>
      </c>
      <c r="N147">
        <v>30884</v>
      </c>
      <c r="O147">
        <v>23775.9</v>
      </c>
      <c r="P147">
        <v>1.298962394693786</v>
      </c>
      <c r="Q147">
        <v>3.9900333344557122E-2</v>
      </c>
      <c r="R147">
        <v>0</v>
      </c>
    </row>
    <row r="148" spans="1:18" x14ac:dyDescent="0.35">
      <c r="A148" t="s">
        <v>99</v>
      </c>
      <c r="B148" t="s">
        <v>78</v>
      </c>
      <c r="C148">
        <v>278993</v>
      </c>
      <c r="D148">
        <v>3479627</v>
      </c>
      <c r="E148">
        <v>3200634</v>
      </c>
      <c r="F148">
        <v>8.0178996197006178E-2</v>
      </c>
      <c r="G148">
        <v>4155</v>
      </c>
      <c r="H148" t="s">
        <v>79</v>
      </c>
      <c r="M148">
        <v>45.2</v>
      </c>
      <c r="N148">
        <v>30956</v>
      </c>
      <c r="O148">
        <v>23313.9</v>
      </c>
      <c r="P148">
        <v>1.3277915749831639</v>
      </c>
      <c r="Q148">
        <v>2.3313042352026692E-3</v>
      </c>
      <c r="R148">
        <v>0</v>
      </c>
    </row>
    <row r="149" spans="1:18" x14ac:dyDescent="0.35">
      <c r="A149" t="s">
        <v>100</v>
      </c>
      <c r="B149" t="s">
        <v>71</v>
      </c>
      <c r="C149">
        <v>318</v>
      </c>
      <c r="D149">
        <v>39529</v>
      </c>
      <c r="E149">
        <v>39211</v>
      </c>
      <c r="F149">
        <v>8.0447266563788613E-3</v>
      </c>
      <c r="I149">
        <v>924</v>
      </c>
      <c r="J149">
        <v>917</v>
      </c>
      <c r="K149">
        <v>7.575757575757576E-3</v>
      </c>
      <c r="M149">
        <v>32.5</v>
      </c>
      <c r="N149">
        <v>223</v>
      </c>
      <c r="O149">
        <v>102.6</v>
      </c>
      <c r="P149">
        <v>2.1734892787524371</v>
      </c>
    </row>
    <row r="150" spans="1:18" x14ac:dyDescent="0.35">
      <c r="A150" t="s">
        <v>100</v>
      </c>
      <c r="B150" t="s">
        <v>72</v>
      </c>
      <c r="C150">
        <v>16</v>
      </c>
      <c r="D150">
        <v>18229</v>
      </c>
      <c r="E150">
        <v>18213</v>
      </c>
      <c r="F150">
        <v>8.7772231060398269E-4</v>
      </c>
      <c r="I150">
        <v>974</v>
      </c>
      <c r="J150">
        <v>969</v>
      </c>
      <c r="K150">
        <v>5.1334702258726897E-3</v>
      </c>
      <c r="L150">
        <v>79797</v>
      </c>
      <c r="M150">
        <v>32.5</v>
      </c>
      <c r="N150">
        <v>244</v>
      </c>
      <c r="O150">
        <v>109.9</v>
      </c>
      <c r="P150">
        <v>2.2202001819836208</v>
      </c>
      <c r="Q150">
        <v>9.4170403587443996E-2</v>
      </c>
      <c r="R150">
        <v>1</v>
      </c>
    </row>
    <row r="151" spans="1:18" x14ac:dyDescent="0.35">
      <c r="A151" t="s">
        <v>100</v>
      </c>
      <c r="B151" t="s">
        <v>73</v>
      </c>
      <c r="C151">
        <v>129</v>
      </c>
      <c r="D151">
        <v>38791</v>
      </c>
      <c r="E151">
        <v>38662</v>
      </c>
      <c r="F151">
        <v>3.3255136500734712E-3</v>
      </c>
      <c r="I151">
        <v>1019</v>
      </c>
      <c r="J151">
        <v>1018</v>
      </c>
      <c r="K151">
        <v>9.813542688910696E-4</v>
      </c>
      <c r="L151">
        <v>84345</v>
      </c>
      <c r="M151">
        <v>32.5</v>
      </c>
      <c r="N151">
        <v>255</v>
      </c>
      <c r="O151">
        <v>115.8</v>
      </c>
      <c r="P151">
        <v>2.2020725388601039</v>
      </c>
      <c r="Q151">
        <v>4.508196721311486E-2</v>
      </c>
      <c r="R151">
        <v>0</v>
      </c>
    </row>
    <row r="152" spans="1:18" x14ac:dyDescent="0.35">
      <c r="A152" t="s">
        <v>100</v>
      </c>
      <c r="B152" t="s">
        <v>74</v>
      </c>
      <c r="C152">
        <v>541</v>
      </c>
      <c r="D152">
        <v>53523</v>
      </c>
      <c r="E152">
        <v>52982</v>
      </c>
      <c r="F152">
        <v>1.010780412159259E-2</v>
      </c>
      <c r="I152">
        <v>1014</v>
      </c>
      <c r="J152">
        <v>1014</v>
      </c>
      <c r="K152">
        <v>0</v>
      </c>
      <c r="M152">
        <v>32.5</v>
      </c>
      <c r="N152">
        <v>240</v>
      </c>
      <c r="O152">
        <v>114.8</v>
      </c>
      <c r="P152">
        <v>2.0905923344947741</v>
      </c>
      <c r="Q152">
        <v>-5.8823529411764719E-2</v>
      </c>
      <c r="R152">
        <v>0</v>
      </c>
    </row>
    <row r="153" spans="1:18" x14ac:dyDescent="0.35">
      <c r="A153" t="s">
        <v>100</v>
      </c>
      <c r="B153" t="s">
        <v>75</v>
      </c>
      <c r="C153">
        <v>269</v>
      </c>
      <c r="D153">
        <v>19685</v>
      </c>
      <c r="E153">
        <v>19416</v>
      </c>
      <c r="F153">
        <v>1.366522733045466E-2</v>
      </c>
      <c r="G153">
        <v>17</v>
      </c>
      <c r="H153" t="s">
        <v>76</v>
      </c>
      <c r="I153">
        <v>1023</v>
      </c>
      <c r="J153">
        <v>1008</v>
      </c>
      <c r="K153">
        <v>1.466275659824047E-2</v>
      </c>
      <c r="M153">
        <v>32.5</v>
      </c>
      <c r="N153">
        <v>231</v>
      </c>
      <c r="O153">
        <v>111.6</v>
      </c>
      <c r="P153">
        <v>2.06989247311828</v>
      </c>
      <c r="Q153">
        <v>-3.7499999999999978E-2</v>
      </c>
      <c r="R153">
        <v>0</v>
      </c>
    </row>
    <row r="154" spans="1:18" x14ac:dyDescent="0.35">
      <c r="A154" t="s">
        <v>100</v>
      </c>
      <c r="B154" t="s">
        <v>77</v>
      </c>
      <c r="C154">
        <v>466</v>
      </c>
      <c r="D154">
        <v>29065</v>
      </c>
      <c r="E154">
        <v>28599</v>
      </c>
      <c r="F154">
        <v>1.603302941682436E-2</v>
      </c>
      <c r="I154">
        <v>771</v>
      </c>
      <c r="J154">
        <v>770</v>
      </c>
      <c r="K154">
        <v>1.297016861219196E-3</v>
      </c>
      <c r="M154">
        <v>32.5</v>
      </c>
      <c r="N154">
        <v>274</v>
      </c>
      <c r="O154">
        <v>127.9</v>
      </c>
      <c r="P154">
        <v>2.142298670836591</v>
      </c>
      <c r="Q154">
        <v>0.1861471861471862</v>
      </c>
      <c r="R154">
        <v>1</v>
      </c>
    </row>
    <row r="155" spans="1:18" x14ac:dyDescent="0.35">
      <c r="A155" t="s">
        <v>100</v>
      </c>
      <c r="B155" t="s">
        <v>78</v>
      </c>
      <c r="C155">
        <v>1637</v>
      </c>
      <c r="D155">
        <v>39759</v>
      </c>
      <c r="E155">
        <v>38122</v>
      </c>
      <c r="F155">
        <v>4.117306773309188E-2</v>
      </c>
      <c r="G155">
        <v>58</v>
      </c>
      <c r="H155" t="s">
        <v>79</v>
      </c>
      <c r="M155">
        <v>32.5</v>
      </c>
      <c r="N155">
        <v>276</v>
      </c>
      <c r="O155">
        <v>138.30000000000001</v>
      </c>
      <c r="P155">
        <v>1.9956616052060741</v>
      </c>
      <c r="Q155">
        <v>7.2992700729928028E-3</v>
      </c>
      <c r="R155">
        <v>1</v>
      </c>
    </row>
    <row r="156" spans="1:18" x14ac:dyDescent="0.35">
      <c r="A156" t="s">
        <v>101</v>
      </c>
      <c r="B156" t="s">
        <v>71</v>
      </c>
      <c r="C156">
        <v>13</v>
      </c>
      <c r="D156">
        <v>34073</v>
      </c>
      <c r="E156">
        <v>34060</v>
      </c>
      <c r="F156">
        <v>3.8153376573826791E-4</v>
      </c>
      <c r="I156">
        <v>2112</v>
      </c>
      <c r="J156">
        <v>2064</v>
      </c>
      <c r="K156">
        <v>2.2727272727272731E-2</v>
      </c>
      <c r="M156">
        <v>20.100000000000001</v>
      </c>
      <c r="N156">
        <v>386</v>
      </c>
      <c r="O156">
        <v>239</v>
      </c>
      <c r="P156">
        <v>1.615062761506276</v>
      </c>
    </row>
    <row r="157" spans="1:18" x14ac:dyDescent="0.35">
      <c r="A157" t="s">
        <v>101</v>
      </c>
      <c r="B157" t="s">
        <v>72</v>
      </c>
      <c r="C157">
        <v>1</v>
      </c>
      <c r="D157">
        <v>22953</v>
      </c>
      <c r="E157">
        <v>22952</v>
      </c>
      <c r="F157">
        <v>4.3567289678909073E-5</v>
      </c>
      <c r="I157">
        <v>2031</v>
      </c>
      <c r="J157">
        <v>2005</v>
      </c>
      <c r="K157">
        <v>1.280157557853274E-2</v>
      </c>
      <c r="L157">
        <v>84638</v>
      </c>
      <c r="M157">
        <v>20.100000000000001</v>
      </c>
      <c r="N157">
        <v>381</v>
      </c>
      <c r="O157">
        <v>234.9</v>
      </c>
      <c r="P157">
        <v>1.621966794380588</v>
      </c>
      <c r="Q157">
        <v>-1.2953367875647709E-2</v>
      </c>
      <c r="R157">
        <v>0</v>
      </c>
    </row>
    <row r="158" spans="1:18" x14ac:dyDescent="0.35">
      <c r="A158" t="s">
        <v>101</v>
      </c>
      <c r="B158" t="s">
        <v>73</v>
      </c>
      <c r="C158">
        <v>11</v>
      </c>
      <c r="D158">
        <v>26139</v>
      </c>
      <c r="E158">
        <v>26128</v>
      </c>
      <c r="F158">
        <v>4.2082711656911133E-4</v>
      </c>
      <c r="I158">
        <v>2256</v>
      </c>
      <c r="J158">
        <v>2243</v>
      </c>
      <c r="K158">
        <v>5.7624113475177301E-3</v>
      </c>
      <c r="L158">
        <v>90638</v>
      </c>
      <c r="M158">
        <v>20.100000000000001</v>
      </c>
      <c r="N158">
        <v>405</v>
      </c>
      <c r="O158">
        <v>252.9</v>
      </c>
      <c r="P158">
        <v>1.6014234875444839</v>
      </c>
      <c r="Q158">
        <v>6.2992125984252079E-2</v>
      </c>
      <c r="R158">
        <v>1</v>
      </c>
    </row>
    <row r="159" spans="1:18" x14ac:dyDescent="0.35">
      <c r="A159" t="s">
        <v>101</v>
      </c>
      <c r="B159" t="s">
        <v>74</v>
      </c>
      <c r="C159">
        <v>52</v>
      </c>
      <c r="D159">
        <v>36643</v>
      </c>
      <c r="E159">
        <v>36591</v>
      </c>
      <c r="F159">
        <v>1.4190977812952E-3</v>
      </c>
      <c r="I159">
        <v>2237</v>
      </c>
      <c r="J159">
        <v>2237</v>
      </c>
      <c r="K159">
        <v>0</v>
      </c>
      <c r="L159">
        <v>98572</v>
      </c>
      <c r="M159">
        <v>20.100000000000001</v>
      </c>
      <c r="N159">
        <v>403</v>
      </c>
      <c r="O159">
        <v>260.2</v>
      </c>
      <c r="P159">
        <v>1.5488086087624899</v>
      </c>
      <c r="Q159">
        <v>-4.9382716049383157E-3</v>
      </c>
      <c r="R159">
        <v>0</v>
      </c>
    </row>
    <row r="160" spans="1:18" x14ac:dyDescent="0.35">
      <c r="A160" t="s">
        <v>101</v>
      </c>
      <c r="B160" t="s">
        <v>75</v>
      </c>
      <c r="C160">
        <v>511</v>
      </c>
      <c r="D160">
        <v>42537</v>
      </c>
      <c r="E160">
        <v>42026</v>
      </c>
      <c r="F160">
        <v>1.2013070973505419E-2</v>
      </c>
      <c r="G160">
        <v>21</v>
      </c>
      <c r="H160" t="s">
        <v>76</v>
      </c>
      <c r="I160">
        <v>2236</v>
      </c>
      <c r="J160">
        <v>2066</v>
      </c>
      <c r="K160">
        <v>7.6028622540250446E-2</v>
      </c>
      <c r="M160">
        <v>20.100000000000001</v>
      </c>
      <c r="N160">
        <v>353</v>
      </c>
      <c r="O160">
        <v>229.7</v>
      </c>
      <c r="P160">
        <v>1.536787113626469</v>
      </c>
      <c r="Q160">
        <v>-0.12406947890818849</v>
      </c>
      <c r="R160">
        <v>0</v>
      </c>
    </row>
    <row r="161" spans="1:18" x14ac:dyDescent="0.35">
      <c r="A161" t="s">
        <v>101</v>
      </c>
      <c r="B161" t="s">
        <v>77</v>
      </c>
      <c r="C161">
        <v>520</v>
      </c>
      <c r="D161">
        <v>41056</v>
      </c>
      <c r="E161">
        <v>40536</v>
      </c>
      <c r="F161">
        <v>1.2665627435697579E-2</v>
      </c>
      <c r="I161">
        <v>1514</v>
      </c>
      <c r="J161">
        <v>1514</v>
      </c>
      <c r="K161">
        <v>0</v>
      </c>
      <c r="M161">
        <v>20.100000000000001</v>
      </c>
      <c r="N161">
        <v>418</v>
      </c>
      <c r="O161">
        <v>232.9</v>
      </c>
      <c r="P161">
        <v>1.794761700300558</v>
      </c>
      <c r="Q161">
        <v>0.18413597733711051</v>
      </c>
      <c r="R161">
        <v>1</v>
      </c>
    </row>
    <row r="162" spans="1:18" x14ac:dyDescent="0.35">
      <c r="A162" t="s">
        <v>101</v>
      </c>
      <c r="B162" t="s">
        <v>78</v>
      </c>
      <c r="C162">
        <v>1075</v>
      </c>
      <c r="D162">
        <v>44668</v>
      </c>
      <c r="E162">
        <v>43593</v>
      </c>
      <c r="F162">
        <v>2.406644577773798E-2</v>
      </c>
      <c r="G162">
        <v>62</v>
      </c>
      <c r="H162" t="s">
        <v>79</v>
      </c>
      <c r="M162">
        <v>20.100000000000001</v>
      </c>
      <c r="N162">
        <v>407</v>
      </c>
      <c r="O162">
        <v>243.7</v>
      </c>
      <c r="P162">
        <v>1.670086171522364</v>
      </c>
      <c r="Q162">
        <v>-2.6315789473684181E-2</v>
      </c>
      <c r="R162">
        <v>0</v>
      </c>
    </row>
    <row r="163" spans="1:18" x14ac:dyDescent="0.35">
      <c r="A163" t="s">
        <v>102</v>
      </c>
      <c r="B163" t="s">
        <v>71</v>
      </c>
      <c r="C163">
        <v>1</v>
      </c>
      <c r="D163">
        <v>31439</v>
      </c>
      <c r="E163">
        <v>31438</v>
      </c>
      <c r="F163">
        <v>3.1807627469067077E-5</v>
      </c>
      <c r="I163">
        <v>647</v>
      </c>
      <c r="J163">
        <v>643</v>
      </c>
      <c r="K163">
        <v>6.1823802163833066E-3</v>
      </c>
      <c r="M163">
        <v>52.1</v>
      </c>
      <c r="N163">
        <v>135</v>
      </c>
      <c r="O163">
        <v>64.7</v>
      </c>
      <c r="P163">
        <v>2.0865533230293658</v>
      </c>
    </row>
    <row r="164" spans="1:18" x14ac:dyDescent="0.35">
      <c r="A164" t="s">
        <v>102</v>
      </c>
      <c r="B164" t="s">
        <v>72</v>
      </c>
      <c r="C164">
        <v>1</v>
      </c>
      <c r="D164">
        <v>25574</v>
      </c>
      <c r="E164">
        <v>25573</v>
      </c>
      <c r="F164">
        <v>3.9102213185266287E-5</v>
      </c>
      <c r="I164">
        <v>728</v>
      </c>
      <c r="J164">
        <v>723</v>
      </c>
      <c r="K164">
        <v>6.868131868131868E-3</v>
      </c>
      <c r="L164">
        <v>187838</v>
      </c>
      <c r="M164">
        <v>52.1</v>
      </c>
      <c r="N164">
        <v>126</v>
      </c>
      <c r="O164">
        <v>65.8</v>
      </c>
      <c r="P164">
        <v>1.9148936170212769</v>
      </c>
      <c r="Q164">
        <v>-6.6666666666666652E-2</v>
      </c>
      <c r="R164">
        <v>0</v>
      </c>
    </row>
    <row r="165" spans="1:18" x14ac:dyDescent="0.35">
      <c r="A165" t="s">
        <v>102</v>
      </c>
      <c r="B165" t="s">
        <v>73</v>
      </c>
      <c r="C165">
        <v>1</v>
      </c>
      <c r="D165">
        <v>22051</v>
      </c>
      <c r="E165">
        <v>22050</v>
      </c>
      <c r="F165">
        <v>4.5349417259988208E-5</v>
      </c>
      <c r="I165">
        <v>656</v>
      </c>
      <c r="J165">
        <v>644</v>
      </c>
      <c r="K165">
        <v>1.8292682926829271E-2</v>
      </c>
      <c r="L165">
        <v>188839</v>
      </c>
      <c r="M165">
        <v>52.1</v>
      </c>
      <c r="N165">
        <v>146</v>
      </c>
      <c r="O165">
        <v>71.400000000000006</v>
      </c>
      <c r="P165">
        <v>2.0448179271708682</v>
      </c>
      <c r="Q165">
        <v>0.1587301587301588</v>
      </c>
      <c r="R165">
        <v>1</v>
      </c>
    </row>
    <row r="166" spans="1:18" x14ac:dyDescent="0.35">
      <c r="A166" t="s">
        <v>102</v>
      </c>
      <c r="B166" t="s">
        <v>74</v>
      </c>
      <c r="C166">
        <v>65</v>
      </c>
      <c r="D166">
        <v>27064</v>
      </c>
      <c r="E166">
        <v>26999</v>
      </c>
      <c r="F166">
        <v>2.4017144546260721E-3</v>
      </c>
      <c r="I166">
        <v>645</v>
      </c>
      <c r="J166">
        <v>645</v>
      </c>
      <c r="K166">
        <v>0</v>
      </c>
      <c r="M166">
        <v>52.1</v>
      </c>
      <c r="N166">
        <v>152</v>
      </c>
      <c r="O166">
        <v>70.900000000000006</v>
      </c>
      <c r="P166">
        <v>2.1438645980253881</v>
      </c>
      <c r="Q166">
        <v>4.1095890410958853E-2</v>
      </c>
      <c r="R166">
        <v>0</v>
      </c>
    </row>
    <row r="167" spans="1:18" x14ac:dyDescent="0.35">
      <c r="A167" t="s">
        <v>102</v>
      </c>
      <c r="B167" t="s">
        <v>75</v>
      </c>
      <c r="C167">
        <v>276</v>
      </c>
      <c r="D167">
        <v>30213</v>
      </c>
      <c r="E167">
        <v>29937</v>
      </c>
      <c r="F167">
        <v>9.1351405024327273E-3</v>
      </c>
      <c r="I167">
        <v>684</v>
      </c>
      <c r="J167">
        <v>684</v>
      </c>
      <c r="K167">
        <v>0</v>
      </c>
      <c r="M167">
        <v>52.1</v>
      </c>
      <c r="N167">
        <v>155</v>
      </c>
      <c r="O167">
        <v>70.2</v>
      </c>
      <c r="P167">
        <v>2.207977207977208</v>
      </c>
      <c r="Q167">
        <v>1.9736842105263049E-2</v>
      </c>
      <c r="R167">
        <v>0</v>
      </c>
    </row>
    <row r="168" spans="1:18" x14ac:dyDescent="0.35">
      <c r="A168" t="s">
        <v>102</v>
      </c>
      <c r="B168" t="s">
        <v>77</v>
      </c>
      <c r="C168">
        <v>660</v>
      </c>
      <c r="D168">
        <v>28802</v>
      </c>
      <c r="E168">
        <v>28142</v>
      </c>
      <c r="F168">
        <v>2.2915075341990141E-2</v>
      </c>
      <c r="I168">
        <v>516</v>
      </c>
      <c r="J168">
        <v>516</v>
      </c>
      <c r="K168">
        <v>0</v>
      </c>
      <c r="M168">
        <v>52.1</v>
      </c>
      <c r="N168">
        <v>164</v>
      </c>
      <c r="O168">
        <v>78.8</v>
      </c>
      <c r="P168">
        <v>2.0812182741116749</v>
      </c>
      <c r="Q168">
        <v>5.8064516129032302E-2</v>
      </c>
      <c r="R168">
        <v>0</v>
      </c>
    </row>
    <row r="169" spans="1:18" x14ac:dyDescent="0.35">
      <c r="A169" t="s">
        <v>102</v>
      </c>
      <c r="B169" t="s">
        <v>78</v>
      </c>
      <c r="C169">
        <v>894</v>
      </c>
      <c r="D169">
        <v>31992</v>
      </c>
      <c r="E169">
        <v>31098</v>
      </c>
      <c r="F169">
        <v>2.7944486121530381E-2</v>
      </c>
      <c r="G169">
        <v>13</v>
      </c>
      <c r="H169" t="s">
        <v>79</v>
      </c>
      <c r="M169">
        <v>52.1</v>
      </c>
      <c r="N169">
        <v>166</v>
      </c>
      <c r="O169">
        <v>84.3</v>
      </c>
      <c r="P169">
        <v>1.969157769869514</v>
      </c>
      <c r="Q169">
        <v>1.219512195121952E-2</v>
      </c>
      <c r="R169">
        <v>1</v>
      </c>
    </row>
    <row r="170" spans="1:18" x14ac:dyDescent="0.35">
      <c r="A170" t="s">
        <v>103</v>
      </c>
      <c r="B170" t="s">
        <v>71</v>
      </c>
      <c r="C170">
        <v>14</v>
      </c>
      <c r="D170">
        <v>27510</v>
      </c>
      <c r="E170">
        <v>27496</v>
      </c>
      <c r="F170">
        <v>5.0890585241730279E-4</v>
      </c>
      <c r="I170">
        <v>814</v>
      </c>
      <c r="J170">
        <v>809</v>
      </c>
      <c r="K170">
        <v>6.1425061425061421E-3</v>
      </c>
      <c r="M170">
        <v>28.9</v>
      </c>
      <c r="N170">
        <v>169</v>
      </c>
      <c r="O170">
        <v>95.9</v>
      </c>
      <c r="P170">
        <v>1.7622523461939521</v>
      </c>
    </row>
    <row r="171" spans="1:18" x14ac:dyDescent="0.35">
      <c r="A171" t="s">
        <v>103</v>
      </c>
      <c r="B171" t="s">
        <v>72</v>
      </c>
      <c r="C171">
        <v>2</v>
      </c>
      <c r="D171">
        <v>15543</v>
      </c>
      <c r="E171">
        <v>15541</v>
      </c>
      <c r="F171">
        <v>1.2867528791095671E-4</v>
      </c>
      <c r="I171">
        <v>826</v>
      </c>
      <c r="J171">
        <v>822</v>
      </c>
      <c r="K171">
        <v>4.8426150121065378E-3</v>
      </c>
      <c r="L171">
        <v>126452</v>
      </c>
      <c r="M171">
        <v>28.9</v>
      </c>
      <c r="N171">
        <v>151</v>
      </c>
      <c r="O171">
        <v>93.7</v>
      </c>
      <c r="P171">
        <v>1.611526147278548</v>
      </c>
      <c r="Q171">
        <v>-0.106508875739645</v>
      </c>
      <c r="R171">
        <v>0</v>
      </c>
    </row>
    <row r="172" spans="1:18" x14ac:dyDescent="0.35">
      <c r="A172" t="s">
        <v>103</v>
      </c>
      <c r="B172" t="s">
        <v>73</v>
      </c>
      <c r="C172">
        <v>1</v>
      </c>
      <c r="D172">
        <v>21440</v>
      </c>
      <c r="E172">
        <v>21439</v>
      </c>
      <c r="F172">
        <v>4.664179104477612E-5</v>
      </c>
      <c r="I172">
        <v>852</v>
      </c>
      <c r="J172">
        <v>851</v>
      </c>
      <c r="K172">
        <v>1.173708920187793E-3</v>
      </c>
      <c r="L172">
        <v>142363</v>
      </c>
      <c r="M172">
        <v>28.9</v>
      </c>
      <c r="N172">
        <v>152</v>
      </c>
      <c r="O172">
        <v>96.7</v>
      </c>
      <c r="P172">
        <v>1.5718717683557391</v>
      </c>
      <c r="Q172">
        <v>6.6225165562914254E-3</v>
      </c>
      <c r="R172">
        <v>0</v>
      </c>
    </row>
    <row r="173" spans="1:18" x14ac:dyDescent="0.35">
      <c r="A173" t="s">
        <v>103</v>
      </c>
      <c r="B173" t="s">
        <v>74</v>
      </c>
      <c r="C173">
        <v>3</v>
      </c>
      <c r="D173">
        <v>26553</v>
      </c>
      <c r="E173">
        <v>26550</v>
      </c>
      <c r="F173">
        <v>1.129815840018077E-4</v>
      </c>
      <c r="I173">
        <v>926</v>
      </c>
      <c r="J173">
        <v>873</v>
      </c>
      <c r="K173">
        <v>5.7235421166306692E-2</v>
      </c>
      <c r="M173">
        <v>28.9</v>
      </c>
      <c r="N173">
        <v>161</v>
      </c>
      <c r="O173">
        <v>98.2</v>
      </c>
      <c r="P173">
        <v>1.6395112016293281</v>
      </c>
      <c r="Q173">
        <v>5.921052631578938E-2</v>
      </c>
      <c r="R173">
        <v>1</v>
      </c>
    </row>
    <row r="174" spans="1:18" x14ac:dyDescent="0.35">
      <c r="A174" t="s">
        <v>103</v>
      </c>
      <c r="B174" t="s">
        <v>75</v>
      </c>
      <c r="C174">
        <v>8</v>
      </c>
      <c r="D174">
        <v>28682</v>
      </c>
      <c r="E174">
        <v>28674</v>
      </c>
      <c r="F174">
        <v>2.7892057736559521E-4</v>
      </c>
      <c r="G174">
        <v>6</v>
      </c>
      <c r="H174" t="s">
        <v>76</v>
      </c>
      <c r="I174">
        <v>921</v>
      </c>
      <c r="J174">
        <v>921</v>
      </c>
      <c r="K174">
        <v>0</v>
      </c>
      <c r="M174">
        <v>28.9</v>
      </c>
      <c r="N174">
        <v>176</v>
      </c>
      <c r="O174">
        <v>103.2</v>
      </c>
      <c r="P174">
        <v>1.705426356589147</v>
      </c>
      <c r="Q174">
        <v>9.3167701863354102E-2</v>
      </c>
      <c r="R174">
        <v>1</v>
      </c>
    </row>
    <row r="175" spans="1:18" x14ac:dyDescent="0.35">
      <c r="A175" t="s">
        <v>103</v>
      </c>
      <c r="B175" t="s">
        <v>77</v>
      </c>
      <c r="C175">
        <v>17</v>
      </c>
      <c r="D175">
        <v>26281</v>
      </c>
      <c r="E175">
        <v>26264</v>
      </c>
      <c r="F175">
        <v>6.4685514249838288E-4</v>
      </c>
      <c r="I175">
        <v>721</v>
      </c>
      <c r="J175">
        <v>721</v>
      </c>
      <c r="K175">
        <v>0</v>
      </c>
      <c r="M175">
        <v>28.9</v>
      </c>
      <c r="N175">
        <v>193</v>
      </c>
      <c r="O175">
        <v>109.9</v>
      </c>
      <c r="P175">
        <v>1.7561419472247499</v>
      </c>
      <c r="Q175">
        <v>9.6590909090909172E-2</v>
      </c>
      <c r="R175">
        <v>1</v>
      </c>
    </row>
    <row r="176" spans="1:18" x14ac:dyDescent="0.35">
      <c r="A176" t="s">
        <v>103</v>
      </c>
      <c r="B176" t="s">
        <v>78</v>
      </c>
      <c r="C176">
        <v>29</v>
      </c>
      <c r="D176">
        <v>28269</v>
      </c>
      <c r="E176">
        <v>28240</v>
      </c>
      <c r="F176">
        <v>1.025858714492907E-3</v>
      </c>
      <c r="G176">
        <v>42</v>
      </c>
      <c r="H176" t="s">
        <v>79</v>
      </c>
      <c r="M176">
        <v>28.9</v>
      </c>
      <c r="N176">
        <v>193</v>
      </c>
      <c r="O176">
        <v>110.5</v>
      </c>
      <c r="P176">
        <v>1.746606334841629</v>
      </c>
      <c r="Q176">
        <v>0</v>
      </c>
      <c r="R176">
        <v>0</v>
      </c>
    </row>
    <row r="177" spans="1:18" x14ac:dyDescent="0.35">
      <c r="A177" t="s">
        <v>104</v>
      </c>
      <c r="B177" t="s">
        <v>71</v>
      </c>
      <c r="C177">
        <v>990</v>
      </c>
      <c r="D177">
        <v>835038</v>
      </c>
      <c r="E177">
        <v>834048</v>
      </c>
      <c r="F177">
        <v>1.185574788213231E-3</v>
      </c>
      <c r="I177">
        <v>29692</v>
      </c>
      <c r="J177">
        <v>29692</v>
      </c>
      <c r="K177">
        <v>0</v>
      </c>
      <c r="M177">
        <v>16.7</v>
      </c>
      <c r="N177">
        <v>5159</v>
      </c>
      <c r="O177">
        <v>3349.3</v>
      </c>
      <c r="P177">
        <v>1.540321858298749</v>
      </c>
    </row>
    <row r="178" spans="1:18" x14ac:dyDescent="0.35">
      <c r="A178" t="s">
        <v>104</v>
      </c>
      <c r="B178" t="s">
        <v>72</v>
      </c>
      <c r="C178">
        <v>1359</v>
      </c>
      <c r="D178">
        <v>557279</v>
      </c>
      <c r="E178">
        <v>555920</v>
      </c>
      <c r="F178">
        <v>2.4386348669158541E-3</v>
      </c>
      <c r="I178">
        <v>29848</v>
      </c>
      <c r="J178">
        <v>29848</v>
      </c>
      <c r="K178">
        <v>0</v>
      </c>
      <c r="L178">
        <v>102166</v>
      </c>
      <c r="M178">
        <v>16.7</v>
      </c>
      <c r="N178">
        <v>5001</v>
      </c>
      <c r="O178">
        <v>3366</v>
      </c>
      <c r="P178">
        <v>1.4857397504456329</v>
      </c>
      <c r="Q178">
        <v>-3.06260903275829E-2</v>
      </c>
      <c r="R178">
        <v>0</v>
      </c>
    </row>
    <row r="179" spans="1:18" x14ac:dyDescent="0.35">
      <c r="A179" t="s">
        <v>104</v>
      </c>
      <c r="B179" t="s">
        <v>73</v>
      </c>
      <c r="C179">
        <v>10389</v>
      </c>
      <c r="D179">
        <v>528893</v>
      </c>
      <c r="E179">
        <v>518504</v>
      </c>
      <c r="F179">
        <v>1.964291454037017E-2</v>
      </c>
      <c r="I179">
        <v>38339</v>
      </c>
      <c r="J179">
        <v>38332</v>
      </c>
      <c r="K179">
        <v>1.8258170531312761E-4</v>
      </c>
      <c r="L179">
        <v>128873</v>
      </c>
      <c r="M179">
        <v>16.7</v>
      </c>
      <c r="N179">
        <v>5709</v>
      </c>
      <c r="O179">
        <v>4387.3</v>
      </c>
      <c r="P179">
        <v>1.301255897704739</v>
      </c>
      <c r="Q179">
        <v>0.14157168566286751</v>
      </c>
      <c r="R179">
        <v>1</v>
      </c>
    </row>
    <row r="180" spans="1:18" x14ac:dyDescent="0.35">
      <c r="A180" t="s">
        <v>104</v>
      </c>
      <c r="B180" t="s">
        <v>74</v>
      </c>
      <c r="C180">
        <v>32330</v>
      </c>
      <c r="D180">
        <v>654058</v>
      </c>
      <c r="E180">
        <v>621728</v>
      </c>
      <c r="F180">
        <v>4.9429867076008549E-2</v>
      </c>
      <c r="I180">
        <v>42631</v>
      </c>
      <c r="J180">
        <v>42584</v>
      </c>
      <c r="K180">
        <v>1.102484107808872E-3</v>
      </c>
      <c r="L180">
        <v>150676</v>
      </c>
      <c r="M180">
        <v>16.7</v>
      </c>
      <c r="N180">
        <v>6395</v>
      </c>
      <c r="O180">
        <v>4840.3</v>
      </c>
      <c r="P180">
        <v>1.3211990992293861</v>
      </c>
      <c r="Q180">
        <v>0.1201611490628831</v>
      </c>
      <c r="R180">
        <v>1</v>
      </c>
    </row>
    <row r="181" spans="1:18" x14ac:dyDescent="0.35">
      <c r="A181" t="s">
        <v>104</v>
      </c>
      <c r="B181" t="s">
        <v>75</v>
      </c>
      <c r="C181">
        <v>51977</v>
      </c>
      <c r="D181">
        <v>779360</v>
      </c>
      <c r="E181">
        <v>727383</v>
      </c>
      <c r="F181">
        <v>6.6691901047012933E-2</v>
      </c>
      <c r="G181">
        <v>198</v>
      </c>
      <c r="H181" t="s">
        <v>76</v>
      </c>
      <c r="I181">
        <v>41358</v>
      </c>
      <c r="J181">
        <v>41333</v>
      </c>
      <c r="K181">
        <v>6.0447797282267037E-4</v>
      </c>
      <c r="M181">
        <v>16.7</v>
      </c>
      <c r="N181">
        <v>6964</v>
      </c>
      <c r="O181">
        <v>4797.8</v>
      </c>
      <c r="P181">
        <v>1.451498603526616</v>
      </c>
      <c r="Q181">
        <v>8.8975762314308149E-2</v>
      </c>
      <c r="R181">
        <v>1</v>
      </c>
    </row>
    <row r="182" spans="1:18" x14ac:dyDescent="0.35">
      <c r="A182" t="s">
        <v>104</v>
      </c>
      <c r="B182" t="s">
        <v>77</v>
      </c>
      <c r="C182">
        <v>65249</v>
      </c>
      <c r="D182">
        <v>804566</v>
      </c>
      <c r="E182">
        <v>739317</v>
      </c>
      <c r="F182">
        <v>8.1098380990496738E-2</v>
      </c>
      <c r="I182">
        <v>33046</v>
      </c>
      <c r="J182">
        <v>33023</v>
      </c>
      <c r="K182">
        <v>6.9599951582642377E-4</v>
      </c>
      <c r="M182">
        <v>16.7</v>
      </c>
      <c r="N182">
        <v>7079</v>
      </c>
      <c r="O182">
        <v>4883.2</v>
      </c>
      <c r="P182">
        <v>1.4496641546526869</v>
      </c>
      <c r="Q182">
        <v>1.651349798966106E-2</v>
      </c>
      <c r="R182">
        <v>0</v>
      </c>
    </row>
    <row r="183" spans="1:18" x14ac:dyDescent="0.35">
      <c r="A183" t="s">
        <v>104</v>
      </c>
      <c r="B183" t="s">
        <v>78</v>
      </c>
      <c r="C183">
        <v>92599</v>
      </c>
      <c r="D183">
        <v>943079</v>
      </c>
      <c r="E183">
        <v>850480</v>
      </c>
      <c r="F183">
        <v>9.818795668231399E-2</v>
      </c>
      <c r="G183">
        <v>623</v>
      </c>
      <c r="H183" t="s">
        <v>79</v>
      </c>
      <c r="M183">
        <v>16.7</v>
      </c>
      <c r="N183">
        <v>7112</v>
      </c>
      <c r="O183">
        <v>4995.3</v>
      </c>
      <c r="P183">
        <v>1.423738314015174</v>
      </c>
      <c r="Q183">
        <v>4.661675377878316E-3</v>
      </c>
      <c r="R183">
        <v>0</v>
      </c>
    </row>
    <row r="184" spans="1:18" x14ac:dyDescent="0.35">
      <c r="A184" t="s">
        <v>105</v>
      </c>
    </row>
    <row r="185" spans="1:18" x14ac:dyDescent="0.35">
      <c r="A185" t="s">
        <v>106</v>
      </c>
      <c r="B185" t="s">
        <v>71</v>
      </c>
      <c r="C185">
        <v>63</v>
      </c>
      <c r="D185">
        <v>56362</v>
      </c>
      <c r="E185">
        <v>56299</v>
      </c>
      <c r="F185">
        <v>1.117774386998332E-3</v>
      </c>
      <c r="I185">
        <v>2847</v>
      </c>
      <c r="J185">
        <v>2846</v>
      </c>
      <c r="K185">
        <v>3.5124692658939228E-4</v>
      </c>
      <c r="M185">
        <v>68.3</v>
      </c>
      <c r="N185">
        <v>461</v>
      </c>
      <c r="O185">
        <v>320.10000000000002</v>
      </c>
      <c r="P185">
        <v>1.440174945329584</v>
      </c>
    </row>
    <row r="186" spans="1:18" x14ac:dyDescent="0.35">
      <c r="A186" t="s">
        <v>106</v>
      </c>
      <c r="B186" t="s">
        <v>72</v>
      </c>
      <c r="C186">
        <v>134</v>
      </c>
      <c r="D186">
        <v>42868</v>
      </c>
      <c r="E186">
        <v>42734</v>
      </c>
      <c r="F186">
        <v>3.1258747783894751E-3</v>
      </c>
      <c r="I186">
        <v>2644</v>
      </c>
      <c r="J186">
        <v>2644</v>
      </c>
      <c r="K186">
        <v>0</v>
      </c>
      <c r="L186">
        <v>203178</v>
      </c>
      <c r="M186">
        <v>68.3</v>
      </c>
      <c r="N186">
        <v>443</v>
      </c>
      <c r="O186">
        <v>299.2</v>
      </c>
      <c r="P186">
        <v>1.480614973262032</v>
      </c>
      <c r="Q186">
        <v>-3.9045553145336198E-2</v>
      </c>
      <c r="R186">
        <v>0</v>
      </c>
    </row>
    <row r="187" spans="1:18" x14ac:dyDescent="0.35">
      <c r="A187" t="s">
        <v>106</v>
      </c>
      <c r="B187" t="s">
        <v>73</v>
      </c>
      <c r="C187">
        <v>749</v>
      </c>
      <c r="D187">
        <v>43395</v>
      </c>
      <c r="E187">
        <v>42646</v>
      </c>
      <c r="F187">
        <v>1.7260053001497869E-2</v>
      </c>
      <c r="I187">
        <v>2894</v>
      </c>
      <c r="J187">
        <v>2893</v>
      </c>
      <c r="K187">
        <v>3.455425017277125E-4</v>
      </c>
      <c r="L187">
        <v>209890</v>
      </c>
      <c r="M187">
        <v>68.3</v>
      </c>
      <c r="N187">
        <v>456</v>
      </c>
      <c r="O187">
        <v>329.2</v>
      </c>
      <c r="P187">
        <v>1.385176184690158</v>
      </c>
      <c r="Q187">
        <v>2.9345372460496622E-2</v>
      </c>
      <c r="R187">
        <v>0</v>
      </c>
    </row>
    <row r="188" spans="1:18" x14ac:dyDescent="0.35">
      <c r="A188" t="s">
        <v>106</v>
      </c>
      <c r="B188" t="s">
        <v>74</v>
      </c>
      <c r="C188">
        <v>1738</v>
      </c>
      <c r="D188">
        <v>50953</v>
      </c>
      <c r="E188">
        <v>49215</v>
      </c>
      <c r="F188">
        <v>3.4109865954899607E-2</v>
      </c>
      <c r="I188">
        <v>3051</v>
      </c>
      <c r="J188">
        <v>3050</v>
      </c>
      <c r="K188">
        <v>3.2776138970829242E-4</v>
      </c>
      <c r="M188">
        <v>68.3</v>
      </c>
      <c r="N188">
        <v>489</v>
      </c>
      <c r="O188">
        <v>343.2</v>
      </c>
      <c r="P188">
        <v>1.424825174825175</v>
      </c>
      <c r="Q188">
        <v>7.2368421052631637E-2</v>
      </c>
      <c r="R188">
        <v>1</v>
      </c>
    </row>
    <row r="189" spans="1:18" x14ac:dyDescent="0.35">
      <c r="A189" t="s">
        <v>106</v>
      </c>
      <c r="B189" t="s">
        <v>75</v>
      </c>
      <c r="C189">
        <v>3247</v>
      </c>
      <c r="D189">
        <v>58724</v>
      </c>
      <c r="E189">
        <v>55477</v>
      </c>
      <c r="F189">
        <v>5.5292555003065187E-2</v>
      </c>
      <c r="G189">
        <v>23</v>
      </c>
      <c r="H189" t="s">
        <v>76</v>
      </c>
      <c r="I189">
        <v>3456</v>
      </c>
      <c r="J189">
        <v>3455</v>
      </c>
      <c r="K189">
        <v>2.8935185185185178E-4</v>
      </c>
      <c r="M189">
        <v>68.3</v>
      </c>
      <c r="N189">
        <v>508</v>
      </c>
      <c r="O189">
        <v>364.1</v>
      </c>
      <c r="P189">
        <v>1.3952210931062889</v>
      </c>
      <c r="Q189">
        <v>3.8854805725971442E-2</v>
      </c>
      <c r="R189">
        <v>0</v>
      </c>
    </row>
    <row r="190" spans="1:18" x14ac:dyDescent="0.35">
      <c r="A190" t="s">
        <v>106</v>
      </c>
      <c r="B190" t="s">
        <v>77</v>
      </c>
      <c r="C190">
        <v>4408</v>
      </c>
      <c r="D190">
        <v>66390</v>
      </c>
      <c r="E190">
        <v>61982</v>
      </c>
      <c r="F190">
        <v>6.6395541497213439E-2</v>
      </c>
      <c r="I190">
        <v>2735</v>
      </c>
      <c r="J190">
        <v>2735</v>
      </c>
      <c r="K190">
        <v>0</v>
      </c>
      <c r="M190">
        <v>68.3</v>
      </c>
      <c r="N190">
        <v>527</v>
      </c>
      <c r="O190">
        <v>380.1</v>
      </c>
      <c r="P190">
        <v>1.3864772428308341</v>
      </c>
      <c r="Q190">
        <v>3.740157480314954E-2</v>
      </c>
      <c r="R190">
        <v>0</v>
      </c>
    </row>
    <row r="191" spans="1:18" x14ac:dyDescent="0.35">
      <c r="A191" t="s">
        <v>106</v>
      </c>
      <c r="B191" t="s">
        <v>78</v>
      </c>
      <c r="C191">
        <v>5502</v>
      </c>
      <c r="D191">
        <v>77586</v>
      </c>
      <c r="E191">
        <v>72084</v>
      </c>
      <c r="F191">
        <v>7.0914855772948732E-2</v>
      </c>
      <c r="G191">
        <v>50</v>
      </c>
      <c r="H191" t="s">
        <v>79</v>
      </c>
      <c r="M191">
        <v>68.3</v>
      </c>
      <c r="N191">
        <v>544</v>
      </c>
      <c r="O191">
        <v>374.8</v>
      </c>
      <c r="P191">
        <v>1.4514407684098189</v>
      </c>
      <c r="Q191">
        <v>3.2258064516128997E-2</v>
      </c>
      <c r="R191">
        <v>1</v>
      </c>
    </row>
    <row r="192" spans="1:18" x14ac:dyDescent="0.35">
      <c r="A192" t="s">
        <v>107</v>
      </c>
      <c r="B192" t="s">
        <v>71</v>
      </c>
      <c r="C192">
        <v>894</v>
      </c>
      <c r="D192">
        <v>784321</v>
      </c>
      <c r="E192">
        <v>783427</v>
      </c>
      <c r="F192">
        <v>1.1398394279893049E-3</v>
      </c>
      <c r="I192">
        <v>56776</v>
      </c>
      <c r="J192">
        <v>56770</v>
      </c>
      <c r="K192">
        <v>1.056784556855009E-4</v>
      </c>
      <c r="M192">
        <v>37.5</v>
      </c>
      <c r="N192">
        <v>13054</v>
      </c>
      <c r="O192">
        <v>6432.4</v>
      </c>
      <c r="P192">
        <v>2.0294135936819848</v>
      </c>
    </row>
    <row r="193" spans="1:18" x14ac:dyDescent="0.35">
      <c r="A193" t="s">
        <v>107</v>
      </c>
      <c r="B193" t="s">
        <v>72</v>
      </c>
      <c r="C193">
        <v>954</v>
      </c>
      <c r="D193">
        <v>459099</v>
      </c>
      <c r="E193">
        <v>458145</v>
      </c>
      <c r="F193">
        <v>2.07798318009841E-3</v>
      </c>
      <c r="I193">
        <v>58445</v>
      </c>
      <c r="J193">
        <v>58377</v>
      </c>
      <c r="K193">
        <v>1.163487039096587E-3</v>
      </c>
      <c r="L193">
        <v>149193</v>
      </c>
      <c r="M193">
        <v>37.5</v>
      </c>
      <c r="N193">
        <v>12967</v>
      </c>
      <c r="O193">
        <v>6580.4</v>
      </c>
      <c r="P193">
        <v>1.9705489028022609</v>
      </c>
      <c r="Q193">
        <v>-6.6646238700781568E-3</v>
      </c>
      <c r="R193">
        <v>0</v>
      </c>
    </row>
    <row r="194" spans="1:18" x14ac:dyDescent="0.35">
      <c r="A194" t="s">
        <v>107</v>
      </c>
      <c r="B194" t="s">
        <v>73</v>
      </c>
      <c r="C194">
        <v>6678</v>
      </c>
      <c r="D194">
        <v>495824</v>
      </c>
      <c r="E194">
        <v>489146</v>
      </c>
      <c r="F194">
        <v>1.346848881861306E-2</v>
      </c>
      <c r="I194">
        <v>62846</v>
      </c>
      <c r="J194">
        <v>62411</v>
      </c>
      <c r="K194">
        <v>6.9216815708239184E-3</v>
      </c>
      <c r="L194">
        <v>161888</v>
      </c>
      <c r="M194">
        <v>37.5</v>
      </c>
      <c r="N194">
        <v>13242</v>
      </c>
      <c r="O194">
        <v>7057</v>
      </c>
      <c r="P194">
        <v>1.876434745642624</v>
      </c>
      <c r="Q194">
        <v>2.1207681036477188E-2</v>
      </c>
      <c r="R194">
        <v>0</v>
      </c>
    </row>
    <row r="195" spans="1:18" x14ac:dyDescent="0.35">
      <c r="A195" t="s">
        <v>107</v>
      </c>
      <c r="B195" t="s">
        <v>74</v>
      </c>
      <c r="C195">
        <v>16031</v>
      </c>
      <c r="D195">
        <v>583748</v>
      </c>
      <c r="E195">
        <v>567717</v>
      </c>
      <c r="F195">
        <v>2.7462192589953201E-2</v>
      </c>
      <c r="I195">
        <v>69522</v>
      </c>
      <c r="J195">
        <v>69220</v>
      </c>
      <c r="K195">
        <v>4.3439486781162804E-3</v>
      </c>
      <c r="L195">
        <v>173873</v>
      </c>
      <c r="M195">
        <v>37.5</v>
      </c>
      <c r="N195">
        <v>14093</v>
      </c>
      <c r="O195">
        <v>7899.9</v>
      </c>
      <c r="P195">
        <v>1.783946632235851</v>
      </c>
      <c r="Q195">
        <v>6.4265216734632258E-2</v>
      </c>
      <c r="R195">
        <v>1</v>
      </c>
    </row>
    <row r="196" spans="1:18" x14ac:dyDescent="0.35">
      <c r="A196" t="s">
        <v>107</v>
      </c>
      <c r="B196" t="s">
        <v>75</v>
      </c>
      <c r="C196">
        <v>31910</v>
      </c>
      <c r="D196">
        <v>654556</v>
      </c>
      <c r="E196">
        <v>622646</v>
      </c>
      <c r="F196">
        <v>4.8750603462499771E-2</v>
      </c>
      <c r="G196">
        <v>158</v>
      </c>
      <c r="H196" t="s">
        <v>76</v>
      </c>
      <c r="I196">
        <v>69533</v>
      </c>
      <c r="J196">
        <v>69528</v>
      </c>
      <c r="K196">
        <v>7.1908302532610417E-5</v>
      </c>
      <c r="M196">
        <v>37.5</v>
      </c>
      <c r="N196">
        <v>15025</v>
      </c>
      <c r="O196">
        <v>7940.6</v>
      </c>
      <c r="P196">
        <v>1.8921743948819989</v>
      </c>
      <c r="Q196">
        <v>6.613212233023491E-2</v>
      </c>
      <c r="R196">
        <v>1</v>
      </c>
    </row>
    <row r="197" spans="1:18" x14ac:dyDescent="0.35">
      <c r="A197" t="s">
        <v>107</v>
      </c>
      <c r="B197" t="s">
        <v>77</v>
      </c>
      <c r="C197">
        <v>45178</v>
      </c>
      <c r="D197">
        <v>718090</v>
      </c>
      <c r="E197">
        <v>672912</v>
      </c>
      <c r="F197">
        <v>6.29141194000752E-2</v>
      </c>
      <c r="I197">
        <v>63536</v>
      </c>
      <c r="J197">
        <v>63536</v>
      </c>
      <c r="K197">
        <v>0</v>
      </c>
      <c r="M197">
        <v>37.5</v>
      </c>
      <c r="N197">
        <v>15834</v>
      </c>
      <c r="O197">
        <v>8808.4</v>
      </c>
      <c r="P197">
        <v>1.797602288724399</v>
      </c>
      <c r="Q197">
        <v>5.3843594009983287E-2</v>
      </c>
      <c r="R197">
        <v>0</v>
      </c>
    </row>
    <row r="198" spans="1:18" x14ac:dyDescent="0.35">
      <c r="A198" t="s">
        <v>107</v>
      </c>
      <c r="B198" t="s">
        <v>78</v>
      </c>
      <c r="C198">
        <v>46136</v>
      </c>
      <c r="D198">
        <v>841662</v>
      </c>
      <c r="E198">
        <v>795526</v>
      </c>
      <c r="F198">
        <v>5.4815353431662592E-2</v>
      </c>
      <c r="G198">
        <v>717</v>
      </c>
      <c r="H198" t="s">
        <v>79</v>
      </c>
      <c r="M198">
        <v>37.5</v>
      </c>
      <c r="N198">
        <v>16831</v>
      </c>
      <c r="O198">
        <v>8661.6</v>
      </c>
      <c r="P198">
        <v>1.943174471229334</v>
      </c>
      <c r="Q198">
        <v>6.2965769862321608E-2</v>
      </c>
      <c r="R198">
        <v>1</v>
      </c>
    </row>
    <row r="199" spans="1:18" x14ac:dyDescent="0.35">
      <c r="A199" t="s">
        <v>108</v>
      </c>
      <c r="B199" t="s">
        <v>71</v>
      </c>
      <c r="C199">
        <v>5928</v>
      </c>
      <c r="D199">
        <v>1523949</v>
      </c>
      <c r="E199">
        <v>1518021</v>
      </c>
      <c r="F199">
        <v>3.8898939531441011E-3</v>
      </c>
      <c r="I199">
        <v>81281</v>
      </c>
      <c r="J199">
        <v>81222</v>
      </c>
      <c r="K199">
        <v>7.2587689619960387E-4</v>
      </c>
      <c r="M199">
        <v>24.9</v>
      </c>
      <c r="N199">
        <v>14135</v>
      </c>
      <c r="O199">
        <v>9119.5</v>
      </c>
      <c r="P199">
        <v>1.549975327594715</v>
      </c>
    </row>
    <row r="200" spans="1:18" x14ac:dyDescent="0.35">
      <c r="A200" t="s">
        <v>108</v>
      </c>
      <c r="B200" t="s">
        <v>72</v>
      </c>
      <c r="C200">
        <v>8205</v>
      </c>
      <c r="D200">
        <v>998467</v>
      </c>
      <c r="E200">
        <v>990262</v>
      </c>
      <c r="F200">
        <v>8.2175975770856727E-3</v>
      </c>
      <c r="I200">
        <v>85311</v>
      </c>
      <c r="J200">
        <v>85205</v>
      </c>
      <c r="K200">
        <v>1.2425126888677899E-3</v>
      </c>
      <c r="L200">
        <v>115122</v>
      </c>
      <c r="M200">
        <v>24.9</v>
      </c>
      <c r="N200">
        <v>14328</v>
      </c>
      <c r="O200">
        <v>9731.7999999999993</v>
      </c>
      <c r="P200">
        <v>1.4722867301013169</v>
      </c>
      <c r="Q200">
        <v>1.3654050229925611E-2</v>
      </c>
      <c r="R200">
        <v>1</v>
      </c>
    </row>
    <row r="201" spans="1:18" x14ac:dyDescent="0.35">
      <c r="A201" t="s">
        <v>108</v>
      </c>
      <c r="B201" t="s">
        <v>73</v>
      </c>
      <c r="C201">
        <v>31409</v>
      </c>
      <c r="D201">
        <v>1044835</v>
      </c>
      <c r="E201">
        <v>1013426</v>
      </c>
      <c r="F201">
        <v>3.0061205836328219E-2</v>
      </c>
      <c r="I201">
        <v>89814</v>
      </c>
      <c r="J201">
        <v>89310</v>
      </c>
      <c r="K201">
        <v>5.6115973010889171E-3</v>
      </c>
      <c r="L201">
        <v>135962</v>
      </c>
      <c r="M201">
        <v>24.9</v>
      </c>
      <c r="N201">
        <v>17201</v>
      </c>
      <c r="O201">
        <v>10259</v>
      </c>
      <c r="P201">
        <v>1.676674139779706</v>
      </c>
      <c r="Q201">
        <v>0.2005164712451144</v>
      </c>
      <c r="R201">
        <v>1</v>
      </c>
    </row>
    <row r="202" spans="1:18" x14ac:dyDescent="0.35">
      <c r="A202" t="s">
        <v>108</v>
      </c>
      <c r="B202" t="s">
        <v>74</v>
      </c>
      <c r="C202">
        <v>88364</v>
      </c>
      <c r="D202">
        <v>1359359</v>
      </c>
      <c r="E202">
        <v>1270995</v>
      </c>
      <c r="F202">
        <v>6.5004167405372681E-2</v>
      </c>
      <c r="I202">
        <v>101801</v>
      </c>
      <c r="J202">
        <v>100057</v>
      </c>
      <c r="K202">
        <v>1.713146236284516E-2</v>
      </c>
      <c r="L202">
        <v>156149</v>
      </c>
      <c r="M202">
        <v>24.9</v>
      </c>
      <c r="N202">
        <v>17444</v>
      </c>
      <c r="O202">
        <v>11509.3</v>
      </c>
      <c r="P202">
        <v>1.5156438706089861</v>
      </c>
      <c r="Q202">
        <v>1.412708563455611E-2</v>
      </c>
      <c r="R202">
        <v>0</v>
      </c>
    </row>
    <row r="203" spans="1:18" x14ac:dyDescent="0.35">
      <c r="A203" t="s">
        <v>108</v>
      </c>
      <c r="B203" t="s">
        <v>75</v>
      </c>
      <c r="C203">
        <v>99703</v>
      </c>
      <c r="D203">
        <v>1573721</v>
      </c>
      <c r="E203">
        <v>1474018</v>
      </c>
      <c r="F203">
        <v>6.3354940297549567E-2</v>
      </c>
      <c r="G203">
        <v>500</v>
      </c>
      <c r="H203" t="s">
        <v>76</v>
      </c>
      <c r="I203">
        <v>107422</v>
      </c>
      <c r="J203">
        <v>106806</v>
      </c>
      <c r="K203">
        <v>5.7343933272514013E-3</v>
      </c>
      <c r="M203">
        <v>24.9</v>
      </c>
      <c r="N203">
        <v>18163</v>
      </c>
      <c r="O203">
        <v>12240.9</v>
      </c>
      <c r="P203">
        <v>1.4837961261018391</v>
      </c>
      <c r="Q203">
        <v>4.1217610639761482E-2</v>
      </c>
      <c r="R203">
        <v>0</v>
      </c>
    </row>
    <row r="204" spans="1:18" x14ac:dyDescent="0.35">
      <c r="A204" t="s">
        <v>108</v>
      </c>
      <c r="B204" t="s">
        <v>77</v>
      </c>
      <c r="C204">
        <v>106823</v>
      </c>
      <c r="D204">
        <v>1624798</v>
      </c>
      <c r="E204">
        <v>1517975</v>
      </c>
      <c r="F204">
        <v>6.5745403428610821E-2</v>
      </c>
      <c r="I204">
        <v>84779</v>
      </c>
      <c r="J204">
        <v>84476</v>
      </c>
      <c r="K204">
        <v>3.5739982778754168E-3</v>
      </c>
      <c r="M204">
        <v>24.9</v>
      </c>
      <c r="N204">
        <v>19141</v>
      </c>
      <c r="O204">
        <v>13176.5</v>
      </c>
      <c r="P204">
        <v>1.452661936022464</v>
      </c>
      <c r="Q204">
        <v>5.3845730330892572E-2</v>
      </c>
      <c r="R204">
        <v>0</v>
      </c>
    </row>
    <row r="205" spans="1:18" x14ac:dyDescent="0.35">
      <c r="A205" t="s">
        <v>108</v>
      </c>
      <c r="B205" t="s">
        <v>78</v>
      </c>
      <c r="C205">
        <v>123153</v>
      </c>
      <c r="D205">
        <v>1782265</v>
      </c>
      <c r="E205">
        <v>1659112</v>
      </c>
      <c r="F205">
        <v>6.9099151921852245E-2</v>
      </c>
      <c r="G205">
        <v>1531</v>
      </c>
      <c r="H205" t="s">
        <v>79</v>
      </c>
      <c r="M205">
        <v>24.9</v>
      </c>
      <c r="N205">
        <v>18973</v>
      </c>
      <c r="O205">
        <v>12768.2</v>
      </c>
      <c r="P205">
        <v>1.4859573001676041</v>
      </c>
      <c r="Q205">
        <v>-8.77697090016194E-3</v>
      </c>
      <c r="R205">
        <v>0</v>
      </c>
    </row>
    <row r="206" spans="1:18" x14ac:dyDescent="0.35">
      <c r="A206" t="s">
        <v>109</v>
      </c>
      <c r="B206" t="s">
        <v>71</v>
      </c>
      <c r="C206">
        <v>0</v>
      </c>
      <c r="D206">
        <v>11024</v>
      </c>
      <c r="E206">
        <v>11024</v>
      </c>
      <c r="F206">
        <v>0</v>
      </c>
      <c r="I206">
        <v>554</v>
      </c>
      <c r="J206">
        <v>554</v>
      </c>
      <c r="K206">
        <v>0</v>
      </c>
      <c r="M206">
        <v>25.2</v>
      </c>
      <c r="N206">
        <v>182</v>
      </c>
      <c r="O206">
        <v>63.4</v>
      </c>
      <c r="P206">
        <v>2.8706624605678228</v>
      </c>
    </row>
    <row r="207" spans="1:18" x14ac:dyDescent="0.35">
      <c r="A207" t="s">
        <v>109</v>
      </c>
      <c r="B207" t="s">
        <v>72</v>
      </c>
      <c r="C207">
        <v>0</v>
      </c>
      <c r="D207">
        <v>7226</v>
      </c>
      <c r="E207">
        <v>7226</v>
      </c>
      <c r="F207">
        <v>0</v>
      </c>
      <c r="I207">
        <v>546</v>
      </c>
      <c r="J207">
        <v>546</v>
      </c>
      <c r="K207">
        <v>0</v>
      </c>
      <c r="L207">
        <v>412754</v>
      </c>
      <c r="M207">
        <v>25.2</v>
      </c>
      <c r="N207">
        <v>141</v>
      </c>
      <c r="O207">
        <v>61.3</v>
      </c>
      <c r="P207">
        <v>2.3001631321370311</v>
      </c>
      <c r="Q207">
        <v>-0.22527472527472531</v>
      </c>
      <c r="R207">
        <v>0</v>
      </c>
    </row>
    <row r="208" spans="1:18" x14ac:dyDescent="0.35">
      <c r="A208" t="s">
        <v>109</v>
      </c>
      <c r="B208" t="s">
        <v>73</v>
      </c>
      <c r="C208">
        <v>0</v>
      </c>
      <c r="D208">
        <v>9679</v>
      </c>
      <c r="E208">
        <v>9679</v>
      </c>
      <c r="F208">
        <v>0</v>
      </c>
      <c r="I208">
        <v>610</v>
      </c>
      <c r="J208">
        <v>609</v>
      </c>
      <c r="K208">
        <v>1.639344262295082E-3</v>
      </c>
      <c r="L208">
        <v>472543</v>
      </c>
      <c r="M208">
        <v>25.2</v>
      </c>
      <c r="N208">
        <v>118</v>
      </c>
      <c r="O208">
        <v>62.1</v>
      </c>
      <c r="P208">
        <v>1.900161030595813</v>
      </c>
      <c r="Q208">
        <v>-0.16312056737588651</v>
      </c>
      <c r="R208">
        <v>0</v>
      </c>
    </row>
    <row r="209" spans="1:18" x14ac:dyDescent="0.35">
      <c r="A209" t="s">
        <v>109</v>
      </c>
      <c r="B209" t="s">
        <v>74</v>
      </c>
      <c r="C209">
        <v>0</v>
      </c>
      <c r="D209">
        <v>10737</v>
      </c>
      <c r="E209">
        <v>10737</v>
      </c>
      <c r="F209">
        <v>0</v>
      </c>
      <c r="I209">
        <v>587</v>
      </c>
      <c r="J209">
        <v>587</v>
      </c>
      <c r="K209">
        <v>0</v>
      </c>
      <c r="M209">
        <v>25.2</v>
      </c>
      <c r="N209">
        <v>125</v>
      </c>
      <c r="O209">
        <v>67.8</v>
      </c>
      <c r="P209">
        <v>1.8436578171091449</v>
      </c>
      <c r="Q209">
        <v>5.9322033898305149E-2</v>
      </c>
      <c r="R209">
        <v>1</v>
      </c>
    </row>
    <row r="210" spans="1:18" x14ac:dyDescent="0.35">
      <c r="A210" t="s">
        <v>109</v>
      </c>
      <c r="B210" t="s">
        <v>75</v>
      </c>
      <c r="C210">
        <v>0</v>
      </c>
      <c r="D210">
        <v>11030</v>
      </c>
      <c r="E210">
        <v>11030</v>
      </c>
      <c r="F210">
        <v>0</v>
      </c>
      <c r="G210">
        <v>2</v>
      </c>
      <c r="H210" t="s">
        <v>76</v>
      </c>
      <c r="I210">
        <v>544</v>
      </c>
      <c r="J210">
        <v>543</v>
      </c>
      <c r="K210">
        <v>1.838235294117647E-3</v>
      </c>
      <c r="M210">
        <v>25.2</v>
      </c>
      <c r="N210">
        <v>127</v>
      </c>
      <c r="O210">
        <v>61.8</v>
      </c>
      <c r="P210">
        <v>2.055016181229774</v>
      </c>
      <c r="Q210">
        <v>1.6000000000000011E-2</v>
      </c>
      <c r="R210">
        <v>0</v>
      </c>
    </row>
    <row r="211" spans="1:18" x14ac:dyDescent="0.35">
      <c r="A211" t="s">
        <v>109</v>
      </c>
      <c r="B211" t="s">
        <v>77</v>
      </c>
      <c r="C211">
        <v>9</v>
      </c>
      <c r="D211">
        <v>11428</v>
      </c>
      <c r="E211">
        <v>11419</v>
      </c>
      <c r="F211">
        <v>7.8753937696884847E-4</v>
      </c>
      <c r="I211">
        <v>401</v>
      </c>
      <c r="J211">
        <v>401</v>
      </c>
      <c r="K211">
        <v>0</v>
      </c>
      <c r="M211">
        <v>25.2</v>
      </c>
      <c r="N211">
        <v>136</v>
      </c>
      <c r="O211">
        <v>64.2</v>
      </c>
      <c r="P211">
        <v>2.1183800623052962</v>
      </c>
      <c r="Q211">
        <v>7.0866141732283561E-2</v>
      </c>
      <c r="R211">
        <v>0</v>
      </c>
    </row>
    <row r="212" spans="1:18" x14ac:dyDescent="0.35">
      <c r="A212" t="s">
        <v>109</v>
      </c>
      <c r="B212" t="s">
        <v>78</v>
      </c>
      <c r="C212">
        <v>16</v>
      </c>
      <c r="D212">
        <v>11485</v>
      </c>
      <c r="E212">
        <v>11469</v>
      </c>
      <c r="F212">
        <v>1.3931214627775359E-3</v>
      </c>
      <c r="G212">
        <v>12</v>
      </c>
      <c r="H212" t="s">
        <v>79</v>
      </c>
      <c r="M212">
        <v>25.2</v>
      </c>
      <c r="N212">
        <v>125</v>
      </c>
      <c r="O212">
        <v>61.9</v>
      </c>
      <c r="P212">
        <v>2.0193861066235859</v>
      </c>
      <c r="Q212">
        <v>-8.0882352941176516E-2</v>
      </c>
      <c r="R212">
        <v>0</v>
      </c>
    </row>
    <row r="213" spans="1:18" x14ac:dyDescent="0.35">
      <c r="A213" t="s">
        <v>110</v>
      </c>
      <c r="B213" t="s">
        <v>71</v>
      </c>
      <c r="C213">
        <v>4204</v>
      </c>
      <c r="D213">
        <v>1927399</v>
      </c>
      <c r="E213">
        <v>1923195</v>
      </c>
      <c r="F213">
        <v>2.1811778464137419E-3</v>
      </c>
      <c r="I213">
        <v>108816</v>
      </c>
      <c r="J213">
        <v>108812</v>
      </c>
      <c r="K213">
        <v>3.6759300102926042E-5</v>
      </c>
      <c r="M213">
        <v>48.4</v>
      </c>
      <c r="N213">
        <v>16203</v>
      </c>
      <c r="O213">
        <v>12455.5</v>
      </c>
      <c r="P213">
        <v>1.3008711011199869</v>
      </c>
    </row>
    <row r="214" spans="1:18" x14ac:dyDescent="0.35">
      <c r="A214" t="s">
        <v>110</v>
      </c>
      <c r="B214" t="s">
        <v>72</v>
      </c>
      <c r="C214">
        <v>11941</v>
      </c>
      <c r="D214">
        <v>1478141</v>
      </c>
      <c r="E214">
        <v>1466200</v>
      </c>
      <c r="F214">
        <v>8.0783903565356755E-3</v>
      </c>
      <c r="I214">
        <v>101194</v>
      </c>
      <c r="J214">
        <v>101189</v>
      </c>
      <c r="K214">
        <v>4.9410044073759307E-5</v>
      </c>
      <c r="L214">
        <v>212174</v>
      </c>
      <c r="M214">
        <v>48.4</v>
      </c>
      <c r="N214">
        <v>16374</v>
      </c>
      <c r="O214">
        <v>11808.5</v>
      </c>
      <c r="P214">
        <v>1.3866282762416899</v>
      </c>
      <c r="Q214">
        <v>1.0553601184965841E-2</v>
      </c>
      <c r="R214">
        <v>1</v>
      </c>
    </row>
    <row r="215" spans="1:18" x14ac:dyDescent="0.35">
      <c r="A215" t="s">
        <v>110</v>
      </c>
      <c r="B215" t="s">
        <v>73</v>
      </c>
      <c r="C215">
        <v>39672</v>
      </c>
      <c r="D215">
        <v>1450080</v>
      </c>
      <c r="E215">
        <v>1410408</v>
      </c>
      <c r="F215">
        <v>2.735849056603774E-2</v>
      </c>
      <c r="I215">
        <v>109816</v>
      </c>
      <c r="J215">
        <v>109798</v>
      </c>
      <c r="K215">
        <v>1.6391054126903179E-4</v>
      </c>
      <c r="L215">
        <v>241131</v>
      </c>
      <c r="M215">
        <v>48.4</v>
      </c>
      <c r="N215">
        <v>17173</v>
      </c>
      <c r="O215">
        <v>12716.2</v>
      </c>
      <c r="P215">
        <v>1.350482062251301</v>
      </c>
      <c r="Q215">
        <v>4.8796873091486503E-2</v>
      </c>
      <c r="R215">
        <v>0</v>
      </c>
    </row>
    <row r="216" spans="1:18" x14ac:dyDescent="0.35">
      <c r="A216" t="s">
        <v>110</v>
      </c>
      <c r="B216" t="s">
        <v>74</v>
      </c>
      <c r="C216">
        <v>71903</v>
      </c>
      <c r="D216">
        <v>1732204</v>
      </c>
      <c r="E216">
        <v>1660301</v>
      </c>
      <c r="F216">
        <v>4.1509545065130903E-2</v>
      </c>
      <c r="I216">
        <v>114798</v>
      </c>
      <c r="J216">
        <v>114722</v>
      </c>
      <c r="K216">
        <v>6.6203243958953991E-4</v>
      </c>
      <c r="L216">
        <v>273288</v>
      </c>
      <c r="M216">
        <v>48.4</v>
      </c>
      <c r="N216">
        <v>17822</v>
      </c>
      <c r="O216">
        <v>13347.5</v>
      </c>
      <c r="P216">
        <v>1.3352313167259791</v>
      </c>
      <c r="Q216">
        <v>3.7791882606416971E-2</v>
      </c>
      <c r="R216">
        <v>0</v>
      </c>
    </row>
    <row r="217" spans="1:18" x14ac:dyDescent="0.35">
      <c r="A217" t="s">
        <v>110</v>
      </c>
      <c r="B217" t="s">
        <v>75</v>
      </c>
      <c r="C217">
        <v>101221</v>
      </c>
      <c r="D217">
        <v>1888962</v>
      </c>
      <c r="E217">
        <v>1787741</v>
      </c>
      <c r="F217">
        <v>5.3585514160687187E-2</v>
      </c>
      <c r="G217">
        <v>643</v>
      </c>
      <c r="H217" t="s">
        <v>76</v>
      </c>
      <c r="I217">
        <v>126163</v>
      </c>
      <c r="J217">
        <v>126151</v>
      </c>
      <c r="K217">
        <v>9.5115049578719588E-5</v>
      </c>
      <c r="M217">
        <v>48.4</v>
      </c>
      <c r="N217">
        <v>19576</v>
      </c>
      <c r="O217">
        <v>14600.3</v>
      </c>
      <c r="P217">
        <v>1.340794367239029</v>
      </c>
      <c r="Q217">
        <v>9.8417686006059935E-2</v>
      </c>
      <c r="R217">
        <v>1</v>
      </c>
    </row>
    <row r="218" spans="1:18" x14ac:dyDescent="0.35">
      <c r="A218" t="s">
        <v>110</v>
      </c>
      <c r="B218" t="s">
        <v>77</v>
      </c>
      <c r="C218">
        <v>137714</v>
      </c>
      <c r="D218">
        <v>1936828</v>
      </c>
      <c r="E218">
        <v>1799114</v>
      </c>
      <c r="F218">
        <v>7.1102854770790175E-2</v>
      </c>
      <c r="I218">
        <v>98577</v>
      </c>
      <c r="J218">
        <v>98572</v>
      </c>
      <c r="K218">
        <v>5.0721770798462117E-5</v>
      </c>
      <c r="M218">
        <v>48.4</v>
      </c>
      <c r="N218">
        <v>20393</v>
      </c>
      <c r="O218">
        <v>14824.3</v>
      </c>
      <c r="P218">
        <v>1.3756467421733241</v>
      </c>
      <c r="Q218">
        <v>4.1734777278299877E-2</v>
      </c>
      <c r="R218">
        <v>0</v>
      </c>
    </row>
    <row r="219" spans="1:18" x14ac:dyDescent="0.35">
      <c r="A219" t="s">
        <v>110</v>
      </c>
      <c r="B219" t="s">
        <v>78</v>
      </c>
      <c r="C219">
        <v>190823</v>
      </c>
      <c r="D219">
        <v>2314616</v>
      </c>
      <c r="E219">
        <v>2123793</v>
      </c>
      <c r="F219">
        <v>8.2442616831474427E-2</v>
      </c>
      <c r="G219">
        <v>1781</v>
      </c>
      <c r="H219" t="s">
        <v>79</v>
      </c>
      <c r="M219">
        <v>48.4</v>
      </c>
      <c r="N219">
        <v>19987</v>
      </c>
      <c r="O219">
        <v>15006.6</v>
      </c>
      <c r="P219">
        <v>1.331880639185425</v>
      </c>
      <c r="Q219">
        <v>-1.9908792232628869E-2</v>
      </c>
      <c r="R219">
        <v>0</v>
      </c>
    </row>
    <row r="220" spans="1:18" x14ac:dyDescent="0.35">
      <c r="A220" t="s">
        <v>111</v>
      </c>
      <c r="B220" t="s">
        <v>71</v>
      </c>
      <c r="C220">
        <v>1041</v>
      </c>
      <c r="D220">
        <v>1262491</v>
      </c>
      <c r="E220">
        <v>1261450</v>
      </c>
      <c r="F220">
        <v>8.2456033349940713E-4</v>
      </c>
      <c r="I220">
        <v>68306</v>
      </c>
      <c r="J220">
        <v>68303</v>
      </c>
      <c r="K220">
        <v>4.3920007027201127E-5</v>
      </c>
      <c r="N220">
        <v>13053</v>
      </c>
      <c r="O220">
        <v>7905.8</v>
      </c>
      <c r="P220">
        <v>1.6510663057502091</v>
      </c>
    </row>
    <row r="221" spans="1:18" x14ac:dyDescent="0.35">
      <c r="A221" t="s">
        <v>111</v>
      </c>
      <c r="B221" t="s">
        <v>72</v>
      </c>
      <c r="C221">
        <v>2617</v>
      </c>
      <c r="D221">
        <v>788590</v>
      </c>
      <c r="E221">
        <v>785973</v>
      </c>
      <c r="F221">
        <v>3.3185812652962881E-3</v>
      </c>
      <c r="I221">
        <v>66998</v>
      </c>
      <c r="J221">
        <v>66994</v>
      </c>
      <c r="K221">
        <v>5.9703274724618638E-5</v>
      </c>
      <c r="L221">
        <v>225687</v>
      </c>
      <c r="N221">
        <v>13910</v>
      </c>
      <c r="O221">
        <v>7651.3</v>
      </c>
      <c r="P221">
        <v>1.817991713826409</v>
      </c>
      <c r="Q221">
        <v>6.5655404887765334E-2</v>
      </c>
      <c r="R221">
        <v>1</v>
      </c>
    </row>
    <row r="222" spans="1:18" x14ac:dyDescent="0.35">
      <c r="A222" t="s">
        <v>111</v>
      </c>
      <c r="B222" t="s">
        <v>73</v>
      </c>
      <c r="C222">
        <v>14856</v>
      </c>
      <c r="D222">
        <v>820586</v>
      </c>
      <c r="E222">
        <v>805730</v>
      </c>
      <c r="F222">
        <v>1.8104135337429592E-2</v>
      </c>
      <c r="I222">
        <v>70539</v>
      </c>
      <c r="J222">
        <v>70523</v>
      </c>
      <c r="K222">
        <v>2.2682487701838701E-4</v>
      </c>
      <c r="L222">
        <v>265942</v>
      </c>
      <c r="N222">
        <v>13928</v>
      </c>
      <c r="O222">
        <v>8205.7999999999993</v>
      </c>
      <c r="P222">
        <v>1.6973360306124941</v>
      </c>
      <c r="Q222">
        <v>1.294033069733969E-3</v>
      </c>
      <c r="R222">
        <v>0</v>
      </c>
    </row>
    <row r="223" spans="1:18" x14ac:dyDescent="0.35">
      <c r="A223" t="s">
        <v>111</v>
      </c>
      <c r="B223" t="s">
        <v>74</v>
      </c>
      <c r="C223">
        <v>39208</v>
      </c>
      <c r="D223">
        <v>925237</v>
      </c>
      <c r="E223">
        <v>886029</v>
      </c>
      <c r="F223">
        <v>4.2376169565203292E-2</v>
      </c>
      <c r="I223">
        <v>77832</v>
      </c>
      <c r="J223">
        <v>77799</v>
      </c>
      <c r="K223">
        <v>4.2399013259327779E-4</v>
      </c>
      <c r="L223">
        <v>308732</v>
      </c>
      <c r="N223">
        <v>15211</v>
      </c>
      <c r="O223">
        <v>8707.1</v>
      </c>
      <c r="P223">
        <v>1.746965120418968</v>
      </c>
      <c r="Q223">
        <v>9.2116599655370557E-2</v>
      </c>
      <c r="R223">
        <v>1</v>
      </c>
    </row>
    <row r="224" spans="1:18" x14ac:dyDescent="0.35">
      <c r="A224" t="s">
        <v>111</v>
      </c>
      <c r="B224" t="s">
        <v>75</v>
      </c>
      <c r="C224">
        <v>61593</v>
      </c>
      <c r="D224">
        <v>982587</v>
      </c>
      <c r="E224">
        <v>920994</v>
      </c>
      <c r="F224">
        <v>6.2684525645057387E-2</v>
      </c>
      <c r="G224">
        <v>481</v>
      </c>
      <c r="H224" t="s">
        <v>76</v>
      </c>
      <c r="I224">
        <v>84623</v>
      </c>
      <c r="J224">
        <v>84613</v>
      </c>
      <c r="K224">
        <v>1.181711827753684E-4</v>
      </c>
      <c r="N224">
        <v>15268</v>
      </c>
      <c r="O224">
        <v>9801.1</v>
      </c>
      <c r="P224">
        <v>1.557784330330269</v>
      </c>
      <c r="Q224">
        <v>3.747288146735972E-3</v>
      </c>
      <c r="R224">
        <v>0</v>
      </c>
    </row>
    <row r="225" spans="1:18" x14ac:dyDescent="0.35">
      <c r="A225" t="s">
        <v>111</v>
      </c>
      <c r="B225" t="s">
        <v>77</v>
      </c>
      <c r="C225">
        <v>72390</v>
      </c>
      <c r="D225">
        <v>1000829</v>
      </c>
      <c r="E225">
        <v>928439</v>
      </c>
      <c r="F225">
        <v>7.2330038398167915E-2</v>
      </c>
      <c r="I225">
        <v>61859</v>
      </c>
      <c r="J225">
        <v>61855</v>
      </c>
      <c r="K225">
        <v>6.4663185631840155E-5</v>
      </c>
      <c r="N225">
        <v>16756</v>
      </c>
      <c r="O225">
        <v>10404</v>
      </c>
      <c r="P225">
        <v>1.610534409842368</v>
      </c>
      <c r="Q225">
        <v>9.7458737228189651E-2</v>
      </c>
      <c r="R225">
        <v>1</v>
      </c>
    </row>
    <row r="226" spans="1:18" x14ac:dyDescent="0.35">
      <c r="A226" t="s">
        <v>111</v>
      </c>
      <c r="B226" t="s">
        <v>78</v>
      </c>
      <c r="C226">
        <v>88881</v>
      </c>
      <c r="D226">
        <v>1062189</v>
      </c>
      <c r="E226">
        <v>973308</v>
      </c>
      <c r="F226">
        <v>8.3677198690628507E-2</v>
      </c>
      <c r="G226">
        <v>1066</v>
      </c>
      <c r="H226" t="s">
        <v>79</v>
      </c>
      <c r="N226">
        <v>16722</v>
      </c>
      <c r="O226">
        <v>9884.7999999999993</v>
      </c>
      <c r="P226">
        <v>1.69168824862415</v>
      </c>
      <c r="Q226">
        <v>-2.029123895917917E-3</v>
      </c>
      <c r="R226">
        <v>0</v>
      </c>
    </row>
    <row r="227" spans="1:18" x14ac:dyDescent="0.35">
      <c r="A227" t="s">
        <v>112</v>
      </c>
      <c r="B227" t="s">
        <v>71</v>
      </c>
      <c r="C227">
        <v>3176</v>
      </c>
      <c r="D227">
        <v>59004</v>
      </c>
      <c r="E227">
        <v>55828</v>
      </c>
      <c r="F227">
        <v>5.3826859195986711E-2</v>
      </c>
      <c r="I227">
        <v>1538</v>
      </c>
      <c r="J227">
        <v>1515</v>
      </c>
      <c r="K227">
        <v>1.495448634590377E-2</v>
      </c>
      <c r="M227">
        <v>26.2</v>
      </c>
      <c r="N227">
        <v>331</v>
      </c>
      <c r="O227">
        <v>173.1</v>
      </c>
      <c r="P227">
        <v>1.912189485846332</v>
      </c>
    </row>
    <row r="228" spans="1:18" x14ac:dyDescent="0.35">
      <c r="A228" t="s">
        <v>112</v>
      </c>
      <c r="B228" t="s">
        <v>72</v>
      </c>
      <c r="C228">
        <v>2411</v>
      </c>
      <c r="D228">
        <v>46553</v>
      </c>
      <c r="E228">
        <v>44142</v>
      </c>
      <c r="F228">
        <v>5.1790432410370978E-2</v>
      </c>
      <c r="I228">
        <v>1484</v>
      </c>
      <c r="J228">
        <v>1481</v>
      </c>
      <c r="K228">
        <v>2.021563342318059E-3</v>
      </c>
      <c r="L228">
        <v>119789</v>
      </c>
      <c r="M228">
        <v>26.2</v>
      </c>
      <c r="N228">
        <v>309</v>
      </c>
      <c r="O228">
        <v>173.9</v>
      </c>
      <c r="P228">
        <v>1.7768832662449681</v>
      </c>
      <c r="Q228">
        <v>-6.6465256797583083E-2</v>
      </c>
      <c r="R228">
        <v>0</v>
      </c>
    </row>
    <row r="229" spans="1:18" x14ac:dyDescent="0.35">
      <c r="A229" t="s">
        <v>112</v>
      </c>
      <c r="B229" t="s">
        <v>73</v>
      </c>
      <c r="C229">
        <v>2569</v>
      </c>
      <c r="D229">
        <v>45961</v>
      </c>
      <c r="E229">
        <v>43392</v>
      </c>
      <c r="F229">
        <v>5.5895215508800937E-2</v>
      </c>
      <c r="I229">
        <v>1578</v>
      </c>
      <c r="J229">
        <v>1578</v>
      </c>
      <c r="K229">
        <v>0</v>
      </c>
      <c r="L229">
        <v>140803</v>
      </c>
      <c r="M229">
        <v>26.2</v>
      </c>
      <c r="N229">
        <v>330</v>
      </c>
      <c r="O229">
        <v>181.9</v>
      </c>
      <c r="P229">
        <v>1.8141836173721819</v>
      </c>
      <c r="Q229">
        <v>6.7961165048543659E-2</v>
      </c>
      <c r="R229">
        <v>1</v>
      </c>
    </row>
    <row r="230" spans="1:18" x14ac:dyDescent="0.35">
      <c r="A230" t="s">
        <v>112</v>
      </c>
      <c r="B230" t="s">
        <v>74</v>
      </c>
      <c r="C230">
        <v>4389</v>
      </c>
      <c r="D230">
        <v>52186</v>
      </c>
      <c r="E230">
        <v>47797</v>
      </c>
      <c r="F230">
        <v>8.410301613459549E-2</v>
      </c>
      <c r="I230">
        <v>1547</v>
      </c>
      <c r="J230">
        <v>1547</v>
      </c>
      <c r="K230">
        <v>0</v>
      </c>
      <c r="M230">
        <v>26.2</v>
      </c>
      <c r="N230">
        <v>337</v>
      </c>
      <c r="O230">
        <v>188.3</v>
      </c>
      <c r="P230">
        <v>1.789697291556027</v>
      </c>
      <c r="Q230">
        <v>2.1212121212121241E-2</v>
      </c>
      <c r="R230">
        <v>0</v>
      </c>
    </row>
    <row r="231" spans="1:18" x14ac:dyDescent="0.35">
      <c r="A231" t="s">
        <v>112</v>
      </c>
      <c r="B231" t="s">
        <v>75</v>
      </c>
      <c r="C231">
        <v>7568</v>
      </c>
      <c r="D231">
        <v>60554</v>
      </c>
      <c r="E231">
        <v>52986</v>
      </c>
      <c r="F231">
        <v>0.1249793572678931</v>
      </c>
      <c r="G231">
        <v>18</v>
      </c>
      <c r="H231" t="s">
        <v>76</v>
      </c>
      <c r="I231">
        <v>1691</v>
      </c>
      <c r="J231">
        <v>1691</v>
      </c>
      <c r="K231">
        <v>0</v>
      </c>
      <c r="M231">
        <v>26.2</v>
      </c>
      <c r="N231">
        <v>412</v>
      </c>
      <c r="O231">
        <v>185.2</v>
      </c>
      <c r="P231">
        <v>2.224622030237581</v>
      </c>
      <c r="Q231">
        <v>0.22255192878338281</v>
      </c>
      <c r="R231">
        <v>1</v>
      </c>
    </row>
    <row r="232" spans="1:18" x14ac:dyDescent="0.35">
      <c r="A232" t="s">
        <v>112</v>
      </c>
      <c r="B232" t="s">
        <v>77</v>
      </c>
      <c r="C232">
        <v>9837</v>
      </c>
      <c r="D232">
        <v>61978</v>
      </c>
      <c r="E232">
        <v>52141</v>
      </c>
      <c r="F232">
        <v>0.15871760947432961</v>
      </c>
      <c r="I232">
        <v>1527</v>
      </c>
      <c r="J232">
        <v>1527</v>
      </c>
      <c r="K232">
        <v>0</v>
      </c>
      <c r="M232">
        <v>26.2</v>
      </c>
      <c r="N232">
        <v>378</v>
      </c>
      <c r="O232">
        <v>207.2</v>
      </c>
      <c r="P232">
        <v>1.8243243243243239</v>
      </c>
      <c r="Q232">
        <v>-8.2524271844660158E-2</v>
      </c>
      <c r="R232">
        <v>0</v>
      </c>
    </row>
    <row r="233" spans="1:18" x14ac:dyDescent="0.35">
      <c r="A233" t="s">
        <v>112</v>
      </c>
      <c r="B233" t="s">
        <v>78</v>
      </c>
      <c r="C233">
        <v>9909</v>
      </c>
      <c r="D233">
        <v>55684</v>
      </c>
      <c r="E233">
        <v>45775</v>
      </c>
      <c r="F233">
        <v>0.1779505782630558</v>
      </c>
      <c r="G233">
        <v>56</v>
      </c>
      <c r="H233" t="s">
        <v>79</v>
      </c>
      <c r="M233">
        <v>26.2</v>
      </c>
      <c r="N233">
        <v>371</v>
      </c>
      <c r="O233">
        <v>216.1</v>
      </c>
      <c r="P233">
        <v>1.716797778806108</v>
      </c>
      <c r="Q233">
        <v>-1.851851851851849E-2</v>
      </c>
      <c r="R233">
        <v>0</v>
      </c>
    </row>
    <row r="234" spans="1:18" x14ac:dyDescent="0.35">
      <c r="A234" t="s">
        <v>113</v>
      </c>
      <c r="B234" t="s">
        <v>71</v>
      </c>
      <c r="C234">
        <v>56333</v>
      </c>
      <c r="D234">
        <v>3540117</v>
      </c>
      <c r="E234">
        <v>3483784</v>
      </c>
      <c r="F234">
        <v>1.5912750906255359E-2</v>
      </c>
      <c r="I234">
        <v>122549</v>
      </c>
      <c r="J234">
        <v>121004</v>
      </c>
      <c r="K234">
        <v>1.2607202017152319E-2</v>
      </c>
      <c r="M234">
        <v>22.3</v>
      </c>
      <c r="N234">
        <v>21872</v>
      </c>
      <c r="O234">
        <v>13806.2</v>
      </c>
      <c r="P234">
        <v>1.584215787110139</v>
      </c>
    </row>
    <row r="235" spans="1:18" x14ac:dyDescent="0.35">
      <c r="A235" t="s">
        <v>113</v>
      </c>
      <c r="B235" t="s">
        <v>72</v>
      </c>
      <c r="C235">
        <v>31595</v>
      </c>
      <c r="D235">
        <v>2356263</v>
      </c>
      <c r="E235">
        <v>2324668</v>
      </c>
      <c r="F235">
        <v>1.340894458725533E-2</v>
      </c>
      <c r="I235">
        <v>124367</v>
      </c>
      <c r="J235">
        <v>123383</v>
      </c>
      <c r="K235">
        <v>7.9120667057981618E-3</v>
      </c>
      <c r="L235">
        <v>61374</v>
      </c>
      <c r="M235">
        <v>22.3</v>
      </c>
      <c r="N235">
        <v>23942</v>
      </c>
      <c r="O235">
        <v>14136.8</v>
      </c>
      <c r="P235">
        <v>1.693594024107294</v>
      </c>
      <c r="Q235">
        <v>9.4641550841258137E-2</v>
      </c>
      <c r="R235">
        <v>1</v>
      </c>
    </row>
    <row r="236" spans="1:18" x14ac:dyDescent="0.35">
      <c r="A236" t="s">
        <v>113</v>
      </c>
      <c r="B236" t="s">
        <v>73</v>
      </c>
      <c r="C236">
        <v>82038</v>
      </c>
      <c r="D236">
        <v>2782357</v>
      </c>
      <c r="E236">
        <v>2700319</v>
      </c>
      <c r="F236">
        <v>2.948507326701786E-2</v>
      </c>
      <c r="I236">
        <v>129448</v>
      </c>
      <c r="J236">
        <v>128310</v>
      </c>
      <c r="K236">
        <v>8.7911748346826517E-3</v>
      </c>
      <c r="L236">
        <v>70792</v>
      </c>
      <c r="M236">
        <v>22.3</v>
      </c>
      <c r="N236">
        <v>24919</v>
      </c>
      <c r="O236">
        <v>14752.8</v>
      </c>
      <c r="P236">
        <v>1.6891030855159701</v>
      </c>
      <c r="Q236">
        <v>4.0806950129479658E-2</v>
      </c>
      <c r="R236">
        <v>0</v>
      </c>
    </row>
    <row r="237" spans="1:18" x14ac:dyDescent="0.35">
      <c r="A237" t="s">
        <v>113</v>
      </c>
      <c r="B237" t="s">
        <v>74</v>
      </c>
      <c r="C237">
        <v>189009</v>
      </c>
      <c r="D237">
        <v>3119457</v>
      </c>
      <c r="E237">
        <v>2930448</v>
      </c>
      <c r="F237">
        <v>6.0590352744083337E-2</v>
      </c>
      <c r="I237">
        <v>144251</v>
      </c>
      <c r="J237">
        <v>143050</v>
      </c>
      <c r="K237">
        <v>8.3257655059583643E-3</v>
      </c>
      <c r="M237">
        <v>22.3</v>
      </c>
      <c r="N237">
        <v>26241</v>
      </c>
      <c r="O237">
        <v>16425.3</v>
      </c>
      <c r="P237">
        <v>1.5975963909334989</v>
      </c>
      <c r="Q237">
        <v>5.3051888117500612E-2</v>
      </c>
      <c r="R237">
        <v>0</v>
      </c>
    </row>
    <row r="238" spans="1:18" x14ac:dyDescent="0.35">
      <c r="A238" t="s">
        <v>113</v>
      </c>
      <c r="B238" t="s">
        <v>75</v>
      </c>
      <c r="C238">
        <v>306471</v>
      </c>
      <c r="D238">
        <v>3516782</v>
      </c>
      <c r="E238">
        <v>3210311</v>
      </c>
      <c r="F238">
        <v>8.7145293623545617E-2</v>
      </c>
      <c r="G238">
        <v>582</v>
      </c>
      <c r="H238" t="s">
        <v>76</v>
      </c>
      <c r="I238">
        <v>148791</v>
      </c>
      <c r="J238">
        <v>148287</v>
      </c>
      <c r="K238">
        <v>3.387301651309555E-3</v>
      </c>
      <c r="M238">
        <v>22.3</v>
      </c>
      <c r="N238">
        <v>28035</v>
      </c>
      <c r="O238">
        <v>16973.5</v>
      </c>
      <c r="P238">
        <v>1.651692343947919</v>
      </c>
      <c r="Q238">
        <v>6.8366297016119848E-2</v>
      </c>
      <c r="R238">
        <v>1</v>
      </c>
    </row>
    <row r="239" spans="1:18" x14ac:dyDescent="0.35">
      <c r="A239" t="s">
        <v>113</v>
      </c>
      <c r="B239" t="s">
        <v>77</v>
      </c>
      <c r="C239">
        <v>378103</v>
      </c>
      <c r="D239">
        <v>3793210</v>
      </c>
      <c r="E239">
        <v>3415107</v>
      </c>
      <c r="F239">
        <v>9.9678899929083811E-2</v>
      </c>
      <c r="I239">
        <v>132357</v>
      </c>
      <c r="J239">
        <v>132058</v>
      </c>
      <c r="K239">
        <v>2.2590418338282068E-3</v>
      </c>
      <c r="M239">
        <v>22.3</v>
      </c>
      <c r="N239">
        <v>30422</v>
      </c>
      <c r="O239">
        <v>18515.5</v>
      </c>
      <c r="P239">
        <v>1.6430558180983501</v>
      </c>
      <c r="Q239">
        <v>8.5143570536828861E-2</v>
      </c>
      <c r="R239">
        <v>1</v>
      </c>
    </row>
    <row r="240" spans="1:18" x14ac:dyDescent="0.35">
      <c r="A240" t="s">
        <v>113</v>
      </c>
      <c r="B240" t="s">
        <v>78</v>
      </c>
      <c r="C240">
        <v>414565</v>
      </c>
      <c r="D240">
        <v>4263193</v>
      </c>
      <c r="E240">
        <v>3848628</v>
      </c>
      <c r="F240">
        <v>9.7242841222529686E-2</v>
      </c>
      <c r="G240">
        <v>2326</v>
      </c>
      <c r="H240" t="s">
        <v>79</v>
      </c>
      <c r="M240">
        <v>22.3</v>
      </c>
      <c r="N240">
        <v>31288</v>
      </c>
      <c r="O240">
        <v>18824.5</v>
      </c>
      <c r="P240">
        <v>1.6620892985205451</v>
      </c>
      <c r="Q240">
        <v>2.846624153573063E-2</v>
      </c>
      <c r="R240">
        <v>1</v>
      </c>
    </row>
    <row r="241" spans="1:18" x14ac:dyDescent="0.35">
      <c r="A241" t="s">
        <v>114</v>
      </c>
      <c r="B241" t="s">
        <v>71</v>
      </c>
      <c r="C241">
        <v>5465</v>
      </c>
      <c r="D241">
        <v>246500</v>
      </c>
      <c r="E241">
        <v>241035</v>
      </c>
      <c r="F241">
        <v>2.217038539553752E-2</v>
      </c>
      <c r="I241">
        <v>14472</v>
      </c>
      <c r="J241">
        <v>14376</v>
      </c>
      <c r="K241">
        <v>6.6334991708126038E-3</v>
      </c>
      <c r="M241">
        <v>30.2</v>
      </c>
      <c r="N241">
        <v>2464</v>
      </c>
      <c r="O241">
        <v>1685.6</v>
      </c>
      <c r="P241">
        <v>1.4617940199335551</v>
      </c>
    </row>
    <row r="242" spans="1:18" x14ac:dyDescent="0.35">
      <c r="A242" t="s">
        <v>114</v>
      </c>
      <c r="B242" t="s">
        <v>72</v>
      </c>
      <c r="C242">
        <v>2423</v>
      </c>
      <c r="D242">
        <v>184869</v>
      </c>
      <c r="E242">
        <v>182446</v>
      </c>
      <c r="F242">
        <v>1.3106578171570141E-2</v>
      </c>
      <c r="I242">
        <v>13827</v>
      </c>
      <c r="J242">
        <v>13818</v>
      </c>
      <c r="K242">
        <v>6.509004122369278E-4</v>
      </c>
      <c r="L242">
        <v>184002</v>
      </c>
      <c r="M242">
        <v>30.2</v>
      </c>
      <c r="N242">
        <v>2335</v>
      </c>
      <c r="O242">
        <v>1517.7</v>
      </c>
      <c r="P242">
        <v>1.538512222441853</v>
      </c>
      <c r="Q242">
        <v>-5.2353896103896069E-2</v>
      </c>
      <c r="R242">
        <v>0</v>
      </c>
    </row>
    <row r="243" spans="1:18" x14ac:dyDescent="0.35">
      <c r="A243" t="s">
        <v>114</v>
      </c>
      <c r="B243" t="s">
        <v>73</v>
      </c>
      <c r="C243">
        <v>6626</v>
      </c>
      <c r="D243">
        <v>188456</v>
      </c>
      <c r="E243">
        <v>181830</v>
      </c>
      <c r="F243">
        <v>3.5159400602793232E-2</v>
      </c>
      <c r="I243">
        <v>15521</v>
      </c>
      <c r="J243">
        <v>15426</v>
      </c>
      <c r="K243">
        <v>6.1207396430642356E-3</v>
      </c>
      <c r="L243">
        <v>211657</v>
      </c>
      <c r="M243">
        <v>30.2</v>
      </c>
      <c r="N243">
        <v>2537</v>
      </c>
      <c r="O243">
        <v>1588.4</v>
      </c>
      <c r="P243">
        <v>1.597204734323848</v>
      </c>
      <c r="Q243">
        <v>8.6509635974304055E-2</v>
      </c>
      <c r="R243">
        <v>1</v>
      </c>
    </row>
    <row r="244" spans="1:18" x14ac:dyDescent="0.35">
      <c r="A244" t="s">
        <v>114</v>
      </c>
      <c r="B244" t="s">
        <v>74</v>
      </c>
      <c r="C244">
        <v>16768</v>
      </c>
      <c r="D244">
        <v>240045</v>
      </c>
      <c r="E244">
        <v>223277</v>
      </c>
      <c r="F244">
        <v>6.9853569122456202E-2</v>
      </c>
      <c r="I244">
        <v>15647</v>
      </c>
      <c r="J244">
        <v>15386</v>
      </c>
      <c r="K244">
        <v>1.6680513836518179E-2</v>
      </c>
      <c r="L244">
        <v>233565</v>
      </c>
      <c r="M244">
        <v>30.2</v>
      </c>
      <c r="N244">
        <v>2421</v>
      </c>
      <c r="O244">
        <v>1719.8</v>
      </c>
      <c r="P244">
        <v>1.4077218281195489</v>
      </c>
      <c r="Q244">
        <v>-4.5723295230587269E-2</v>
      </c>
      <c r="R244">
        <v>0</v>
      </c>
    </row>
    <row r="245" spans="1:18" x14ac:dyDescent="0.35">
      <c r="A245" t="s">
        <v>114</v>
      </c>
      <c r="B245" t="s">
        <v>75</v>
      </c>
      <c r="C245">
        <v>17242</v>
      </c>
      <c r="D245">
        <v>260043</v>
      </c>
      <c r="E245">
        <v>242801</v>
      </c>
      <c r="F245">
        <v>6.6304418884569088E-2</v>
      </c>
      <c r="G245">
        <v>76</v>
      </c>
      <c r="H245" t="s">
        <v>76</v>
      </c>
      <c r="I245">
        <v>15644</v>
      </c>
      <c r="J245">
        <v>15532</v>
      </c>
      <c r="K245">
        <v>7.1592942981334694E-3</v>
      </c>
      <c r="M245">
        <v>30.2</v>
      </c>
      <c r="N245">
        <v>2484</v>
      </c>
      <c r="O245">
        <v>1723.7</v>
      </c>
      <c r="P245">
        <v>1.441086035853107</v>
      </c>
      <c r="Q245">
        <v>2.6022304832713731E-2</v>
      </c>
      <c r="R245">
        <v>0</v>
      </c>
    </row>
    <row r="246" spans="1:18" x14ac:dyDescent="0.35">
      <c r="A246" t="s">
        <v>114</v>
      </c>
      <c r="B246" t="s">
        <v>77</v>
      </c>
      <c r="C246">
        <v>19643</v>
      </c>
      <c r="D246">
        <v>282648</v>
      </c>
      <c r="E246">
        <v>263005</v>
      </c>
      <c r="F246">
        <v>6.9496334663609854E-2</v>
      </c>
      <c r="I246">
        <v>13016</v>
      </c>
      <c r="J246">
        <v>12974</v>
      </c>
      <c r="K246">
        <v>3.22679778733866E-3</v>
      </c>
      <c r="M246">
        <v>30.2</v>
      </c>
      <c r="N246">
        <v>2686</v>
      </c>
      <c r="O246">
        <v>1841.8</v>
      </c>
      <c r="P246">
        <v>1.4583559561298729</v>
      </c>
      <c r="Q246">
        <v>8.1320450885668194E-2</v>
      </c>
      <c r="R246">
        <v>1</v>
      </c>
    </row>
    <row r="247" spans="1:18" x14ac:dyDescent="0.35">
      <c r="A247" t="s">
        <v>114</v>
      </c>
      <c r="B247" t="s">
        <v>78</v>
      </c>
      <c r="C247">
        <v>21337</v>
      </c>
      <c r="D247">
        <v>309066</v>
      </c>
      <c r="E247">
        <v>287729</v>
      </c>
      <c r="F247">
        <v>6.9037034160988262E-2</v>
      </c>
      <c r="G247">
        <v>223</v>
      </c>
      <c r="H247" t="s">
        <v>79</v>
      </c>
      <c r="M247">
        <v>30.2</v>
      </c>
      <c r="N247">
        <v>2776</v>
      </c>
      <c r="O247">
        <v>1919.4</v>
      </c>
      <c r="P247">
        <v>1.446285297488799</v>
      </c>
      <c r="Q247">
        <v>3.3507073715562267E-2</v>
      </c>
      <c r="R247">
        <v>1</v>
      </c>
    </row>
    <row r="248" spans="1:18" x14ac:dyDescent="0.35">
      <c r="A248" t="s">
        <v>115</v>
      </c>
      <c r="B248" t="s">
        <v>71</v>
      </c>
      <c r="C248">
        <v>15045</v>
      </c>
      <c r="D248">
        <v>1218029</v>
      </c>
      <c r="E248">
        <v>1202984</v>
      </c>
      <c r="F248">
        <v>1.2351922655371919E-2</v>
      </c>
      <c r="I248">
        <v>52948</v>
      </c>
      <c r="J248">
        <v>52824</v>
      </c>
      <c r="K248">
        <v>2.34192037470726E-3</v>
      </c>
      <c r="M248">
        <v>31.9</v>
      </c>
      <c r="N248">
        <v>9210</v>
      </c>
      <c r="O248">
        <v>6086.6</v>
      </c>
      <c r="P248">
        <v>1.513160056517596</v>
      </c>
    </row>
    <row r="249" spans="1:18" x14ac:dyDescent="0.35">
      <c r="A249" t="s">
        <v>115</v>
      </c>
      <c r="B249" t="s">
        <v>72</v>
      </c>
      <c r="C249">
        <v>8204</v>
      </c>
      <c r="D249">
        <v>956358</v>
      </c>
      <c r="E249">
        <v>948154</v>
      </c>
      <c r="F249">
        <v>8.5783775531756944E-3</v>
      </c>
      <c r="I249">
        <v>51644</v>
      </c>
      <c r="J249">
        <v>51543</v>
      </c>
      <c r="K249">
        <v>1.9556966927426231E-3</v>
      </c>
      <c r="L249">
        <v>106510</v>
      </c>
      <c r="M249">
        <v>31.9</v>
      </c>
      <c r="N249">
        <v>8864</v>
      </c>
      <c r="O249">
        <v>5917.1</v>
      </c>
      <c r="P249">
        <v>1.498031130114414</v>
      </c>
      <c r="Q249">
        <v>-3.75678610206297E-2</v>
      </c>
      <c r="R249">
        <v>0</v>
      </c>
    </row>
    <row r="250" spans="1:18" x14ac:dyDescent="0.35">
      <c r="A250" t="s">
        <v>115</v>
      </c>
      <c r="B250" t="s">
        <v>73</v>
      </c>
      <c r="C250">
        <v>6064</v>
      </c>
      <c r="D250">
        <v>918064</v>
      </c>
      <c r="E250">
        <v>912000</v>
      </c>
      <c r="F250">
        <v>6.6052039944927586E-3</v>
      </c>
      <c r="I250">
        <v>54001</v>
      </c>
      <c r="J250">
        <v>53945</v>
      </c>
      <c r="K250">
        <v>1.037017833003093E-3</v>
      </c>
      <c r="L250">
        <v>124798</v>
      </c>
      <c r="M250">
        <v>31.9</v>
      </c>
      <c r="N250">
        <v>9023</v>
      </c>
      <c r="O250">
        <v>6131.6</v>
      </c>
      <c r="P250">
        <v>1.4715571792028179</v>
      </c>
      <c r="Q250">
        <v>1.7937725631768989E-2</v>
      </c>
      <c r="R250">
        <v>0</v>
      </c>
    </row>
    <row r="251" spans="1:18" x14ac:dyDescent="0.35">
      <c r="A251" t="s">
        <v>115</v>
      </c>
      <c r="B251" t="s">
        <v>74</v>
      </c>
      <c r="C251">
        <v>13260</v>
      </c>
      <c r="D251">
        <v>974158</v>
      </c>
      <c r="E251">
        <v>960898</v>
      </c>
      <c r="F251">
        <v>1.361175497198606E-2</v>
      </c>
      <c r="I251">
        <v>60348</v>
      </c>
      <c r="J251">
        <v>60274</v>
      </c>
      <c r="K251">
        <v>1.2262212500828531E-3</v>
      </c>
      <c r="L251">
        <v>141373</v>
      </c>
      <c r="M251">
        <v>31.9</v>
      </c>
      <c r="N251">
        <v>9663</v>
      </c>
      <c r="O251">
        <v>6775.1</v>
      </c>
      <c r="P251">
        <v>1.4262520110404271</v>
      </c>
      <c r="Q251">
        <v>7.0929845949240899E-2</v>
      </c>
      <c r="R251">
        <v>1</v>
      </c>
    </row>
    <row r="252" spans="1:18" x14ac:dyDescent="0.35">
      <c r="A252" t="s">
        <v>115</v>
      </c>
      <c r="B252" t="s">
        <v>75</v>
      </c>
      <c r="C252">
        <v>26649</v>
      </c>
      <c r="D252">
        <v>1030294</v>
      </c>
      <c r="E252">
        <v>1003645</v>
      </c>
      <c r="F252">
        <v>2.5865432585262069E-2</v>
      </c>
      <c r="G252">
        <v>318</v>
      </c>
      <c r="H252" t="s">
        <v>76</v>
      </c>
      <c r="I252">
        <v>67576</v>
      </c>
      <c r="J252">
        <v>67490</v>
      </c>
      <c r="K252">
        <v>1.2726411743814369E-3</v>
      </c>
      <c r="M252">
        <v>31.9</v>
      </c>
      <c r="N252">
        <v>11603</v>
      </c>
      <c r="O252">
        <v>7261.7</v>
      </c>
      <c r="P252">
        <v>1.59783521764876</v>
      </c>
      <c r="Q252">
        <v>0.20076580772016969</v>
      </c>
      <c r="R252">
        <v>1</v>
      </c>
    </row>
    <row r="253" spans="1:18" x14ac:dyDescent="0.35">
      <c r="A253" t="s">
        <v>115</v>
      </c>
      <c r="B253" t="s">
        <v>77</v>
      </c>
      <c r="C253">
        <v>52330</v>
      </c>
      <c r="D253">
        <v>1201889</v>
      </c>
      <c r="E253">
        <v>1149559</v>
      </c>
      <c r="F253">
        <v>4.3539794440251967E-2</v>
      </c>
      <c r="I253">
        <v>55769</v>
      </c>
      <c r="J253">
        <v>55681</v>
      </c>
      <c r="K253">
        <v>1.5779375638795749E-3</v>
      </c>
      <c r="M253">
        <v>31.9</v>
      </c>
      <c r="N253">
        <v>12703</v>
      </c>
      <c r="O253">
        <v>7915.7</v>
      </c>
      <c r="P253">
        <v>1.6047854264310171</v>
      </c>
      <c r="Q253">
        <v>9.4803068172024441E-2</v>
      </c>
      <c r="R253">
        <v>1</v>
      </c>
    </row>
    <row r="254" spans="1:18" x14ac:dyDescent="0.35">
      <c r="A254" t="s">
        <v>115</v>
      </c>
      <c r="B254" t="s">
        <v>78</v>
      </c>
      <c r="C254">
        <v>133390</v>
      </c>
      <c r="D254">
        <v>1359889</v>
      </c>
      <c r="E254">
        <v>1226499</v>
      </c>
      <c r="F254">
        <v>9.8088888137193547E-2</v>
      </c>
      <c r="G254">
        <v>903</v>
      </c>
      <c r="H254" t="s">
        <v>79</v>
      </c>
      <c r="M254">
        <v>31.9</v>
      </c>
      <c r="N254">
        <v>13085</v>
      </c>
      <c r="O254">
        <v>8217.7999999999993</v>
      </c>
      <c r="P254">
        <v>1.5922753048261089</v>
      </c>
      <c r="Q254">
        <v>3.0071636621270551E-2</v>
      </c>
      <c r="R254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5"/>
  <sheetViews>
    <sheetView zoomScaleNormal="100" workbookViewId="0"/>
  </sheetViews>
  <sheetFormatPr defaultColWidth="8.6328125" defaultRowHeight="14.5" x14ac:dyDescent="0.35"/>
  <cols>
    <col min="1" max="1" width="10" customWidth="1"/>
    <col min="2" max="2" width="16" customWidth="1"/>
    <col min="3" max="3" width="18" customWidth="1"/>
    <col min="4" max="4" width="14" customWidth="1"/>
    <col min="5" max="5" width="10" customWidth="1"/>
    <col min="6" max="6" width="16" customWidth="1"/>
    <col min="7" max="7" width="10" customWidth="1"/>
    <col min="8" max="8" width="34" customWidth="1"/>
  </cols>
  <sheetData>
    <row r="1" spans="1:8" ht="15" customHeight="1" x14ac:dyDescent="0.35">
      <c r="A1" s="4" t="s">
        <v>53</v>
      </c>
      <c r="B1" s="4" t="s">
        <v>54</v>
      </c>
      <c r="C1" s="4" t="s">
        <v>116</v>
      </c>
      <c r="D1" s="4" t="s">
        <v>117</v>
      </c>
      <c r="E1" s="4" t="s">
        <v>118</v>
      </c>
      <c r="F1" s="4" t="s">
        <v>119</v>
      </c>
      <c r="G1" s="4" t="s">
        <v>57</v>
      </c>
      <c r="H1" s="4" t="s">
        <v>120</v>
      </c>
    </row>
    <row r="2" spans="1:8" ht="15" customHeight="1" x14ac:dyDescent="0.35">
      <c r="A2" t="s">
        <v>121</v>
      </c>
      <c r="B2">
        <v>16151</v>
      </c>
      <c r="C2">
        <v>20924484</v>
      </c>
      <c r="D2">
        <v>20940635</v>
      </c>
      <c r="E2" s="6"/>
      <c r="F2" s="6"/>
      <c r="G2" s="6">
        <f t="shared" ref="G2:G13" si="0">B2/D2</f>
        <v>7.7127556065038146E-4</v>
      </c>
    </row>
    <row r="3" spans="1:8" ht="15" customHeight="1" x14ac:dyDescent="0.35">
      <c r="A3" t="s">
        <v>122</v>
      </c>
      <c r="B3">
        <v>55829</v>
      </c>
      <c r="C3">
        <v>22507948</v>
      </c>
      <c r="D3">
        <v>22563777</v>
      </c>
      <c r="E3" s="6">
        <f t="shared" ref="E3:E13" si="1">IF(B2=0,"",(B3-B2)/B2)</f>
        <v>2.4566899882360227</v>
      </c>
      <c r="F3" s="6">
        <f t="shared" ref="F3:F13" si="2">IF(C2=0,"",(C3-C2)/C2)</f>
        <v>7.5675175550326587E-2</v>
      </c>
      <c r="G3" s="6">
        <f t="shared" si="0"/>
        <v>2.4742754725859948E-3</v>
      </c>
    </row>
    <row r="4" spans="1:8" ht="15" customHeight="1" x14ac:dyDescent="0.35">
      <c r="A4" t="s">
        <v>123</v>
      </c>
      <c r="B4">
        <v>96576</v>
      </c>
      <c r="C4">
        <v>24881927</v>
      </c>
      <c r="D4">
        <v>24978503</v>
      </c>
      <c r="E4" s="6">
        <f t="shared" si="1"/>
        <v>0.72985366028408172</v>
      </c>
      <c r="F4" s="6">
        <f t="shared" si="2"/>
        <v>0.10547292005472911</v>
      </c>
      <c r="G4" s="6">
        <f t="shared" si="0"/>
        <v>3.8663646096005035E-3</v>
      </c>
    </row>
    <row r="5" spans="1:8" ht="15" customHeight="1" x14ac:dyDescent="0.35">
      <c r="A5" t="s">
        <v>124</v>
      </c>
      <c r="B5">
        <v>148190</v>
      </c>
      <c r="C5">
        <v>26299385</v>
      </c>
      <c r="D5">
        <v>26447575</v>
      </c>
      <c r="E5" s="6">
        <f t="shared" si="1"/>
        <v>0.5344391981444665</v>
      </c>
      <c r="F5" s="6">
        <f t="shared" si="2"/>
        <v>5.696737234218234E-2</v>
      </c>
      <c r="G5" s="6">
        <f t="shared" si="0"/>
        <v>5.6031602141217102E-3</v>
      </c>
    </row>
    <row r="6" spans="1:8" ht="15" customHeight="1" x14ac:dyDescent="0.35">
      <c r="A6" t="s">
        <v>71</v>
      </c>
      <c r="B6">
        <v>174792</v>
      </c>
      <c r="C6">
        <v>25678365</v>
      </c>
      <c r="D6">
        <v>25853157</v>
      </c>
      <c r="E6" s="6">
        <f t="shared" si="1"/>
        <v>0.1795127876374924</v>
      </c>
      <c r="F6" s="6">
        <f t="shared" si="2"/>
        <v>-2.3613479934987074E-2</v>
      </c>
      <c r="G6" s="6">
        <f t="shared" si="0"/>
        <v>6.7609537976348498E-3</v>
      </c>
    </row>
    <row r="7" spans="1:8" ht="15" customHeight="1" x14ac:dyDescent="0.35">
      <c r="A7" t="s">
        <v>72</v>
      </c>
      <c r="B7">
        <v>145011</v>
      </c>
      <c r="C7">
        <v>18163987</v>
      </c>
      <c r="D7">
        <v>18308998</v>
      </c>
      <c r="E7" s="6">
        <f t="shared" si="1"/>
        <v>-0.17037965124261981</v>
      </c>
      <c r="F7" s="6">
        <f t="shared" si="2"/>
        <v>-0.2926345972572631</v>
      </c>
      <c r="G7" s="6">
        <f t="shared" si="0"/>
        <v>7.9202040439351178E-3</v>
      </c>
    </row>
    <row r="8" spans="1:8" ht="15" customHeight="1" x14ac:dyDescent="0.35">
      <c r="A8" t="s">
        <v>73</v>
      </c>
      <c r="B8">
        <v>473928</v>
      </c>
      <c r="C8">
        <v>18788992</v>
      </c>
      <c r="D8">
        <v>19262920</v>
      </c>
      <c r="E8" s="6">
        <f t="shared" si="1"/>
        <v>2.2682210315079545</v>
      </c>
      <c r="F8" s="6">
        <f t="shared" si="2"/>
        <v>3.440902044248325E-2</v>
      </c>
      <c r="G8" s="6">
        <f t="shared" si="0"/>
        <v>2.460312351398438E-2</v>
      </c>
    </row>
    <row r="9" spans="1:8" ht="15" customHeight="1" x14ac:dyDescent="0.35">
      <c r="A9" t="s">
        <v>74</v>
      </c>
      <c r="B9">
        <v>1222551</v>
      </c>
      <c r="C9">
        <v>22031921</v>
      </c>
      <c r="D9">
        <v>23254472</v>
      </c>
      <c r="E9" s="6">
        <f t="shared" si="1"/>
        <v>1.5796133589912391</v>
      </c>
      <c r="F9" s="6">
        <f t="shared" si="2"/>
        <v>0.17259728462282597</v>
      </c>
      <c r="G9" s="6">
        <f t="shared" si="0"/>
        <v>5.2572726656618995E-2</v>
      </c>
    </row>
    <row r="10" spans="1:8" ht="15" customHeight="1" x14ac:dyDescent="0.35">
      <c r="A10" t="s">
        <v>75</v>
      </c>
      <c r="B10">
        <v>1743005</v>
      </c>
      <c r="C10">
        <v>23878616</v>
      </c>
      <c r="D10">
        <v>25621621</v>
      </c>
      <c r="E10" s="6">
        <f t="shared" si="1"/>
        <v>0.42571148361090866</v>
      </c>
      <c r="F10" s="6">
        <f t="shared" si="2"/>
        <v>8.3819064166034365E-2</v>
      </c>
      <c r="G10" s="6">
        <f t="shared" si="0"/>
        <v>6.8028677810822349E-2</v>
      </c>
    </row>
    <row r="11" spans="1:8" ht="15" customHeight="1" x14ac:dyDescent="0.35">
      <c r="A11" t="s">
        <v>77</v>
      </c>
      <c r="B11">
        <v>2040002</v>
      </c>
      <c r="C11">
        <v>25212681</v>
      </c>
      <c r="D11">
        <v>27252683</v>
      </c>
      <c r="E11" s="6">
        <f t="shared" si="1"/>
        <v>0.17039365922645086</v>
      </c>
      <c r="F11" s="6">
        <f t="shared" si="2"/>
        <v>5.5868606455248493E-2</v>
      </c>
      <c r="G11" s="6">
        <f t="shared" si="0"/>
        <v>7.4855088579718926E-2</v>
      </c>
    </row>
    <row r="12" spans="1:8" ht="15" customHeight="1" x14ac:dyDescent="0.35">
      <c r="A12" t="s">
        <v>78</v>
      </c>
      <c r="B12">
        <v>2545277</v>
      </c>
      <c r="C12">
        <v>28291694</v>
      </c>
      <c r="D12">
        <v>30836971</v>
      </c>
      <c r="E12" s="6">
        <f t="shared" si="1"/>
        <v>0.24768358070237187</v>
      </c>
      <c r="F12" s="6">
        <f t="shared" si="2"/>
        <v>0.12212160222072377</v>
      </c>
      <c r="G12" s="6">
        <f t="shared" si="0"/>
        <v>8.2539786414171479E-2</v>
      </c>
    </row>
    <row r="13" spans="1:8" ht="15" customHeight="1" x14ac:dyDescent="0.35">
      <c r="A13" t="s">
        <v>125</v>
      </c>
      <c r="B13">
        <v>522025</v>
      </c>
      <c r="C13">
        <v>4729892</v>
      </c>
      <c r="D13">
        <v>5251917</v>
      </c>
      <c r="E13" s="6">
        <f t="shared" si="1"/>
        <v>-0.79490444458500975</v>
      </c>
      <c r="F13" s="6">
        <f t="shared" si="2"/>
        <v>-0.83281693913415011</v>
      </c>
      <c r="G13" s="6">
        <f t="shared" si="0"/>
        <v>9.9397039214443025E-2</v>
      </c>
      <c r="H13" t="s">
        <v>126</v>
      </c>
    </row>
    <row r="15" spans="1:8" ht="15" customHeight="1" x14ac:dyDescent="0.35">
      <c r="A15" t="s">
        <v>127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39"/>
  <sheetViews>
    <sheetView zoomScaleNormal="100" workbookViewId="0"/>
  </sheetViews>
  <sheetFormatPr defaultColWidth="8.6328125" defaultRowHeight="14.5" x14ac:dyDescent="0.35"/>
  <cols>
    <col min="1" max="1" width="34" customWidth="1"/>
    <col min="2" max="4" width="14" customWidth="1"/>
    <col min="5" max="6" width="18" customWidth="1"/>
    <col min="7" max="7" width="16" customWidth="1"/>
    <col min="8" max="9" width="14" customWidth="1"/>
    <col min="10" max="10" width="12" customWidth="1"/>
  </cols>
  <sheetData>
    <row r="1" spans="1:10" ht="15" customHeight="1" x14ac:dyDescent="0.35">
      <c r="A1" s="4" t="s">
        <v>128</v>
      </c>
      <c r="B1" s="4" t="s">
        <v>129</v>
      </c>
      <c r="C1" s="4" t="s">
        <v>130</v>
      </c>
      <c r="D1" s="4" t="s">
        <v>131</v>
      </c>
      <c r="E1" s="4" t="s">
        <v>132</v>
      </c>
      <c r="F1" s="4" t="s">
        <v>133</v>
      </c>
      <c r="G1" s="4" t="s">
        <v>134</v>
      </c>
      <c r="H1" s="4" t="s">
        <v>135</v>
      </c>
      <c r="I1" s="4" t="s">
        <v>136</v>
      </c>
      <c r="J1" s="4" t="s">
        <v>137</v>
      </c>
    </row>
    <row r="2" spans="1:10" ht="15" customHeight="1" x14ac:dyDescent="0.35">
      <c r="A2" t="s">
        <v>70</v>
      </c>
      <c r="B2">
        <v>5</v>
      </c>
      <c r="C2">
        <v>179</v>
      </c>
      <c r="D2" s="6">
        <f t="shared" ref="D2:D37" si="0">IF(B2=0,"n/a (zero base)",(C2/B2)^(1/6)-1)</f>
        <v>0.81543416576956695</v>
      </c>
      <c r="E2">
        <v>8913</v>
      </c>
      <c r="F2">
        <v>10579</v>
      </c>
      <c r="G2" s="6">
        <f t="shared" ref="G2:G37" si="1">IF(E2=0,"n/a",(F2/E2)^(1/6)-1)</f>
        <v>2.8971750520974116E-2</v>
      </c>
      <c r="H2" s="6">
        <f t="shared" ref="H2:H37" si="2">IF(B2+E2=0,0,B2/(B2+E2))</f>
        <v>5.6066382596994845E-4</v>
      </c>
      <c r="I2" s="6">
        <f t="shared" ref="I2:I37" si="3">IF(C2+F2=0,0,C2/(C2+F2))</f>
        <v>1.6638780442461424E-2</v>
      </c>
      <c r="J2" s="7">
        <f t="shared" ref="J2:J37" si="4">(I2-H2)*100</f>
        <v>1.6078116616491476</v>
      </c>
    </row>
    <row r="3" spans="1:10" ht="15" customHeight="1" x14ac:dyDescent="0.35">
      <c r="A3" t="s">
        <v>80</v>
      </c>
      <c r="B3">
        <v>1690</v>
      </c>
      <c r="C3">
        <v>69495</v>
      </c>
      <c r="D3" s="6">
        <f t="shared" si="0"/>
        <v>0.85785212031123503</v>
      </c>
      <c r="E3">
        <v>1146900</v>
      </c>
      <c r="F3">
        <v>912134</v>
      </c>
      <c r="G3" s="6">
        <f t="shared" si="1"/>
        <v>-3.7452474321383877E-2</v>
      </c>
      <c r="H3" s="6">
        <f t="shared" si="2"/>
        <v>1.4713692440296363E-3</v>
      </c>
      <c r="I3" s="6">
        <f t="shared" si="3"/>
        <v>7.07955857049863E-2</v>
      </c>
      <c r="J3" s="7">
        <f t="shared" si="4"/>
        <v>6.9324216460956674</v>
      </c>
    </row>
    <row r="4" spans="1:10" ht="15" customHeight="1" x14ac:dyDescent="0.35">
      <c r="A4" t="s">
        <v>81</v>
      </c>
      <c r="B4">
        <v>3</v>
      </c>
      <c r="C4">
        <v>132</v>
      </c>
      <c r="D4" s="6">
        <f t="shared" si="0"/>
        <v>0.8789221206122575</v>
      </c>
      <c r="E4">
        <v>36946</v>
      </c>
      <c r="F4">
        <v>42379</v>
      </c>
      <c r="G4" s="6">
        <f t="shared" si="1"/>
        <v>2.3129357589009691E-2</v>
      </c>
      <c r="H4" s="6">
        <f t="shared" si="2"/>
        <v>8.1192995750899884E-5</v>
      </c>
      <c r="I4" s="6">
        <f t="shared" si="3"/>
        <v>3.1050786855166897E-3</v>
      </c>
      <c r="J4" s="7">
        <f t="shared" si="4"/>
        <v>0.30238856897657895</v>
      </c>
    </row>
    <row r="5" spans="1:10" ht="15" customHeight="1" x14ac:dyDescent="0.35">
      <c r="A5" t="s">
        <v>82</v>
      </c>
      <c r="B5">
        <v>12019</v>
      </c>
      <c r="C5">
        <v>93137</v>
      </c>
      <c r="D5" s="6">
        <f t="shared" si="0"/>
        <v>0.40672428496234647</v>
      </c>
      <c r="E5">
        <v>505033</v>
      </c>
      <c r="F5">
        <v>503998</v>
      </c>
      <c r="G5" s="6">
        <f t="shared" si="1"/>
        <v>-3.4185386556284669E-4</v>
      </c>
      <c r="H5" s="6">
        <f t="shared" si="2"/>
        <v>2.3245244192073525E-2</v>
      </c>
      <c r="I5" s="6">
        <f t="shared" si="3"/>
        <v>0.15597310490927513</v>
      </c>
      <c r="J5" s="7">
        <f t="shared" si="4"/>
        <v>13.27278607172016</v>
      </c>
    </row>
    <row r="6" spans="1:10" ht="15" customHeight="1" x14ac:dyDescent="0.35">
      <c r="A6" t="s">
        <v>83</v>
      </c>
      <c r="B6">
        <v>14262</v>
      </c>
      <c r="C6">
        <v>129464</v>
      </c>
      <c r="D6" s="6">
        <f t="shared" si="0"/>
        <v>0.44431336991293735</v>
      </c>
      <c r="E6">
        <v>1347702</v>
      </c>
      <c r="F6">
        <v>1457215</v>
      </c>
      <c r="G6" s="6">
        <f t="shared" si="1"/>
        <v>1.3106169383532373E-2</v>
      </c>
      <c r="H6" s="6">
        <f t="shared" si="2"/>
        <v>1.0471642422266668E-2</v>
      </c>
      <c r="I6" s="6">
        <f t="shared" si="3"/>
        <v>8.1594323741601166E-2</v>
      </c>
      <c r="J6" s="7">
        <f t="shared" si="4"/>
        <v>7.1122681319334493</v>
      </c>
    </row>
    <row r="7" spans="1:10" ht="15" customHeight="1" x14ac:dyDescent="0.35">
      <c r="A7" t="s">
        <v>84</v>
      </c>
      <c r="B7">
        <v>532</v>
      </c>
      <c r="C7">
        <v>5465</v>
      </c>
      <c r="D7" s="6">
        <f t="shared" si="0"/>
        <v>0.47439241841587343</v>
      </c>
      <c r="E7">
        <v>45328</v>
      </c>
      <c r="F7">
        <v>47691</v>
      </c>
      <c r="G7" s="6">
        <f t="shared" si="1"/>
        <v>8.5055950534931313E-3</v>
      </c>
      <c r="H7" s="6">
        <f t="shared" si="2"/>
        <v>1.1600523331879633E-2</v>
      </c>
      <c r="I7" s="6">
        <f t="shared" si="3"/>
        <v>0.10281059522913688</v>
      </c>
      <c r="J7" s="7">
        <f t="shared" si="4"/>
        <v>9.1210071897257237</v>
      </c>
    </row>
    <row r="8" spans="1:10" ht="15" customHeight="1" x14ac:dyDescent="0.35">
      <c r="A8" t="s">
        <v>85</v>
      </c>
      <c r="B8">
        <v>2272</v>
      </c>
      <c r="C8">
        <v>50819</v>
      </c>
      <c r="D8" s="6">
        <f t="shared" si="0"/>
        <v>0.67855779032853047</v>
      </c>
      <c r="E8">
        <v>650256</v>
      </c>
      <c r="F8">
        <v>706114</v>
      </c>
      <c r="G8" s="6">
        <f t="shared" si="1"/>
        <v>1.3829854095828598E-2</v>
      </c>
      <c r="H8" s="6">
        <f t="shared" si="2"/>
        <v>3.481842924748057E-3</v>
      </c>
      <c r="I8" s="6">
        <f t="shared" si="3"/>
        <v>6.7138042600864284E-2</v>
      </c>
      <c r="J8" s="7">
        <f t="shared" si="4"/>
        <v>6.3656199676116225</v>
      </c>
    </row>
    <row r="9" spans="1:10" ht="15" customHeight="1" x14ac:dyDescent="0.35">
      <c r="A9" t="s">
        <v>86</v>
      </c>
      <c r="B9">
        <v>24</v>
      </c>
      <c r="C9">
        <v>299</v>
      </c>
      <c r="D9" s="6">
        <f t="shared" si="0"/>
        <v>0.52256785919290749</v>
      </c>
      <c r="E9">
        <v>18050</v>
      </c>
      <c r="F9">
        <v>27510</v>
      </c>
      <c r="G9" s="6">
        <f t="shared" si="1"/>
        <v>7.2759157894974669E-2</v>
      </c>
      <c r="H9" s="6">
        <f t="shared" si="2"/>
        <v>1.3278742945667811E-3</v>
      </c>
      <c r="I9" s="6">
        <f t="shared" si="3"/>
        <v>1.0751914847711173E-2</v>
      </c>
      <c r="J9" s="7">
        <f t="shared" si="4"/>
        <v>0.94240405531443927</v>
      </c>
    </row>
    <row r="10" spans="1:10" ht="15" customHeight="1" x14ac:dyDescent="0.35">
      <c r="A10" t="s">
        <v>87</v>
      </c>
      <c r="B10">
        <v>23684</v>
      </c>
      <c r="C10">
        <v>107644</v>
      </c>
      <c r="D10" s="6">
        <f t="shared" si="0"/>
        <v>0.28703136022233466</v>
      </c>
      <c r="E10">
        <v>582996</v>
      </c>
      <c r="F10">
        <v>742742</v>
      </c>
      <c r="G10" s="6">
        <f t="shared" si="1"/>
        <v>4.1186994349180273E-2</v>
      </c>
      <c r="H10" s="6">
        <f t="shared" si="2"/>
        <v>3.9038702446100089E-2</v>
      </c>
      <c r="I10" s="6">
        <f t="shared" si="3"/>
        <v>0.12658251664538223</v>
      </c>
      <c r="J10" s="7">
        <f t="shared" si="4"/>
        <v>8.7543814199282153</v>
      </c>
    </row>
    <row r="11" spans="1:10" ht="15" customHeight="1" x14ac:dyDescent="0.35">
      <c r="A11" t="s">
        <v>88</v>
      </c>
      <c r="B11">
        <v>41</v>
      </c>
      <c r="C11">
        <v>9785</v>
      </c>
      <c r="D11" s="6">
        <f t="shared" si="0"/>
        <v>1.4905551452360499</v>
      </c>
      <c r="E11">
        <v>69807</v>
      </c>
      <c r="F11">
        <v>79192</v>
      </c>
      <c r="G11" s="6">
        <f t="shared" si="1"/>
        <v>2.1246049334719075E-2</v>
      </c>
      <c r="H11" s="6">
        <f t="shared" si="2"/>
        <v>5.8698889016149355E-4</v>
      </c>
      <c r="I11" s="6">
        <f t="shared" si="3"/>
        <v>0.10997224001708307</v>
      </c>
      <c r="J11" s="7">
        <f t="shared" si="4"/>
        <v>10.938525112692158</v>
      </c>
    </row>
    <row r="12" spans="1:10" ht="15" customHeight="1" x14ac:dyDescent="0.35">
      <c r="A12" t="s">
        <v>89</v>
      </c>
      <c r="B12">
        <v>897</v>
      </c>
      <c r="C12">
        <v>86280</v>
      </c>
      <c r="D12" s="6">
        <f t="shared" si="0"/>
        <v>1.1405216044706012</v>
      </c>
      <c r="E12">
        <v>1648797</v>
      </c>
      <c r="F12">
        <v>2149398</v>
      </c>
      <c r="G12" s="6">
        <f t="shared" si="1"/>
        <v>4.5181246468477099E-2</v>
      </c>
      <c r="H12" s="6">
        <f t="shared" si="2"/>
        <v>5.4373720217203918E-4</v>
      </c>
      <c r="I12" s="6">
        <f t="shared" si="3"/>
        <v>3.8592319645315648E-2</v>
      </c>
      <c r="J12" s="7">
        <f t="shared" si="4"/>
        <v>3.804858244314361</v>
      </c>
    </row>
    <row r="13" spans="1:10" ht="15" customHeight="1" x14ac:dyDescent="0.35">
      <c r="A13" t="s">
        <v>90</v>
      </c>
      <c r="B13">
        <v>4675</v>
      </c>
      <c r="C13">
        <v>37137</v>
      </c>
      <c r="D13" s="6">
        <f t="shared" si="0"/>
        <v>0.41255120646532362</v>
      </c>
      <c r="E13">
        <v>838201</v>
      </c>
      <c r="F13">
        <v>1076882</v>
      </c>
      <c r="G13" s="6">
        <f t="shared" si="1"/>
        <v>4.2645461638289417E-2</v>
      </c>
      <c r="H13" s="6">
        <f t="shared" si="2"/>
        <v>5.5464860786165462E-3</v>
      </c>
      <c r="I13" s="6">
        <f t="shared" si="3"/>
        <v>3.3336056207299875E-2</v>
      </c>
      <c r="J13" s="7">
        <f t="shared" si="4"/>
        <v>2.7789570128683327</v>
      </c>
    </row>
    <row r="14" spans="1:10" ht="15" customHeight="1" x14ac:dyDescent="0.35">
      <c r="A14" t="s">
        <v>91</v>
      </c>
      <c r="B14">
        <v>161</v>
      </c>
      <c r="C14">
        <v>1848</v>
      </c>
      <c r="D14" s="6">
        <f t="shared" si="0"/>
        <v>0.5019172839247954</v>
      </c>
      <c r="E14">
        <v>143667</v>
      </c>
      <c r="F14">
        <v>166624</v>
      </c>
      <c r="G14" s="6">
        <f t="shared" si="1"/>
        <v>2.501468832443976E-2</v>
      </c>
      <c r="H14" s="6">
        <f t="shared" si="2"/>
        <v>1.1193926078371388E-3</v>
      </c>
      <c r="I14" s="6">
        <f t="shared" si="3"/>
        <v>1.0969181822498694E-2</v>
      </c>
      <c r="J14" s="7">
        <f t="shared" si="4"/>
        <v>0.98497892146615551</v>
      </c>
    </row>
    <row r="15" spans="1:10" ht="15" customHeight="1" x14ac:dyDescent="0.35">
      <c r="A15" t="s">
        <v>92</v>
      </c>
      <c r="B15">
        <v>65</v>
      </c>
      <c r="C15">
        <v>12562</v>
      </c>
      <c r="D15" s="6">
        <f t="shared" si="0"/>
        <v>1.4044969954609887</v>
      </c>
      <c r="E15">
        <v>178440</v>
      </c>
      <c r="F15">
        <v>189755</v>
      </c>
      <c r="G15" s="6">
        <f t="shared" si="1"/>
        <v>1.0299571872052882E-2</v>
      </c>
      <c r="H15" s="6">
        <f t="shared" si="2"/>
        <v>3.6413545839052126E-4</v>
      </c>
      <c r="I15" s="6">
        <f t="shared" si="3"/>
        <v>6.2090679478244537E-2</v>
      </c>
      <c r="J15" s="7">
        <f t="shared" si="4"/>
        <v>6.1726544019854019</v>
      </c>
    </row>
    <row r="16" spans="1:10" ht="15" customHeight="1" x14ac:dyDescent="0.35">
      <c r="A16" t="s">
        <v>93</v>
      </c>
      <c r="B16">
        <v>2169</v>
      </c>
      <c r="C16">
        <v>36310</v>
      </c>
      <c r="D16" s="6">
        <f t="shared" si="0"/>
        <v>0.59941482119868739</v>
      </c>
      <c r="E16">
        <v>589094</v>
      </c>
      <c r="F16">
        <v>672692</v>
      </c>
      <c r="G16" s="6">
        <f t="shared" si="1"/>
        <v>2.2363361468703324E-2</v>
      </c>
      <c r="H16" s="6">
        <f t="shared" si="2"/>
        <v>3.6684182842491413E-3</v>
      </c>
      <c r="I16" s="6">
        <f t="shared" si="3"/>
        <v>5.1212831557597864E-2</v>
      </c>
      <c r="J16" s="7">
        <f t="shared" si="4"/>
        <v>4.7544413273348729</v>
      </c>
    </row>
    <row r="17" spans="1:10" ht="15" customHeight="1" x14ac:dyDescent="0.35">
      <c r="A17" t="s">
        <v>94</v>
      </c>
      <c r="B17">
        <v>7156</v>
      </c>
      <c r="C17">
        <v>221441</v>
      </c>
      <c r="D17" s="6">
        <f t="shared" si="0"/>
        <v>0.77186766890146341</v>
      </c>
      <c r="E17">
        <v>1571859</v>
      </c>
      <c r="F17">
        <v>1797520</v>
      </c>
      <c r="G17" s="6">
        <f t="shared" si="1"/>
        <v>2.2609973774164072E-2</v>
      </c>
      <c r="H17" s="6">
        <f t="shared" si="2"/>
        <v>4.5319392152702795E-3</v>
      </c>
      <c r="I17" s="6">
        <f t="shared" si="3"/>
        <v>0.10968067238544975</v>
      </c>
      <c r="J17" s="7">
        <f t="shared" si="4"/>
        <v>10.514873317017948</v>
      </c>
    </row>
    <row r="18" spans="1:10" ht="15" customHeight="1" x14ac:dyDescent="0.35">
      <c r="A18" t="s">
        <v>95</v>
      </c>
      <c r="B18">
        <v>687</v>
      </c>
      <c r="C18">
        <v>115400</v>
      </c>
      <c r="D18" s="6">
        <f t="shared" si="0"/>
        <v>1.3489558027174802</v>
      </c>
      <c r="E18">
        <v>851520</v>
      </c>
      <c r="F18">
        <v>835913</v>
      </c>
      <c r="G18" s="6">
        <f t="shared" si="1"/>
        <v>-3.0783267238823075E-3</v>
      </c>
      <c r="H18" s="6">
        <f t="shared" si="2"/>
        <v>8.0614216968412605E-4</v>
      </c>
      <c r="I18" s="6">
        <f t="shared" si="3"/>
        <v>0.12130602651283016</v>
      </c>
      <c r="J18" s="7">
        <f t="shared" si="4"/>
        <v>12.049988434314605</v>
      </c>
    </row>
    <row r="19" spans="1:10" ht="15" customHeight="1" x14ac:dyDescent="0.35">
      <c r="A19" t="s">
        <v>96</v>
      </c>
      <c r="B19">
        <v>1</v>
      </c>
      <c r="C19">
        <v>4</v>
      </c>
      <c r="D19" s="6">
        <f t="shared" si="0"/>
        <v>0.25992104989487319</v>
      </c>
      <c r="E19">
        <v>2487</v>
      </c>
      <c r="F19">
        <v>4323</v>
      </c>
      <c r="G19" s="6">
        <f t="shared" si="1"/>
        <v>9.6524252583823911E-2</v>
      </c>
      <c r="H19" s="6">
        <f t="shared" si="2"/>
        <v>4.0192926045016077E-4</v>
      </c>
      <c r="I19" s="6">
        <f t="shared" si="3"/>
        <v>9.2442801016870814E-4</v>
      </c>
      <c r="J19" s="7">
        <f t="shared" si="4"/>
        <v>5.2249874971854737E-2</v>
      </c>
    </row>
    <row r="20" spans="1:10" ht="15" customHeight="1" x14ac:dyDescent="0.35">
      <c r="A20" t="s">
        <v>97</v>
      </c>
      <c r="B20">
        <v>1</v>
      </c>
      <c r="C20">
        <v>51</v>
      </c>
      <c r="D20" s="6">
        <f t="shared" si="0"/>
        <v>0.92572837369816763</v>
      </c>
      <c r="E20">
        <v>1548</v>
      </c>
      <c r="F20">
        <v>1011</v>
      </c>
      <c r="G20" s="6">
        <f t="shared" si="1"/>
        <v>-6.8541808117482339E-2</v>
      </c>
      <c r="H20" s="6">
        <f t="shared" si="2"/>
        <v>6.4557779212395089E-4</v>
      </c>
      <c r="I20" s="6">
        <f t="shared" si="3"/>
        <v>4.8022598870056499E-2</v>
      </c>
      <c r="J20" s="7">
        <f t="shared" si="4"/>
        <v>4.7377021077932548</v>
      </c>
    </row>
    <row r="21" spans="1:10" ht="15" customHeight="1" x14ac:dyDescent="0.35">
      <c r="A21" t="s">
        <v>98</v>
      </c>
      <c r="B21">
        <v>3565</v>
      </c>
      <c r="C21">
        <v>158886</v>
      </c>
      <c r="D21" s="6">
        <f t="shared" si="0"/>
        <v>0.8829452092687744</v>
      </c>
      <c r="E21">
        <v>1562923</v>
      </c>
      <c r="F21">
        <v>1631932</v>
      </c>
      <c r="G21" s="6">
        <f t="shared" si="1"/>
        <v>7.2271243499959503E-3</v>
      </c>
      <c r="H21" s="6">
        <f t="shared" si="2"/>
        <v>2.27579145196133E-3</v>
      </c>
      <c r="I21" s="6">
        <f t="shared" si="3"/>
        <v>8.8722583757813472E-2</v>
      </c>
      <c r="J21" s="7">
        <f t="shared" si="4"/>
        <v>8.6446792305852149</v>
      </c>
    </row>
    <row r="22" spans="1:10" ht="15" customHeight="1" x14ac:dyDescent="0.35">
      <c r="A22" t="s">
        <v>99</v>
      </c>
      <c r="B22">
        <v>7398</v>
      </c>
      <c r="C22">
        <v>278993</v>
      </c>
      <c r="D22" s="6">
        <f t="shared" si="0"/>
        <v>0.83124518863841934</v>
      </c>
      <c r="E22">
        <v>2374598</v>
      </c>
      <c r="F22">
        <v>3200634</v>
      </c>
      <c r="G22" s="6">
        <f t="shared" si="1"/>
        <v>5.1011947102050259E-2</v>
      </c>
      <c r="H22" s="6">
        <f t="shared" si="2"/>
        <v>3.1057986663285747E-3</v>
      </c>
      <c r="I22" s="6">
        <f t="shared" si="3"/>
        <v>8.0178996197006178E-2</v>
      </c>
      <c r="J22" s="7">
        <f t="shared" si="4"/>
        <v>7.7073197530677611</v>
      </c>
    </row>
    <row r="23" spans="1:10" ht="15" customHeight="1" x14ac:dyDescent="0.35">
      <c r="A23" t="s">
        <v>100</v>
      </c>
      <c r="B23">
        <v>318</v>
      </c>
      <c r="C23">
        <v>1637</v>
      </c>
      <c r="D23" s="6">
        <f t="shared" si="0"/>
        <v>0.31402489488922636</v>
      </c>
      <c r="E23">
        <v>39211</v>
      </c>
      <c r="F23">
        <v>38122</v>
      </c>
      <c r="G23" s="6">
        <f t="shared" si="1"/>
        <v>-4.6832950746347191E-3</v>
      </c>
      <c r="H23" s="6">
        <f t="shared" si="2"/>
        <v>8.0447266563788613E-3</v>
      </c>
      <c r="I23" s="6">
        <f t="shared" si="3"/>
        <v>4.117306773309188E-2</v>
      </c>
      <c r="J23" s="7">
        <f t="shared" si="4"/>
        <v>3.3128341076713017</v>
      </c>
    </row>
    <row r="24" spans="1:10" ht="15" customHeight="1" x14ac:dyDescent="0.35">
      <c r="A24" t="s">
        <v>101</v>
      </c>
      <c r="B24">
        <v>13</v>
      </c>
      <c r="C24">
        <v>1075</v>
      </c>
      <c r="D24" s="6">
        <f t="shared" si="0"/>
        <v>1.0872646534329578</v>
      </c>
      <c r="E24">
        <v>34060</v>
      </c>
      <c r="F24">
        <v>43593</v>
      </c>
      <c r="G24" s="6">
        <f t="shared" si="1"/>
        <v>4.1986324149754006E-2</v>
      </c>
      <c r="H24" s="6">
        <f t="shared" si="2"/>
        <v>3.8153376573826786E-4</v>
      </c>
      <c r="I24" s="6">
        <f t="shared" si="3"/>
        <v>2.4066445777737977E-2</v>
      </c>
      <c r="J24" s="7">
        <f t="shared" si="4"/>
        <v>2.368491201199971</v>
      </c>
    </row>
    <row r="25" spans="1:10" ht="15" customHeight="1" x14ac:dyDescent="0.35">
      <c r="A25" t="s">
        <v>102</v>
      </c>
      <c r="B25">
        <v>1</v>
      </c>
      <c r="C25">
        <v>894</v>
      </c>
      <c r="D25" s="6">
        <f t="shared" si="0"/>
        <v>2.1037703959111704</v>
      </c>
      <c r="E25">
        <v>31438</v>
      </c>
      <c r="F25">
        <v>31098</v>
      </c>
      <c r="G25" s="6">
        <f t="shared" si="1"/>
        <v>-1.8106660744660052E-3</v>
      </c>
      <c r="H25" s="6">
        <f t="shared" si="2"/>
        <v>3.1807627469067084E-5</v>
      </c>
      <c r="I25" s="6">
        <f t="shared" si="3"/>
        <v>2.7944486121530384E-2</v>
      </c>
      <c r="J25" s="7">
        <f t="shared" si="4"/>
        <v>2.7912678494061316</v>
      </c>
    </row>
    <row r="26" spans="1:10" ht="15" customHeight="1" x14ac:dyDescent="0.35">
      <c r="A26" t="s">
        <v>103</v>
      </c>
      <c r="B26">
        <v>14</v>
      </c>
      <c r="C26">
        <v>29</v>
      </c>
      <c r="D26" s="6">
        <f t="shared" si="0"/>
        <v>0.12904606213866843</v>
      </c>
      <c r="E26">
        <v>27496</v>
      </c>
      <c r="F26">
        <v>28240</v>
      </c>
      <c r="G26" s="6">
        <f t="shared" si="1"/>
        <v>4.4597272951469868E-3</v>
      </c>
      <c r="H26" s="6">
        <f t="shared" si="2"/>
        <v>5.0890585241730279E-4</v>
      </c>
      <c r="I26" s="6">
        <f t="shared" si="3"/>
        <v>1.0258587144929075E-3</v>
      </c>
      <c r="J26" s="7">
        <f t="shared" si="4"/>
        <v>5.1695286207560469E-2</v>
      </c>
    </row>
    <row r="27" spans="1:10" ht="15" customHeight="1" x14ac:dyDescent="0.35">
      <c r="A27" t="s">
        <v>104</v>
      </c>
      <c r="B27">
        <v>990</v>
      </c>
      <c r="C27">
        <v>92599</v>
      </c>
      <c r="D27" s="6">
        <f t="shared" si="0"/>
        <v>1.1305669394314481</v>
      </c>
      <c r="E27">
        <v>834048</v>
      </c>
      <c r="F27">
        <v>850480</v>
      </c>
      <c r="G27" s="6">
        <f t="shared" si="1"/>
        <v>3.2569492578473636E-3</v>
      </c>
      <c r="H27" s="6">
        <f t="shared" si="2"/>
        <v>1.185574788213231E-3</v>
      </c>
      <c r="I27" s="6">
        <f t="shared" si="3"/>
        <v>9.818795668231399E-2</v>
      </c>
      <c r="J27" s="7">
        <f t="shared" si="4"/>
        <v>9.7002381894100758</v>
      </c>
    </row>
    <row r="28" spans="1:10" ht="15" customHeight="1" x14ac:dyDescent="0.35">
      <c r="A28" t="s">
        <v>106</v>
      </c>
      <c r="B28">
        <v>63</v>
      </c>
      <c r="C28">
        <v>5502</v>
      </c>
      <c r="D28" s="6">
        <f t="shared" si="0"/>
        <v>1.106347424874651</v>
      </c>
      <c r="E28">
        <v>56299</v>
      </c>
      <c r="F28">
        <v>72084</v>
      </c>
      <c r="G28" s="6">
        <f t="shared" si="1"/>
        <v>4.2052739155038044E-2</v>
      </c>
      <c r="H28" s="6">
        <f t="shared" si="2"/>
        <v>1.1177743869983322E-3</v>
      </c>
      <c r="I28" s="6">
        <f t="shared" si="3"/>
        <v>7.0914855772948732E-2</v>
      </c>
      <c r="J28" s="7">
        <f t="shared" si="4"/>
        <v>6.979708138595039</v>
      </c>
    </row>
    <row r="29" spans="1:10" ht="15" customHeight="1" x14ac:dyDescent="0.35">
      <c r="A29" t="s">
        <v>107</v>
      </c>
      <c r="B29">
        <v>894</v>
      </c>
      <c r="C29">
        <v>46136</v>
      </c>
      <c r="D29" s="6">
        <f t="shared" si="0"/>
        <v>0.92952497051200278</v>
      </c>
      <c r="E29">
        <v>783427</v>
      </c>
      <c r="F29">
        <v>795526</v>
      </c>
      <c r="G29" s="6">
        <f t="shared" si="1"/>
        <v>2.5575391544192527E-3</v>
      </c>
      <c r="H29" s="6">
        <f t="shared" si="2"/>
        <v>1.1398394279893054E-3</v>
      </c>
      <c r="I29" s="6">
        <f t="shared" si="3"/>
        <v>5.4815353431662592E-2</v>
      </c>
      <c r="J29" s="7">
        <f t="shared" si="4"/>
        <v>5.3675514003673284</v>
      </c>
    </row>
    <row r="30" spans="1:10" ht="15" customHeight="1" x14ac:dyDescent="0.35">
      <c r="A30" t="s">
        <v>108</v>
      </c>
      <c r="B30">
        <v>5928</v>
      </c>
      <c r="C30">
        <v>123153</v>
      </c>
      <c r="D30" s="6">
        <f t="shared" si="0"/>
        <v>0.65801886166267098</v>
      </c>
      <c r="E30">
        <v>1518021</v>
      </c>
      <c r="F30">
        <v>1659112</v>
      </c>
      <c r="G30" s="6">
        <f t="shared" si="1"/>
        <v>1.4922749876583596E-2</v>
      </c>
      <c r="H30" s="6">
        <f t="shared" si="2"/>
        <v>3.8898939531441011E-3</v>
      </c>
      <c r="I30" s="6">
        <f t="shared" si="3"/>
        <v>6.9099151921852245E-2</v>
      </c>
      <c r="J30" s="7">
        <f t="shared" si="4"/>
        <v>6.5209257968708148</v>
      </c>
    </row>
    <row r="31" spans="1:10" ht="15" customHeight="1" x14ac:dyDescent="0.35">
      <c r="A31" t="s">
        <v>109</v>
      </c>
      <c r="B31">
        <v>0</v>
      </c>
      <c r="C31">
        <v>16</v>
      </c>
      <c r="D31" s="6" t="str">
        <f t="shared" si="0"/>
        <v>n/a (zero base)</v>
      </c>
      <c r="E31">
        <v>11024</v>
      </c>
      <c r="F31">
        <v>11469</v>
      </c>
      <c r="G31" s="6">
        <f t="shared" si="1"/>
        <v>6.6173030910852138E-3</v>
      </c>
      <c r="H31" s="6">
        <f t="shared" si="2"/>
        <v>0</v>
      </c>
      <c r="I31" s="6">
        <f t="shared" si="3"/>
        <v>1.3931214627775359E-3</v>
      </c>
      <c r="J31" s="7">
        <f t="shared" si="4"/>
        <v>0.1393121462777536</v>
      </c>
    </row>
    <row r="32" spans="1:10" ht="15" customHeight="1" x14ac:dyDescent="0.35">
      <c r="A32" t="s">
        <v>110</v>
      </c>
      <c r="B32">
        <v>4204</v>
      </c>
      <c r="C32">
        <v>190823</v>
      </c>
      <c r="D32" s="6">
        <f t="shared" si="0"/>
        <v>0.88869284608694521</v>
      </c>
      <c r="E32">
        <v>1923195</v>
      </c>
      <c r="F32">
        <v>2123793</v>
      </c>
      <c r="G32" s="6">
        <f t="shared" si="1"/>
        <v>1.6673438328743462E-2</v>
      </c>
      <c r="H32" s="6">
        <f t="shared" si="2"/>
        <v>2.1811778464137419E-3</v>
      </c>
      <c r="I32" s="6">
        <f t="shared" si="3"/>
        <v>8.2442616831474427E-2</v>
      </c>
      <c r="J32" s="7">
        <f t="shared" si="4"/>
        <v>8.0261438985060689</v>
      </c>
    </row>
    <row r="33" spans="1:10" ht="15" customHeight="1" x14ac:dyDescent="0.35">
      <c r="A33" t="s">
        <v>111</v>
      </c>
      <c r="B33">
        <v>1041</v>
      </c>
      <c r="C33">
        <v>88881</v>
      </c>
      <c r="D33" s="6">
        <f t="shared" si="0"/>
        <v>1.0984229808713679</v>
      </c>
      <c r="E33">
        <v>1261450</v>
      </c>
      <c r="F33">
        <v>973308</v>
      </c>
      <c r="G33" s="6">
        <f t="shared" si="1"/>
        <v>-4.2298777073023874E-2</v>
      </c>
      <c r="H33" s="6">
        <f t="shared" si="2"/>
        <v>8.2456033349940713E-4</v>
      </c>
      <c r="I33" s="6">
        <f t="shared" si="3"/>
        <v>8.3677198690628507E-2</v>
      </c>
      <c r="J33" s="7">
        <f t="shared" si="4"/>
        <v>8.2852638357129091</v>
      </c>
    </row>
    <row r="34" spans="1:10" ht="15" customHeight="1" x14ac:dyDescent="0.35">
      <c r="A34" t="s">
        <v>112</v>
      </c>
      <c r="B34">
        <v>3176</v>
      </c>
      <c r="C34">
        <v>9909</v>
      </c>
      <c r="D34" s="6">
        <f t="shared" si="0"/>
        <v>0.20881049642536431</v>
      </c>
      <c r="E34">
        <v>55828</v>
      </c>
      <c r="F34">
        <v>45775</v>
      </c>
      <c r="G34" s="6">
        <f t="shared" si="1"/>
        <v>-3.2548103003577356E-2</v>
      </c>
      <c r="H34" s="6">
        <f t="shared" si="2"/>
        <v>5.3826859195986711E-2</v>
      </c>
      <c r="I34" s="6">
        <f t="shared" si="3"/>
        <v>0.17795057826305583</v>
      </c>
      <c r="J34" s="7">
        <f t="shared" si="4"/>
        <v>12.412371906706912</v>
      </c>
    </row>
    <row r="35" spans="1:10" ht="15" customHeight="1" x14ac:dyDescent="0.35">
      <c r="A35" t="s">
        <v>113</v>
      </c>
      <c r="B35">
        <v>56333</v>
      </c>
      <c r="C35">
        <v>414565</v>
      </c>
      <c r="D35" s="6">
        <f t="shared" si="0"/>
        <v>0.39467053456539491</v>
      </c>
      <c r="E35">
        <v>3483784</v>
      </c>
      <c r="F35">
        <v>3848628</v>
      </c>
      <c r="G35" s="6">
        <f t="shared" si="1"/>
        <v>1.6738149331813501E-2</v>
      </c>
      <c r="H35" s="6">
        <f t="shared" si="2"/>
        <v>1.5912750906255359E-2</v>
      </c>
      <c r="I35" s="6">
        <f t="shared" si="3"/>
        <v>9.7242841222529686E-2</v>
      </c>
      <c r="J35" s="7">
        <f t="shared" si="4"/>
        <v>8.1330090316274326</v>
      </c>
    </row>
    <row r="36" spans="1:10" ht="15" customHeight="1" x14ac:dyDescent="0.35">
      <c r="A36" t="s">
        <v>114</v>
      </c>
      <c r="B36">
        <v>5465</v>
      </c>
      <c r="C36">
        <v>21337</v>
      </c>
      <c r="D36" s="6">
        <f t="shared" si="0"/>
        <v>0.2548462923683088</v>
      </c>
      <c r="E36">
        <v>241035</v>
      </c>
      <c r="F36">
        <v>287729</v>
      </c>
      <c r="G36" s="6">
        <f t="shared" si="1"/>
        <v>2.9952638308875068E-2</v>
      </c>
      <c r="H36" s="6">
        <f t="shared" si="2"/>
        <v>2.2170385395537524E-2</v>
      </c>
      <c r="I36" s="6">
        <f t="shared" si="3"/>
        <v>6.9037034160988262E-2</v>
      </c>
      <c r="J36" s="7">
        <f t="shared" si="4"/>
        <v>4.6866648765450742</v>
      </c>
    </row>
    <row r="37" spans="1:10" ht="15" customHeight="1" x14ac:dyDescent="0.35">
      <c r="A37" t="s">
        <v>115</v>
      </c>
      <c r="B37">
        <v>15045</v>
      </c>
      <c r="C37">
        <v>133390</v>
      </c>
      <c r="D37" s="6">
        <f t="shared" si="0"/>
        <v>0.4386500994853717</v>
      </c>
      <c r="E37">
        <v>1202984</v>
      </c>
      <c r="F37">
        <v>1226499</v>
      </c>
      <c r="G37" s="6">
        <f t="shared" si="1"/>
        <v>3.2316493170352345E-3</v>
      </c>
      <c r="H37" s="6">
        <f t="shared" si="2"/>
        <v>1.2351922655371916E-2</v>
      </c>
      <c r="I37" s="6">
        <f t="shared" si="3"/>
        <v>9.8088888137193547E-2</v>
      </c>
      <c r="J37" s="7">
        <f t="shared" si="4"/>
        <v>8.5736965481821628</v>
      </c>
    </row>
    <row r="39" spans="1:10" ht="15" customHeight="1" x14ac:dyDescent="0.35">
      <c r="A39" t="s">
        <v>138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3777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8" customWidth="1"/>
    <col min="2" max="2" width="12" customWidth="1"/>
    <col min="3" max="3" width="9" customWidth="1"/>
    <col min="4" max="6" width="16" customWidth="1"/>
    <col min="7" max="7" width="12" customWidth="1"/>
    <col min="8" max="8" width="58" customWidth="1"/>
  </cols>
  <sheetData>
    <row r="1" spans="1:9" ht="15" customHeight="1" x14ac:dyDescent="0.35">
      <c r="A1" s="4" t="s">
        <v>139</v>
      </c>
      <c r="B1" s="4" t="s">
        <v>140</v>
      </c>
      <c r="C1" s="4" t="s">
        <v>141</v>
      </c>
      <c r="D1" s="4" t="s">
        <v>128</v>
      </c>
      <c r="E1" s="4" t="s">
        <v>142</v>
      </c>
      <c r="F1" s="4" t="s">
        <v>143</v>
      </c>
      <c r="G1" s="4" t="s">
        <v>144</v>
      </c>
      <c r="H1" s="4" t="s">
        <v>145</v>
      </c>
      <c r="I1" s="4" t="s">
        <v>146</v>
      </c>
    </row>
    <row r="2" spans="1:9" ht="15" customHeight="1" x14ac:dyDescent="0.35">
      <c r="A2">
        <v>2017</v>
      </c>
      <c r="B2" t="s">
        <v>147</v>
      </c>
      <c r="C2">
        <v>1</v>
      </c>
      <c r="D2" t="s">
        <v>80</v>
      </c>
      <c r="E2">
        <v>6013</v>
      </c>
      <c r="F2">
        <v>7299</v>
      </c>
      <c r="G2">
        <v>4772</v>
      </c>
      <c r="H2" t="s">
        <v>122</v>
      </c>
      <c r="I2" t="s">
        <v>148</v>
      </c>
    </row>
    <row r="3" spans="1:9" ht="15" customHeight="1" x14ac:dyDescent="0.35">
      <c r="A3">
        <v>2017</v>
      </c>
      <c r="B3" t="s">
        <v>149</v>
      </c>
      <c r="C3">
        <v>2</v>
      </c>
      <c r="D3" t="s">
        <v>80</v>
      </c>
      <c r="E3">
        <v>6524</v>
      </c>
      <c r="F3">
        <v>7490</v>
      </c>
      <c r="G3">
        <v>5394</v>
      </c>
      <c r="H3" t="s">
        <v>122</v>
      </c>
      <c r="I3" t="s">
        <v>148</v>
      </c>
    </row>
    <row r="4" spans="1:9" ht="15" customHeight="1" x14ac:dyDescent="0.35">
      <c r="A4">
        <v>2017</v>
      </c>
      <c r="B4" t="s">
        <v>150</v>
      </c>
      <c r="C4">
        <v>3</v>
      </c>
      <c r="D4" t="s">
        <v>80</v>
      </c>
      <c r="E4">
        <v>6730</v>
      </c>
      <c r="F4">
        <v>7668</v>
      </c>
      <c r="G4">
        <v>5429</v>
      </c>
      <c r="H4" t="s">
        <v>122</v>
      </c>
      <c r="I4" t="s">
        <v>148</v>
      </c>
    </row>
    <row r="5" spans="1:9" ht="15" customHeight="1" x14ac:dyDescent="0.35">
      <c r="A5">
        <v>2017</v>
      </c>
      <c r="B5" t="s">
        <v>151</v>
      </c>
      <c r="C5">
        <v>4</v>
      </c>
      <c r="D5" t="s">
        <v>80</v>
      </c>
      <c r="E5">
        <v>6842</v>
      </c>
      <c r="F5">
        <v>7755</v>
      </c>
      <c r="G5">
        <v>5305</v>
      </c>
      <c r="H5" t="s">
        <v>123</v>
      </c>
      <c r="I5" t="s">
        <v>148</v>
      </c>
    </row>
    <row r="6" spans="1:9" ht="15" customHeight="1" x14ac:dyDescent="0.35">
      <c r="A6">
        <v>2017</v>
      </c>
      <c r="B6" t="s">
        <v>152</v>
      </c>
      <c r="C6">
        <v>5</v>
      </c>
      <c r="D6" t="s">
        <v>80</v>
      </c>
      <c r="E6">
        <v>7340</v>
      </c>
      <c r="F6">
        <v>8732</v>
      </c>
      <c r="G6">
        <v>5444</v>
      </c>
      <c r="H6" t="s">
        <v>123</v>
      </c>
      <c r="I6" t="s">
        <v>148</v>
      </c>
    </row>
    <row r="7" spans="1:9" ht="15" customHeight="1" x14ac:dyDescent="0.35">
      <c r="A7">
        <v>2017</v>
      </c>
      <c r="B7" t="s">
        <v>153</v>
      </c>
      <c r="C7">
        <v>6</v>
      </c>
      <c r="D7" t="s">
        <v>80</v>
      </c>
      <c r="E7">
        <v>6048</v>
      </c>
      <c r="F7">
        <v>8024</v>
      </c>
      <c r="G7">
        <v>4650</v>
      </c>
      <c r="H7" t="s">
        <v>123</v>
      </c>
      <c r="I7" t="s">
        <v>148</v>
      </c>
    </row>
    <row r="8" spans="1:9" ht="15" customHeight="1" x14ac:dyDescent="0.35">
      <c r="A8">
        <v>2017</v>
      </c>
      <c r="B8" t="s">
        <v>154</v>
      </c>
      <c r="C8">
        <v>7</v>
      </c>
      <c r="D8" t="s">
        <v>80</v>
      </c>
      <c r="E8">
        <v>6293</v>
      </c>
      <c r="F8">
        <v>7862</v>
      </c>
      <c r="G8">
        <v>4985</v>
      </c>
      <c r="H8" t="s">
        <v>123</v>
      </c>
      <c r="I8" t="s">
        <v>148</v>
      </c>
    </row>
    <row r="9" spans="1:9" ht="15" customHeight="1" x14ac:dyDescent="0.35">
      <c r="A9">
        <v>2017</v>
      </c>
      <c r="B9" t="s">
        <v>155</v>
      </c>
      <c r="C9">
        <v>8</v>
      </c>
      <c r="D9" t="s">
        <v>80</v>
      </c>
      <c r="E9">
        <v>6286</v>
      </c>
      <c r="F9">
        <v>7481</v>
      </c>
      <c r="G9">
        <v>5035</v>
      </c>
      <c r="H9" t="s">
        <v>123</v>
      </c>
      <c r="I9" t="s">
        <v>148</v>
      </c>
    </row>
    <row r="10" spans="1:9" ht="15" customHeight="1" x14ac:dyDescent="0.35">
      <c r="A10">
        <v>2017</v>
      </c>
      <c r="B10" t="s">
        <v>156</v>
      </c>
      <c r="C10">
        <v>9</v>
      </c>
      <c r="D10" t="s">
        <v>80</v>
      </c>
      <c r="E10">
        <v>6338</v>
      </c>
      <c r="F10">
        <v>7963</v>
      </c>
      <c r="G10">
        <v>5065</v>
      </c>
      <c r="H10" t="s">
        <v>123</v>
      </c>
      <c r="I10" t="s">
        <v>148</v>
      </c>
    </row>
    <row r="11" spans="1:9" ht="15" customHeight="1" x14ac:dyDescent="0.35">
      <c r="A11">
        <v>2017</v>
      </c>
      <c r="B11" t="s">
        <v>157</v>
      </c>
      <c r="C11">
        <v>10</v>
      </c>
      <c r="D11" t="s">
        <v>80</v>
      </c>
      <c r="E11">
        <v>6223</v>
      </c>
      <c r="F11">
        <v>7717</v>
      </c>
      <c r="G11">
        <v>4514</v>
      </c>
      <c r="H11" t="s">
        <v>123</v>
      </c>
      <c r="I11" t="s">
        <v>148</v>
      </c>
    </row>
    <row r="12" spans="1:9" ht="15" customHeight="1" x14ac:dyDescent="0.35">
      <c r="A12">
        <v>2017</v>
      </c>
      <c r="B12" t="s">
        <v>158</v>
      </c>
      <c r="C12">
        <v>11</v>
      </c>
      <c r="D12" t="s">
        <v>80</v>
      </c>
      <c r="E12">
        <v>6677</v>
      </c>
      <c r="F12">
        <v>8057</v>
      </c>
      <c r="G12">
        <v>5101</v>
      </c>
      <c r="H12" t="s">
        <v>123</v>
      </c>
      <c r="I12" t="s">
        <v>148</v>
      </c>
    </row>
    <row r="13" spans="1:9" ht="15" customHeight="1" x14ac:dyDescent="0.35">
      <c r="A13">
        <v>2017</v>
      </c>
      <c r="B13" t="s">
        <v>159</v>
      </c>
      <c r="C13">
        <v>12</v>
      </c>
      <c r="D13" t="s">
        <v>80</v>
      </c>
      <c r="E13">
        <v>6542</v>
      </c>
      <c r="F13">
        <v>8193</v>
      </c>
      <c r="G13">
        <v>4778</v>
      </c>
      <c r="H13" t="s">
        <v>123</v>
      </c>
      <c r="I13" t="s">
        <v>148</v>
      </c>
    </row>
    <row r="14" spans="1:9" ht="15" customHeight="1" x14ac:dyDescent="0.35">
      <c r="A14">
        <v>2018</v>
      </c>
      <c r="B14" t="s">
        <v>147</v>
      </c>
      <c r="C14">
        <v>1</v>
      </c>
      <c r="D14" t="s">
        <v>80</v>
      </c>
      <c r="E14">
        <v>6780</v>
      </c>
      <c r="F14">
        <v>8505</v>
      </c>
      <c r="G14">
        <v>4769</v>
      </c>
      <c r="H14" t="s">
        <v>123</v>
      </c>
      <c r="I14" t="s">
        <v>148</v>
      </c>
    </row>
    <row r="15" spans="1:9" ht="15" customHeight="1" x14ac:dyDescent="0.35">
      <c r="A15">
        <v>2018</v>
      </c>
      <c r="B15" t="s">
        <v>149</v>
      </c>
      <c r="C15">
        <v>2</v>
      </c>
      <c r="D15" t="s">
        <v>80</v>
      </c>
      <c r="E15">
        <v>7087</v>
      </c>
      <c r="F15">
        <v>8877</v>
      </c>
      <c r="G15">
        <v>5133</v>
      </c>
      <c r="H15" t="s">
        <v>123</v>
      </c>
      <c r="I15" t="s">
        <v>148</v>
      </c>
    </row>
    <row r="16" spans="1:9" ht="15" customHeight="1" x14ac:dyDescent="0.35">
      <c r="A16">
        <v>2018</v>
      </c>
      <c r="B16" t="s">
        <v>150</v>
      </c>
      <c r="C16">
        <v>3</v>
      </c>
      <c r="D16" t="s">
        <v>80</v>
      </c>
      <c r="E16">
        <v>7205</v>
      </c>
      <c r="F16">
        <v>8823</v>
      </c>
      <c r="G16">
        <v>5389</v>
      </c>
      <c r="H16" t="s">
        <v>123</v>
      </c>
      <c r="I16" t="s">
        <v>148</v>
      </c>
    </row>
    <row r="17" spans="1:9" ht="15" customHeight="1" x14ac:dyDescent="0.35">
      <c r="A17">
        <v>2018</v>
      </c>
      <c r="B17" t="s">
        <v>151</v>
      </c>
      <c r="C17">
        <v>4</v>
      </c>
      <c r="D17" t="s">
        <v>80</v>
      </c>
      <c r="E17">
        <v>7181</v>
      </c>
      <c r="F17">
        <v>8641</v>
      </c>
      <c r="G17">
        <v>4972</v>
      </c>
      <c r="H17" t="s">
        <v>124</v>
      </c>
      <c r="I17" t="s">
        <v>148</v>
      </c>
    </row>
    <row r="18" spans="1:9" ht="15" customHeight="1" x14ac:dyDescent="0.35">
      <c r="A18">
        <v>2018</v>
      </c>
      <c r="B18" t="s">
        <v>152</v>
      </c>
      <c r="C18">
        <v>5</v>
      </c>
      <c r="D18" t="s">
        <v>80</v>
      </c>
      <c r="E18">
        <v>7055</v>
      </c>
      <c r="F18">
        <v>9112</v>
      </c>
      <c r="G18">
        <v>4991</v>
      </c>
      <c r="H18" t="s">
        <v>124</v>
      </c>
      <c r="I18" t="s">
        <v>148</v>
      </c>
    </row>
    <row r="19" spans="1:9" ht="15" customHeight="1" x14ac:dyDescent="0.35">
      <c r="A19">
        <v>2018</v>
      </c>
      <c r="B19" t="s">
        <v>153</v>
      </c>
      <c r="C19">
        <v>6</v>
      </c>
      <c r="D19" t="s">
        <v>80</v>
      </c>
      <c r="E19">
        <v>6873</v>
      </c>
      <c r="F19">
        <v>9055</v>
      </c>
      <c r="G19">
        <v>5319</v>
      </c>
      <c r="H19" t="s">
        <v>124</v>
      </c>
      <c r="I19" t="s">
        <v>148</v>
      </c>
    </row>
    <row r="20" spans="1:9" ht="15" customHeight="1" x14ac:dyDescent="0.35">
      <c r="A20">
        <v>2018</v>
      </c>
      <c r="B20" t="s">
        <v>154</v>
      </c>
      <c r="C20">
        <v>7</v>
      </c>
      <c r="D20" t="s">
        <v>80</v>
      </c>
      <c r="E20">
        <v>6700</v>
      </c>
      <c r="F20">
        <v>8410</v>
      </c>
      <c r="G20">
        <v>5252</v>
      </c>
      <c r="H20" t="s">
        <v>124</v>
      </c>
      <c r="I20" t="s">
        <v>148</v>
      </c>
    </row>
    <row r="21" spans="1:9" ht="15" customHeight="1" x14ac:dyDescent="0.35">
      <c r="A21">
        <v>2018</v>
      </c>
      <c r="B21" t="s">
        <v>155</v>
      </c>
      <c r="C21">
        <v>8</v>
      </c>
      <c r="D21" t="s">
        <v>80</v>
      </c>
      <c r="E21">
        <v>6889</v>
      </c>
      <c r="F21">
        <v>8541</v>
      </c>
      <c r="G21">
        <v>5366</v>
      </c>
      <c r="H21" t="s">
        <v>124</v>
      </c>
      <c r="I21" t="s">
        <v>148</v>
      </c>
    </row>
    <row r="22" spans="1:9" ht="15" customHeight="1" x14ac:dyDescent="0.35">
      <c r="A22">
        <v>2018</v>
      </c>
      <c r="B22" t="s">
        <v>156</v>
      </c>
      <c r="C22">
        <v>9</v>
      </c>
      <c r="D22" t="s">
        <v>80</v>
      </c>
      <c r="E22">
        <v>7218</v>
      </c>
      <c r="F22">
        <v>8979</v>
      </c>
      <c r="G22">
        <v>5587</v>
      </c>
      <c r="H22" t="s">
        <v>124</v>
      </c>
      <c r="I22" t="s">
        <v>148</v>
      </c>
    </row>
    <row r="23" spans="1:9" ht="15" customHeight="1" x14ac:dyDescent="0.35">
      <c r="A23">
        <v>2018</v>
      </c>
      <c r="B23" t="s">
        <v>157</v>
      </c>
      <c r="C23">
        <v>10</v>
      </c>
      <c r="D23" t="s">
        <v>80</v>
      </c>
      <c r="E23">
        <v>7475</v>
      </c>
      <c r="F23">
        <v>9203</v>
      </c>
      <c r="G23">
        <v>2748</v>
      </c>
      <c r="H23" t="s">
        <v>124</v>
      </c>
      <c r="I23" t="s">
        <v>148</v>
      </c>
    </row>
    <row r="24" spans="1:9" ht="15" customHeight="1" x14ac:dyDescent="0.35">
      <c r="A24">
        <v>2018</v>
      </c>
      <c r="B24" t="s">
        <v>158</v>
      </c>
      <c r="C24">
        <v>11</v>
      </c>
      <c r="D24" t="s">
        <v>80</v>
      </c>
      <c r="E24">
        <v>7355</v>
      </c>
      <c r="F24">
        <v>8931</v>
      </c>
      <c r="G24">
        <v>5604</v>
      </c>
      <c r="H24" t="s">
        <v>124</v>
      </c>
      <c r="I24" t="s">
        <v>148</v>
      </c>
    </row>
    <row r="25" spans="1:9" ht="15" customHeight="1" x14ac:dyDescent="0.35">
      <c r="A25">
        <v>2018</v>
      </c>
      <c r="B25" t="s">
        <v>159</v>
      </c>
      <c r="C25">
        <v>12</v>
      </c>
      <c r="D25" t="s">
        <v>80</v>
      </c>
      <c r="E25">
        <v>6915</v>
      </c>
      <c r="F25">
        <v>8399</v>
      </c>
      <c r="G25">
        <v>4897</v>
      </c>
      <c r="H25" t="s">
        <v>124</v>
      </c>
      <c r="I25" t="s">
        <v>148</v>
      </c>
    </row>
    <row r="26" spans="1:9" ht="15" customHeight="1" x14ac:dyDescent="0.35">
      <c r="A26">
        <v>2019</v>
      </c>
      <c r="B26" t="s">
        <v>147</v>
      </c>
      <c r="C26">
        <v>1</v>
      </c>
      <c r="D26" t="s">
        <v>80</v>
      </c>
      <c r="E26">
        <v>6677</v>
      </c>
      <c r="F26">
        <v>8426</v>
      </c>
      <c r="G26">
        <v>4838</v>
      </c>
      <c r="H26" t="s">
        <v>124</v>
      </c>
      <c r="I26" t="s">
        <v>148</v>
      </c>
    </row>
    <row r="27" spans="1:9" ht="15" customHeight="1" x14ac:dyDescent="0.35">
      <c r="A27">
        <v>2019</v>
      </c>
      <c r="B27" t="s">
        <v>149</v>
      </c>
      <c r="C27">
        <v>2</v>
      </c>
      <c r="D27" t="s">
        <v>80</v>
      </c>
      <c r="E27">
        <v>7320</v>
      </c>
      <c r="F27">
        <v>8876</v>
      </c>
      <c r="G27">
        <v>5219</v>
      </c>
      <c r="H27" t="s">
        <v>124</v>
      </c>
      <c r="I27" t="s">
        <v>148</v>
      </c>
    </row>
    <row r="28" spans="1:9" ht="15" customHeight="1" x14ac:dyDescent="0.35">
      <c r="A28">
        <v>2019</v>
      </c>
      <c r="B28" t="s">
        <v>150</v>
      </c>
      <c r="C28">
        <v>3</v>
      </c>
      <c r="D28" t="s">
        <v>80</v>
      </c>
      <c r="E28">
        <v>8080</v>
      </c>
      <c r="F28">
        <v>9132</v>
      </c>
      <c r="G28">
        <v>6449</v>
      </c>
      <c r="H28" t="s">
        <v>124</v>
      </c>
      <c r="I28" t="s">
        <v>148</v>
      </c>
    </row>
    <row r="29" spans="1:9" ht="15" customHeight="1" x14ac:dyDescent="0.35">
      <c r="A29">
        <v>2019</v>
      </c>
      <c r="B29" t="s">
        <v>151</v>
      </c>
      <c r="C29">
        <v>4</v>
      </c>
      <c r="D29" t="s">
        <v>80</v>
      </c>
      <c r="E29">
        <v>7893</v>
      </c>
      <c r="F29">
        <v>9078</v>
      </c>
      <c r="G29">
        <v>5953</v>
      </c>
      <c r="H29" t="s">
        <v>71</v>
      </c>
      <c r="I29" t="s">
        <v>148</v>
      </c>
    </row>
    <row r="30" spans="1:9" ht="15" customHeight="1" x14ac:dyDescent="0.35">
      <c r="A30">
        <v>2019</v>
      </c>
      <c r="B30" t="s">
        <v>152</v>
      </c>
      <c r="C30">
        <v>5</v>
      </c>
      <c r="D30" t="s">
        <v>80</v>
      </c>
      <c r="E30">
        <v>8109</v>
      </c>
      <c r="F30">
        <v>9706</v>
      </c>
      <c r="G30">
        <v>6268</v>
      </c>
      <c r="H30" t="s">
        <v>71</v>
      </c>
      <c r="I30" t="s">
        <v>148</v>
      </c>
    </row>
    <row r="31" spans="1:9" ht="15" customHeight="1" x14ac:dyDescent="0.35">
      <c r="A31">
        <v>2019</v>
      </c>
      <c r="B31" t="s">
        <v>153</v>
      </c>
      <c r="C31">
        <v>6</v>
      </c>
      <c r="D31" t="s">
        <v>80</v>
      </c>
      <c r="E31">
        <v>7731</v>
      </c>
      <c r="F31">
        <v>9983</v>
      </c>
      <c r="G31">
        <v>5984</v>
      </c>
      <c r="H31" t="s">
        <v>71</v>
      </c>
      <c r="I31" t="s">
        <v>148</v>
      </c>
    </row>
    <row r="32" spans="1:9" ht="15" customHeight="1" x14ac:dyDescent="0.35">
      <c r="A32">
        <v>2019</v>
      </c>
      <c r="B32" t="s">
        <v>154</v>
      </c>
      <c r="C32">
        <v>7</v>
      </c>
      <c r="D32" t="s">
        <v>80</v>
      </c>
      <c r="E32">
        <v>7124</v>
      </c>
      <c r="F32">
        <v>9102</v>
      </c>
      <c r="G32">
        <v>5555</v>
      </c>
      <c r="H32" t="s">
        <v>71</v>
      </c>
      <c r="I32" t="s">
        <v>148</v>
      </c>
    </row>
    <row r="33" spans="1:9" ht="15" customHeight="1" x14ac:dyDescent="0.35">
      <c r="A33">
        <v>2019</v>
      </c>
      <c r="B33" t="s">
        <v>155</v>
      </c>
      <c r="C33">
        <v>8</v>
      </c>
      <c r="D33" t="s">
        <v>80</v>
      </c>
      <c r="E33">
        <v>6930</v>
      </c>
      <c r="F33">
        <v>9035</v>
      </c>
      <c r="G33">
        <v>5476</v>
      </c>
      <c r="H33" t="s">
        <v>71</v>
      </c>
      <c r="I33" t="s">
        <v>148</v>
      </c>
    </row>
    <row r="34" spans="1:9" ht="15" customHeight="1" x14ac:dyDescent="0.35">
      <c r="A34">
        <v>2019</v>
      </c>
      <c r="B34" t="s">
        <v>156</v>
      </c>
      <c r="C34">
        <v>9</v>
      </c>
      <c r="D34" t="s">
        <v>80</v>
      </c>
      <c r="E34">
        <v>6743</v>
      </c>
      <c r="F34">
        <v>8534</v>
      </c>
      <c r="G34">
        <v>5768</v>
      </c>
      <c r="H34" t="s">
        <v>71</v>
      </c>
      <c r="I34" t="s">
        <v>148</v>
      </c>
    </row>
    <row r="35" spans="1:9" ht="15" customHeight="1" x14ac:dyDescent="0.35">
      <c r="A35">
        <v>2019</v>
      </c>
      <c r="B35" t="s">
        <v>157</v>
      </c>
      <c r="C35">
        <v>10</v>
      </c>
      <c r="D35" t="s">
        <v>80</v>
      </c>
      <c r="E35">
        <v>6457</v>
      </c>
      <c r="F35">
        <v>7874</v>
      </c>
      <c r="G35">
        <v>5215</v>
      </c>
      <c r="H35" t="s">
        <v>71</v>
      </c>
      <c r="I35" t="s">
        <v>148</v>
      </c>
    </row>
    <row r="36" spans="1:9" ht="15" customHeight="1" x14ac:dyDescent="0.35">
      <c r="A36">
        <v>2019</v>
      </c>
      <c r="B36" t="s">
        <v>158</v>
      </c>
      <c r="C36">
        <v>11</v>
      </c>
      <c r="D36" t="s">
        <v>80</v>
      </c>
      <c r="E36">
        <v>6938</v>
      </c>
      <c r="F36">
        <v>8337</v>
      </c>
      <c r="G36">
        <v>5715</v>
      </c>
      <c r="H36" t="s">
        <v>71</v>
      </c>
      <c r="I36" t="s">
        <v>148</v>
      </c>
    </row>
    <row r="37" spans="1:9" ht="15" customHeight="1" x14ac:dyDescent="0.35">
      <c r="A37">
        <v>2019</v>
      </c>
      <c r="B37" t="s">
        <v>159</v>
      </c>
      <c r="C37">
        <v>12</v>
      </c>
      <c r="D37" t="s">
        <v>80</v>
      </c>
      <c r="E37">
        <v>6659</v>
      </c>
      <c r="F37">
        <v>8895</v>
      </c>
      <c r="G37">
        <v>5354</v>
      </c>
      <c r="H37" t="s">
        <v>71</v>
      </c>
      <c r="I37" t="s">
        <v>148</v>
      </c>
    </row>
    <row r="38" spans="1:9" ht="15" customHeight="1" x14ac:dyDescent="0.35">
      <c r="A38">
        <v>2020</v>
      </c>
      <c r="B38" t="s">
        <v>147</v>
      </c>
      <c r="C38">
        <v>1</v>
      </c>
      <c r="D38" t="s">
        <v>80</v>
      </c>
      <c r="E38">
        <v>7174</v>
      </c>
      <c r="F38">
        <v>9431</v>
      </c>
      <c r="G38">
        <v>5059</v>
      </c>
      <c r="H38" t="s">
        <v>71</v>
      </c>
      <c r="I38" t="s">
        <v>148</v>
      </c>
    </row>
    <row r="39" spans="1:9" ht="15" customHeight="1" x14ac:dyDescent="0.35">
      <c r="A39">
        <v>2020</v>
      </c>
      <c r="B39" t="s">
        <v>149</v>
      </c>
      <c r="C39">
        <v>2</v>
      </c>
      <c r="D39" t="s">
        <v>80</v>
      </c>
      <c r="E39">
        <v>7915</v>
      </c>
      <c r="F39">
        <v>9804</v>
      </c>
      <c r="G39">
        <v>6105</v>
      </c>
      <c r="H39" t="s">
        <v>71</v>
      </c>
      <c r="I39" t="s">
        <v>148</v>
      </c>
    </row>
    <row r="40" spans="1:9" ht="15" customHeight="1" x14ac:dyDescent="0.35">
      <c r="A40">
        <v>2020</v>
      </c>
      <c r="B40" t="s">
        <v>150</v>
      </c>
      <c r="C40">
        <v>3</v>
      </c>
      <c r="D40" t="s">
        <v>80</v>
      </c>
      <c r="E40">
        <v>7732</v>
      </c>
      <c r="F40">
        <v>10134</v>
      </c>
      <c r="G40">
        <v>5317</v>
      </c>
      <c r="H40" t="s">
        <v>71</v>
      </c>
      <c r="I40" t="s">
        <v>148</v>
      </c>
    </row>
    <row r="41" spans="1:9" ht="15" customHeight="1" x14ac:dyDescent="0.35">
      <c r="A41">
        <v>2020</v>
      </c>
      <c r="B41" t="s">
        <v>151</v>
      </c>
      <c r="C41">
        <v>4</v>
      </c>
      <c r="D41" t="s">
        <v>80</v>
      </c>
      <c r="E41">
        <v>6610</v>
      </c>
      <c r="F41">
        <v>8517</v>
      </c>
      <c r="G41">
        <v>4222</v>
      </c>
      <c r="H41" t="s">
        <v>72</v>
      </c>
      <c r="I41" t="s">
        <v>148</v>
      </c>
    </row>
    <row r="42" spans="1:9" ht="15" customHeight="1" x14ac:dyDescent="0.35">
      <c r="A42">
        <v>2020</v>
      </c>
      <c r="B42" t="s">
        <v>152</v>
      </c>
      <c r="C42">
        <v>5</v>
      </c>
      <c r="D42" t="s">
        <v>80</v>
      </c>
      <c r="E42">
        <v>7434</v>
      </c>
      <c r="F42">
        <v>10257</v>
      </c>
      <c r="G42">
        <v>5151</v>
      </c>
      <c r="H42" t="s">
        <v>72</v>
      </c>
      <c r="I42" t="s">
        <v>148</v>
      </c>
    </row>
    <row r="43" spans="1:9" ht="15" customHeight="1" x14ac:dyDescent="0.35">
      <c r="A43">
        <v>2020</v>
      </c>
      <c r="B43" t="s">
        <v>153</v>
      </c>
      <c r="C43">
        <v>6</v>
      </c>
      <c r="D43" t="s">
        <v>80</v>
      </c>
      <c r="E43">
        <v>6994</v>
      </c>
      <c r="F43">
        <v>9320</v>
      </c>
      <c r="G43">
        <v>5142</v>
      </c>
      <c r="H43" t="s">
        <v>72</v>
      </c>
      <c r="I43" t="s">
        <v>148</v>
      </c>
    </row>
    <row r="44" spans="1:9" ht="15" customHeight="1" x14ac:dyDescent="0.35">
      <c r="A44">
        <v>2020</v>
      </c>
      <c r="B44" t="s">
        <v>154</v>
      </c>
      <c r="C44">
        <v>7</v>
      </c>
      <c r="D44" t="s">
        <v>80</v>
      </c>
      <c r="E44">
        <v>6298</v>
      </c>
      <c r="F44">
        <v>8214</v>
      </c>
      <c r="G44">
        <v>5019</v>
      </c>
      <c r="H44" t="s">
        <v>72</v>
      </c>
      <c r="I44" t="s">
        <v>148</v>
      </c>
    </row>
    <row r="45" spans="1:9" ht="15" customHeight="1" x14ac:dyDescent="0.35">
      <c r="A45">
        <v>2020</v>
      </c>
      <c r="B45" t="s">
        <v>155</v>
      </c>
      <c r="C45">
        <v>8</v>
      </c>
      <c r="D45" t="s">
        <v>80</v>
      </c>
      <c r="E45">
        <v>6701</v>
      </c>
      <c r="F45">
        <v>8738</v>
      </c>
      <c r="G45">
        <v>5038</v>
      </c>
      <c r="H45" t="s">
        <v>72</v>
      </c>
      <c r="I45" t="s">
        <v>148</v>
      </c>
    </row>
    <row r="46" spans="1:9" ht="15" customHeight="1" x14ac:dyDescent="0.35">
      <c r="A46">
        <v>2020</v>
      </c>
      <c r="B46" t="s">
        <v>156</v>
      </c>
      <c r="C46">
        <v>9</v>
      </c>
      <c r="D46" t="s">
        <v>80</v>
      </c>
      <c r="E46">
        <v>6836</v>
      </c>
      <c r="F46">
        <v>9223</v>
      </c>
      <c r="G46">
        <v>5350</v>
      </c>
      <c r="H46" t="s">
        <v>72</v>
      </c>
      <c r="I46" t="s">
        <v>148</v>
      </c>
    </row>
    <row r="47" spans="1:9" ht="15" customHeight="1" x14ac:dyDescent="0.35">
      <c r="A47">
        <v>2020</v>
      </c>
      <c r="B47" t="s">
        <v>157</v>
      </c>
      <c r="C47">
        <v>10</v>
      </c>
      <c r="D47" t="s">
        <v>80</v>
      </c>
      <c r="E47">
        <v>6548</v>
      </c>
      <c r="F47">
        <v>8751</v>
      </c>
      <c r="G47">
        <v>4540</v>
      </c>
      <c r="H47" t="s">
        <v>72</v>
      </c>
      <c r="I47" t="s">
        <v>148</v>
      </c>
    </row>
    <row r="48" spans="1:9" ht="15" customHeight="1" x14ac:dyDescent="0.35">
      <c r="A48">
        <v>2020</v>
      </c>
      <c r="B48" t="s">
        <v>158</v>
      </c>
      <c r="C48">
        <v>11</v>
      </c>
      <c r="D48" t="s">
        <v>80</v>
      </c>
      <c r="E48">
        <v>6756</v>
      </c>
      <c r="F48">
        <v>9382</v>
      </c>
      <c r="G48">
        <v>3877</v>
      </c>
      <c r="H48" t="s">
        <v>72</v>
      </c>
      <c r="I48" t="s">
        <v>148</v>
      </c>
    </row>
    <row r="49" spans="1:9" ht="15" customHeight="1" x14ac:dyDescent="0.35">
      <c r="A49">
        <v>2020</v>
      </c>
      <c r="B49" t="s">
        <v>159</v>
      </c>
      <c r="C49">
        <v>12</v>
      </c>
      <c r="D49" t="s">
        <v>80</v>
      </c>
      <c r="E49">
        <v>6579</v>
      </c>
      <c r="F49">
        <v>8808</v>
      </c>
      <c r="G49">
        <v>5068</v>
      </c>
      <c r="H49" t="s">
        <v>72</v>
      </c>
      <c r="I49" t="s">
        <v>148</v>
      </c>
    </row>
    <row r="50" spans="1:9" ht="15" customHeight="1" x14ac:dyDescent="0.35">
      <c r="A50">
        <v>2021</v>
      </c>
      <c r="B50" t="s">
        <v>147</v>
      </c>
      <c r="C50">
        <v>1</v>
      </c>
      <c r="D50" t="s">
        <v>80</v>
      </c>
      <c r="E50">
        <v>7429</v>
      </c>
      <c r="F50">
        <v>10356</v>
      </c>
      <c r="G50">
        <v>5224</v>
      </c>
      <c r="H50" t="s">
        <v>72</v>
      </c>
      <c r="I50" t="s">
        <v>148</v>
      </c>
    </row>
    <row r="51" spans="1:9" ht="15" customHeight="1" x14ac:dyDescent="0.35">
      <c r="A51">
        <v>2021</v>
      </c>
      <c r="B51" t="s">
        <v>149</v>
      </c>
      <c r="C51">
        <v>2</v>
      </c>
      <c r="D51" t="s">
        <v>80</v>
      </c>
      <c r="E51">
        <v>7943</v>
      </c>
      <c r="F51">
        <v>10276</v>
      </c>
      <c r="G51">
        <v>5808</v>
      </c>
      <c r="H51" t="s">
        <v>72</v>
      </c>
      <c r="I51" t="s">
        <v>148</v>
      </c>
    </row>
    <row r="52" spans="1:9" ht="15" customHeight="1" x14ac:dyDescent="0.35">
      <c r="A52">
        <v>2021</v>
      </c>
      <c r="B52" t="s">
        <v>150</v>
      </c>
      <c r="C52">
        <v>3</v>
      </c>
      <c r="D52" t="s">
        <v>80</v>
      </c>
      <c r="E52">
        <v>8976</v>
      </c>
      <c r="F52">
        <v>11089</v>
      </c>
      <c r="G52">
        <v>6856</v>
      </c>
      <c r="H52" t="s">
        <v>72</v>
      </c>
      <c r="I52" t="s">
        <v>148</v>
      </c>
    </row>
    <row r="53" spans="1:9" ht="15" customHeight="1" x14ac:dyDescent="0.35">
      <c r="A53">
        <v>2021</v>
      </c>
      <c r="B53" t="s">
        <v>151</v>
      </c>
      <c r="C53">
        <v>4</v>
      </c>
      <c r="D53" t="s">
        <v>80</v>
      </c>
      <c r="E53">
        <v>8790</v>
      </c>
      <c r="F53">
        <v>11385</v>
      </c>
      <c r="G53">
        <v>5888</v>
      </c>
      <c r="H53" t="s">
        <v>73</v>
      </c>
      <c r="I53" t="s">
        <v>148</v>
      </c>
    </row>
    <row r="54" spans="1:9" ht="15" customHeight="1" x14ac:dyDescent="0.35">
      <c r="A54">
        <v>2021</v>
      </c>
      <c r="B54" t="s">
        <v>152</v>
      </c>
      <c r="C54">
        <v>5</v>
      </c>
      <c r="D54" t="s">
        <v>80</v>
      </c>
      <c r="E54">
        <v>7847</v>
      </c>
      <c r="F54">
        <v>10126</v>
      </c>
      <c r="G54">
        <v>5691</v>
      </c>
      <c r="H54" t="s">
        <v>73</v>
      </c>
      <c r="I54" t="s">
        <v>148</v>
      </c>
    </row>
    <row r="55" spans="1:9" ht="15" customHeight="1" x14ac:dyDescent="0.35">
      <c r="A55">
        <v>2021</v>
      </c>
      <c r="B55" t="s">
        <v>153</v>
      </c>
      <c r="C55">
        <v>6</v>
      </c>
      <c r="D55" t="s">
        <v>80</v>
      </c>
      <c r="E55">
        <v>7725</v>
      </c>
      <c r="F55">
        <v>9922</v>
      </c>
      <c r="G55">
        <v>6180</v>
      </c>
      <c r="H55" t="s">
        <v>73</v>
      </c>
      <c r="I55" t="s">
        <v>148</v>
      </c>
    </row>
    <row r="56" spans="1:9" ht="15" customHeight="1" x14ac:dyDescent="0.35">
      <c r="A56">
        <v>2021</v>
      </c>
      <c r="B56" t="s">
        <v>154</v>
      </c>
      <c r="C56">
        <v>7</v>
      </c>
      <c r="D56" t="s">
        <v>80</v>
      </c>
      <c r="E56">
        <v>7099</v>
      </c>
      <c r="F56">
        <v>9359</v>
      </c>
      <c r="G56">
        <v>5274</v>
      </c>
      <c r="H56" t="s">
        <v>73</v>
      </c>
      <c r="I56" t="s">
        <v>148</v>
      </c>
    </row>
    <row r="57" spans="1:9" ht="15" customHeight="1" x14ac:dyDescent="0.35">
      <c r="A57">
        <v>2021</v>
      </c>
      <c r="B57" t="s">
        <v>155</v>
      </c>
      <c r="C57">
        <v>8</v>
      </c>
      <c r="D57" t="s">
        <v>80</v>
      </c>
      <c r="E57">
        <v>8184</v>
      </c>
      <c r="F57">
        <v>10833</v>
      </c>
      <c r="G57">
        <v>6397</v>
      </c>
      <c r="H57" t="s">
        <v>73</v>
      </c>
      <c r="I57" t="s">
        <v>148</v>
      </c>
    </row>
    <row r="58" spans="1:9" ht="15" customHeight="1" x14ac:dyDescent="0.35">
      <c r="A58">
        <v>2021</v>
      </c>
      <c r="B58" t="s">
        <v>156</v>
      </c>
      <c r="C58">
        <v>9</v>
      </c>
      <c r="D58" t="s">
        <v>80</v>
      </c>
      <c r="E58">
        <v>7902</v>
      </c>
      <c r="F58">
        <v>10302</v>
      </c>
      <c r="G58">
        <v>5874</v>
      </c>
      <c r="H58" t="s">
        <v>73</v>
      </c>
      <c r="I58" t="s">
        <v>148</v>
      </c>
    </row>
    <row r="59" spans="1:9" ht="15" customHeight="1" x14ac:dyDescent="0.35">
      <c r="A59">
        <v>2021</v>
      </c>
      <c r="B59" t="s">
        <v>157</v>
      </c>
      <c r="C59">
        <v>10</v>
      </c>
      <c r="D59" t="s">
        <v>80</v>
      </c>
      <c r="E59">
        <v>7846</v>
      </c>
      <c r="F59">
        <v>9814</v>
      </c>
      <c r="G59">
        <v>6494</v>
      </c>
      <c r="H59" t="s">
        <v>73</v>
      </c>
      <c r="I59" t="s">
        <v>148</v>
      </c>
    </row>
    <row r="60" spans="1:9" ht="15" customHeight="1" x14ac:dyDescent="0.35">
      <c r="A60">
        <v>2021</v>
      </c>
      <c r="B60" t="s">
        <v>158</v>
      </c>
      <c r="C60">
        <v>11</v>
      </c>
      <c r="D60" t="s">
        <v>80</v>
      </c>
      <c r="E60">
        <v>6450</v>
      </c>
      <c r="F60">
        <v>7804</v>
      </c>
      <c r="G60">
        <v>5318</v>
      </c>
      <c r="H60" t="s">
        <v>73</v>
      </c>
      <c r="I60" t="s">
        <v>148</v>
      </c>
    </row>
    <row r="61" spans="1:9" ht="15" customHeight="1" x14ac:dyDescent="0.35">
      <c r="A61">
        <v>2021</v>
      </c>
      <c r="B61" t="s">
        <v>159</v>
      </c>
      <c r="C61">
        <v>12</v>
      </c>
      <c r="D61" t="s">
        <v>80</v>
      </c>
      <c r="E61">
        <v>6876</v>
      </c>
      <c r="F61">
        <v>9351</v>
      </c>
      <c r="G61">
        <v>4602</v>
      </c>
      <c r="H61" t="s">
        <v>73</v>
      </c>
      <c r="I61" t="s">
        <v>148</v>
      </c>
    </row>
    <row r="62" spans="1:9" ht="15" customHeight="1" x14ac:dyDescent="0.35">
      <c r="A62">
        <v>2022</v>
      </c>
      <c r="B62" t="s">
        <v>147</v>
      </c>
      <c r="C62">
        <v>1</v>
      </c>
      <c r="D62" t="s">
        <v>80</v>
      </c>
      <c r="E62">
        <v>7469</v>
      </c>
      <c r="F62">
        <v>10372</v>
      </c>
      <c r="G62">
        <v>5096</v>
      </c>
      <c r="H62" t="s">
        <v>73</v>
      </c>
      <c r="I62" t="s">
        <v>148</v>
      </c>
    </row>
    <row r="63" spans="1:9" ht="15" customHeight="1" x14ac:dyDescent="0.35">
      <c r="A63">
        <v>2022</v>
      </c>
      <c r="B63" t="s">
        <v>149</v>
      </c>
      <c r="C63">
        <v>2</v>
      </c>
      <c r="D63" t="s">
        <v>80</v>
      </c>
      <c r="E63">
        <v>8352</v>
      </c>
      <c r="F63">
        <v>11073</v>
      </c>
      <c r="G63">
        <v>5160</v>
      </c>
      <c r="H63" t="s">
        <v>73</v>
      </c>
      <c r="I63" t="s">
        <v>148</v>
      </c>
    </row>
    <row r="64" spans="1:9" ht="15" customHeight="1" x14ac:dyDescent="0.35">
      <c r="A64">
        <v>2022</v>
      </c>
      <c r="B64" t="s">
        <v>150</v>
      </c>
      <c r="C64">
        <v>3</v>
      </c>
      <c r="D64" t="s">
        <v>80</v>
      </c>
      <c r="E64">
        <v>9224</v>
      </c>
      <c r="F64">
        <v>11991</v>
      </c>
      <c r="G64">
        <v>6941</v>
      </c>
      <c r="H64" t="s">
        <v>73</v>
      </c>
      <c r="I64" t="s">
        <v>148</v>
      </c>
    </row>
    <row r="65" spans="1:9" ht="15" customHeight="1" x14ac:dyDescent="0.35">
      <c r="A65">
        <v>2022</v>
      </c>
      <c r="B65" t="s">
        <v>151</v>
      </c>
      <c r="C65">
        <v>4</v>
      </c>
      <c r="D65" t="s">
        <v>80</v>
      </c>
      <c r="E65">
        <v>8878</v>
      </c>
      <c r="F65">
        <v>12179</v>
      </c>
      <c r="G65">
        <v>6810</v>
      </c>
      <c r="H65" t="s">
        <v>74</v>
      </c>
      <c r="I65" t="s">
        <v>148</v>
      </c>
    </row>
    <row r="66" spans="1:9" ht="15" customHeight="1" x14ac:dyDescent="0.35">
      <c r="A66">
        <v>2022</v>
      </c>
      <c r="B66" t="s">
        <v>152</v>
      </c>
      <c r="C66">
        <v>5</v>
      </c>
      <c r="D66" t="s">
        <v>80</v>
      </c>
      <c r="E66">
        <v>8184</v>
      </c>
      <c r="F66">
        <v>11044</v>
      </c>
      <c r="G66">
        <v>5747</v>
      </c>
      <c r="H66" t="s">
        <v>74</v>
      </c>
      <c r="I66" t="s">
        <v>148</v>
      </c>
    </row>
    <row r="67" spans="1:9" ht="15" customHeight="1" x14ac:dyDescent="0.35">
      <c r="A67">
        <v>2022</v>
      </c>
      <c r="B67" t="s">
        <v>153</v>
      </c>
      <c r="C67">
        <v>6</v>
      </c>
      <c r="D67" t="s">
        <v>80</v>
      </c>
      <c r="E67">
        <v>8582</v>
      </c>
      <c r="F67">
        <v>11243</v>
      </c>
      <c r="G67">
        <v>6741</v>
      </c>
      <c r="H67" t="s">
        <v>74</v>
      </c>
      <c r="I67" t="s">
        <v>148</v>
      </c>
    </row>
    <row r="68" spans="1:9" ht="15" customHeight="1" x14ac:dyDescent="0.35">
      <c r="A68">
        <v>2022</v>
      </c>
      <c r="B68" t="s">
        <v>154</v>
      </c>
      <c r="C68">
        <v>7</v>
      </c>
      <c r="D68" t="s">
        <v>80</v>
      </c>
      <c r="E68">
        <v>7674</v>
      </c>
      <c r="F68">
        <v>9647</v>
      </c>
      <c r="G68">
        <v>5935</v>
      </c>
      <c r="H68" t="s">
        <v>74</v>
      </c>
      <c r="I68" t="s">
        <v>148</v>
      </c>
    </row>
    <row r="69" spans="1:9" ht="15" customHeight="1" x14ac:dyDescent="0.35">
      <c r="A69">
        <v>2022</v>
      </c>
      <c r="B69" t="s">
        <v>155</v>
      </c>
      <c r="C69">
        <v>8</v>
      </c>
      <c r="D69" t="s">
        <v>80</v>
      </c>
      <c r="E69">
        <v>8023</v>
      </c>
      <c r="F69">
        <v>11199</v>
      </c>
      <c r="G69">
        <v>5985</v>
      </c>
      <c r="H69" t="s">
        <v>74</v>
      </c>
      <c r="I69" t="s">
        <v>148</v>
      </c>
    </row>
    <row r="70" spans="1:9" ht="15" customHeight="1" x14ac:dyDescent="0.35">
      <c r="A70">
        <v>2022</v>
      </c>
      <c r="B70" t="s">
        <v>156</v>
      </c>
      <c r="C70">
        <v>9</v>
      </c>
      <c r="D70" t="s">
        <v>80</v>
      </c>
      <c r="E70">
        <v>8229</v>
      </c>
      <c r="F70">
        <v>10535</v>
      </c>
      <c r="G70">
        <v>6095</v>
      </c>
      <c r="H70" t="s">
        <v>74</v>
      </c>
      <c r="I70" t="s">
        <v>148</v>
      </c>
    </row>
    <row r="71" spans="1:9" ht="15" customHeight="1" x14ac:dyDescent="0.35">
      <c r="A71">
        <v>2022</v>
      </c>
      <c r="B71" t="s">
        <v>157</v>
      </c>
      <c r="C71">
        <v>10</v>
      </c>
      <c r="D71" t="s">
        <v>80</v>
      </c>
      <c r="E71">
        <v>7248</v>
      </c>
      <c r="F71">
        <v>9466</v>
      </c>
      <c r="G71">
        <v>5847</v>
      </c>
      <c r="H71" t="s">
        <v>74</v>
      </c>
      <c r="I71" t="s">
        <v>148</v>
      </c>
    </row>
    <row r="72" spans="1:9" ht="15" customHeight="1" x14ac:dyDescent="0.35">
      <c r="A72">
        <v>2022</v>
      </c>
      <c r="B72" t="s">
        <v>158</v>
      </c>
      <c r="C72">
        <v>11</v>
      </c>
      <c r="D72" t="s">
        <v>80</v>
      </c>
      <c r="E72">
        <v>7592</v>
      </c>
      <c r="F72">
        <v>9523</v>
      </c>
      <c r="G72">
        <v>5642</v>
      </c>
      <c r="H72" t="s">
        <v>74</v>
      </c>
      <c r="I72" t="s">
        <v>148</v>
      </c>
    </row>
    <row r="73" spans="1:9" ht="15" customHeight="1" x14ac:dyDescent="0.35">
      <c r="A73">
        <v>2022</v>
      </c>
      <c r="B73" t="s">
        <v>159</v>
      </c>
      <c r="C73">
        <v>12</v>
      </c>
      <c r="D73" t="s">
        <v>80</v>
      </c>
      <c r="E73">
        <v>7470</v>
      </c>
      <c r="F73">
        <v>10212</v>
      </c>
      <c r="G73">
        <v>5170</v>
      </c>
      <c r="H73" t="s">
        <v>74</v>
      </c>
      <c r="I73" t="s">
        <v>148</v>
      </c>
    </row>
    <row r="74" spans="1:9" ht="15" customHeight="1" x14ac:dyDescent="0.35">
      <c r="A74">
        <v>2023</v>
      </c>
      <c r="B74" t="s">
        <v>147</v>
      </c>
      <c r="C74">
        <v>1</v>
      </c>
      <c r="D74" t="s">
        <v>80</v>
      </c>
      <c r="E74">
        <v>8248</v>
      </c>
      <c r="F74">
        <v>11244</v>
      </c>
      <c r="G74">
        <v>5646</v>
      </c>
      <c r="H74" t="s">
        <v>74</v>
      </c>
      <c r="I74" t="s">
        <v>148</v>
      </c>
    </row>
    <row r="75" spans="1:9" ht="15" customHeight="1" x14ac:dyDescent="0.35">
      <c r="A75">
        <v>2023</v>
      </c>
      <c r="B75" t="s">
        <v>149</v>
      </c>
      <c r="C75">
        <v>2</v>
      </c>
      <c r="D75" t="s">
        <v>80</v>
      </c>
      <c r="E75">
        <v>8679</v>
      </c>
      <c r="F75">
        <v>11636</v>
      </c>
      <c r="G75">
        <v>6232</v>
      </c>
      <c r="H75" t="s">
        <v>74</v>
      </c>
      <c r="I75" t="s">
        <v>148</v>
      </c>
    </row>
    <row r="76" spans="1:9" ht="15" customHeight="1" x14ac:dyDescent="0.35">
      <c r="A76">
        <v>2023</v>
      </c>
      <c r="B76" t="s">
        <v>150</v>
      </c>
      <c r="C76">
        <v>3</v>
      </c>
      <c r="D76" t="s">
        <v>80</v>
      </c>
      <c r="E76">
        <v>9056</v>
      </c>
      <c r="F76">
        <v>12033</v>
      </c>
      <c r="G76">
        <v>5568</v>
      </c>
      <c r="H76" t="s">
        <v>74</v>
      </c>
      <c r="I76" t="s">
        <v>148</v>
      </c>
    </row>
    <row r="77" spans="1:9" ht="15" customHeight="1" x14ac:dyDescent="0.35">
      <c r="A77">
        <v>2023</v>
      </c>
      <c r="B77" t="s">
        <v>151</v>
      </c>
      <c r="C77">
        <v>4</v>
      </c>
      <c r="D77" t="s">
        <v>80</v>
      </c>
      <c r="E77">
        <v>9696</v>
      </c>
      <c r="F77">
        <v>12423</v>
      </c>
      <c r="G77">
        <v>7495</v>
      </c>
      <c r="H77" t="s">
        <v>75</v>
      </c>
      <c r="I77" t="s">
        <v>148</v>
      </c>
    </row>
    <row r="78" spans="1:9" ht="15" customHeight="1" x14ac:dyDescent="0.35">
      <c r="A78">
        <v>2023</v>
      </c>
      <c r="B78" t="s">
        <v>152</v>
      </c>
      <c r="C78">
        <v>5</v>
      </c>
      <c r="D78" t="s">
        <v>80</v>
      </c>
      <c r="E78">
        <v>9267</v>
      </c>
      <c r="F78">
        <v>12554</v>
      </c>
      <c r="G78">
        <v>6665</v>
      </c>
      <c r="H78" t="s">
        <v>75</v>
      </c>
      <c r="I78" t="s">
        <v>148</v>
      </c>
    </row>
    <row r="79" spans="1:9" ht="15" customHeight="1" x14ac:dyDescent="0.35">
      <c r="A79">
        <v>2023</v>
      </c>
      <c r="B79" t="s">
        <v>153</v>
      </c>
      <c r="C79">
        <v>6</v>
      </c>
      <c r="D79" t="s">
        <v>80</v>
      </c>
      <c r="E79">
        <v>9817</v>
      </c>
      <c r="F79">
        <v>12886</v>
      </c>
      <c r="G79">
        <v>6962</v>
      </c>
      <c r="H79" t="s">
        <v>75</v>
      </c>
      <c r="I79" t="s">
        <v>148</v>
      </c>
    </row>
    <row r="80" spans="1:9" ht="15" customHeight="1" x14ac:dyDescent="0.35">
      <c r="A80">
        <v>2023</v>
      </c>
      <c r="B80" t="s">
        <v>154</v>
      </c>
      <c r="C80">
        <v>7</v>
      </c>
      <c r="D80" t="s">
        <v>80</v>
      </c>
      <c r="E80">
        <v>8533</v>
      </c>
      <c r="F80">
        <v>11511</v>
      </c>
      <c r="G80">
        <v>6289</v>
      </c>
      <c r="H80" t="s">
        <v>75</v>
      </c>
      <c r="I80" t="s">
        <v>148</v>
      </c>
    </row>
    <row r="81" spans="1:9" ht="15" customHeight="1" x14ac:dyDescent="0.35">
      <c r="A81">
        <v>2023</v>
      </c>
      <c r="B81" t="s">
        <v>155</v>
      </c>
      <c r="C81">
        <v>8</v>
      </c>
      <c r="D81" t="s">
        <v>80</v>
      </c>
      <c r="E81">
        <v>9693</v>
      </c>
      <c r="F81">
        <v>12283</v>
      </c>
      <c r="G81">
        <v>6048</v>
      </c>
      <c r="H81" t="s">
        <v>75</v>
      </c>
      <c r="I81" t="s">
        <v>148</v>
      </c>
    </row>
    <row r="82" spans="1:9" ht="15" customHeight="1" x14ac:dyDescent="0.35">
      <c r="A82">
        <v>2023</v>
      </c>
      <c r="B82" t="s">
        <v>156</v>
      </c>
      <c r="C82">
        <v>9</v>
      </c>
      <c r="D82" t="s">
        <v>80</v>
      </c>
      <c r="E82">
        <v>9148</v>
      </c>
      <c r="F82">
        <v>12234</v>
      </c>
      <c r="G82">
        <v>7350</v>
      </c>
      <c r="H82" t="s">
        <v>75</v>
      </c>
      <c r="I82" t="s">
        <v>148</v>
      </c>
    </row>
    <row r="83" spans="1:9" ht="15" customHeight="1" x14ac:dyDescent="0.35">
      <c r="A83">
        <v>2023</v>
      </c>
      <c r="B83" t="s">
        <v>157</v>
      </c>
      <c r="C83">
        <v>10</v>
      </c>
      <c r="D83" t="s">
        <v>80</v>
      </c>
      <c r="E83">
        <v>7965</v>
      </c>
      <c r="F83">
        <v>12850</v>
      </c>
      <c r="G83">
        <v>4749</v>
      </c>
      <c r="H83" t="s">
        <v>75</v>
      </c>
      <c r="I83" t="s">
        <v>148</v>
      </c>
    </row>
    <row r="84" spans="1:9" ht="15" customHeight="1" x14ac:dyDescent="0.35">
      <c r="A84">
        <v>2023</v>
      </c>
      <c r="B84" t="s">
        <v>158</v>
      </c>
      <c r="C84">
        <v>11</v>
      </c>
      <c r="D84" t="s">
        <v>80</v>
      </c>
      <c r="E84">
        <v>8817</v>
      </c>
      <c r="F84">
        <v>12050</v>
      </c>
      <c r="G84">
        <v>6923</v>
      </c>
      <c r="H84" t="s">
        <v>75</v>
      </c>
      <c r="I84" t="s">
        <v>148</v>
      </c>
    </row>
    <row r="85" spans="1:9" ht="15" customHeight="1" x14ac:dyDescent="0.35">
      <c r="A85">
        <v>2023</v>
      </c>
      <c r="B85" t="s">
        <v>159</v>
      </c>
      <c r="C85">
        <v>12</v>
      </c>
      <c r="D85" t="s">
        <v>80</v>
      </c>
      <c r="E85">
        <v>7801</v>
      </c>
      <c r="F85">
        <v>10917</v>
      </c>
      <c r="G85">
        <v>4644</v>
      </c>
      <c r="H85" t="s">
        <v>75</v>
      </c>
      <c r="I85" t="s">
        <v>148</v>
      </c>
    </row>
    <row r="86" spans="1:9" ht="15" customHeight="1" x14ac:dyDescent="0.35">
      <c r="A86">
        <v>2024</v>
      </c>
      <c r="B86" t="s">
        <v>147</v>
      </c>
      <c r="C86">
        <v>1</v>
      </c>
      <c r="D86" t="s">
        <v>80</v>
      </c>
      <c r="E86">
        <v>8780</v>
      </c>
      <c r="F86">
        <v>12084</v>
      </c>
      <c r="G86">
        <v>6208</v>
      </c>
      <c r="H86" t="s">
        <v>75</v>
      </c>
      <c r="I86" t="s">
        <v>148</v>
      </c>
    </row>
    <row r="87" spans="1:9" ht="15" customHeight="1" x14ac:dyDescent="0.35">
      <c r="A87">
        <v>2024</v>
      </c>
      <c r="B87" t="s">
        <v>149</v>
      </c>
      <c r="C87">
        <v>2</v>
      </c>
      <c r="D87" t="s">
        <v>80</v>
      </c>
      <c r="E87">
        <v>9611</v>
      </c>
      <c r="F87">
        <v>12899</v>
      </c>
      <c r="G87">
        <v>7337</v>
      </c>
      <c r="H87" t="s">
        <v>75</v>
      </c>
      <c r="I87" t="s">
        <v>148</v>
      </c>
    </row>
    <row r="88" spans="1:9" ht="15" customHeight="1" x14ac:dyDescent="0.35">
      <c r="A88">
        <v>2024</v>
      </c>
      <c r="B88" t="s">
        <v>150</v>
      </c>
      <c r="C88">
        <v>3</v>
      </c>
      <c r="D88" t="s">
        <v>80</v>
      </c>
      <c r="E88">
        <v>9980</v>
      </c>
      <c r="F88">
        <v>13025</v>
      </c>
      <c r="G88">
        <v>7772</v>
      </c>
      <c r="H88" t="s">
        <v>75</v>
      </c>
      <c r="I88" t="s">
        <v>148</v>
      </c>
    </row>
    <row r="89" spans="1:9" ht="15" customHeight="1" x14ac:dyDescent="0.35">
      <c r="A89">
        <v>2024</v>
      </c>
      <c r="B89" t="s">
        <v>151</v>
      </c>
      <c r="C89">
        <v>4</v>
      </c>
      <c r="D89" t="s">
        <v>80</v>
      </c>
      <c r="E89">
        <v>9982</v>
      </c>
      <c r="F89">
        <v>13025</v>
      </c>
      <c r="G89">
        <v>7772</v>
      </c>
      <c r="H89" t="s">
        <v>77</v>
      </c>
      <c r="I89" t="s">
        <v>148</v>
      </c>
    </row>
    <row r="90" spans="1:9" ht="15" customHeight="1" x14ac:dyDescent="0.35">
      <c r="A90">
        <v>2024</v>
      </c>
      <c r="B90" t="s">
        <v>152</v>
      </c>
      <c r="C90">
        <v>5</v>
      </c>
      <c r="D90" t="s">
        <v>80</v>
      </c>
      <c r="E90">
        <v>9591</v>
      </c>
      <c r="F90">
        <v>13652</v>
      </c>
      <c r="G90">
        <v>6549</v>
      </c>
      <c r="H90" t="s">
        <v>77</v>
      </c>
      <c r="I90" t="s">
        <v>148</v>
      </c>
    </row>
    <row r="91" spans="1:9" ht="15" customHeight="1" x14ac:dyDescent="0.35">
      <c r="A91">
        <v>2024</v>
      </c>
      <c r="B91" t="s">
        <v>153</v>
      </c>
      <c r="C91">
        <v>6</v>
      </c>
      <c r="D91" t="s">
        <v>80</v>
      </c>
      <c r="E91">
        <v>8815</v>
      </c>
      <c r="F91">
        <v>12566</v>
      </c>
      <c r="G91">
        <v>6870</v>
      </c>
      <c r="H91" t="s">
        <v>77</v>
      </c>
      <c r="I91" t="s">
        <v>148</v>
      </c>
    </row>
    <row r="92" spans="1:9" ht="15" customHeight="1" x14ac:dyDescent="0.35">
      <c r="A92">
        <v>2024</v>
      </c>
      <c r="B92" t="s">
        <v>154</v>
      </c>
      <c r="C92">
        <v>7</v>
      </c>
      <c r="D92" t="s">
        <v>80</v>
      </c>
      <c r="E92">
        <v>8460</v>
      </c>
      <c r="F92">
        <v>10849</v>
      </c>
      <c r="G92">
        <v>6740</v>
      </c>
      <c r="H92" t="s">
        <v>77</v>
      </c>
      <c r="I92" t="s">
        <v>148</v>
      </c>
    </row>
    <row r="93" spans="1:9" ht="15" customHeight="1" x14ac:dyDescent="0.35">
      <c r="A93">
        <v>2024</v>
      </c>
      <c r="B93" t="s">
        <v>155</v>
      </c>
      <c r="C93">
        <v>8</v>
      </c>
      <c r="D93" t="s">
        <v>80</v>
      </c>
      <c r="E93">
        <v>9156</v>
      </c>
      <c r="F93">
        <v>11835</v>
      </c>
      <c r="G93">
        <v>6880</v>
      </c>
      <c r="H93" t="s">
        <v>77</v>
      </c>
      <c r="I93" t="s">
        <v>148</v>
      </c>
    </row>
    <row r="94" spans="1:9" ht="15" customHeight="1" x14ac:dyDescent="0.35">
      <c r="A94">
        <v>2024</v>
      </c>
      <c r="B94" t="s">
        <v>156</v>
      </c>
      <c r="C94">
        <v>9</v>
      </c>
      <c r="D94" t="s">
        <v>80</v>
      </c>
      <c r="E94">
        <v>8882</v>
      </c>
      <c r="F94">
        <v>12393</v>
      </c>
      <c r="G94">
        <v>6355</v>
      </c>
      <c r="H94" t="s">
        <v>77</v>
      </c>
      <c r="I94" t="s">
        <v>148</v>
      </c>
    </row>
    <row r="95" spans="1:9" ht="15" customHeight="1" x14ac:dyDescent="0.35">
      <c r="A95">
        <v>2024</v>
      </c>
      <c r="B95" t="s">
        <v>157</v>
      </c>
      <c r="C95">
        <v>10</v>
      </c>
      <c r="D95" t="s">
        <v>80</v>
      </c>
      <c r="E95">
        <v>8592</v>
      </c>
      <c r="F95">
        <v>11533</v>
      </c>
      <c r="G95">
        <v>6916</v>
      </c>
      <c r="H95" t="s">
        <v>77</v>
      </c>
      <c r="I95" t="s">
        <v>148</v>
      </c>
    </row>
    <row r="96" spans="1:9" ht="15" customHeight="1" x14ac:dyDescent="0.35">
      <c r="A96">
        <v>2024</v>
      </c>
      <c r="B96" t="s">
        <v>158</v>
      </c>
      <c r="C96">
        <v>11</v>
      </c>
      <c r="D96" t="s">
        <v>80</v>
      </c>
      <c r="E96">
        <v>8605</v>
      </c>
      <c r="F96">
        <v>11037</v>
      </c>
      <c r="G96">
        <v>6522</v>
      </c>
      <c r="H96" t="s">
        <v>77</v>
      </c>
      <c r="I96" t="s">
        <v>148</v>
      </c>
    </row>
    <row r="97" spans="1:9" ht="15" customHeight="1" x14ac:dyDescent="0.35">
      <c r="A97">
        <v>2024</v>
      </c>
      <c r="B97" t="s">
        <v>159</v>
      </c>
      <c r="C97">
        <v>12</v>
      </c>
      <c r="D97" t="s">
        <v>80</v>
      </c>
      <c r="E97">
        <v>8049</v>
      </c>
      <c r="F97">
        <v>10460</v>
      </c>
      <c r="G97">
        <v>6322</v>
      </c>
      <c r="H97" t="s">
        <v>77</v>
      </c>
      <c r="I97" t="s">
        <v>148</v>
      </c>
    </row>
    <row r="98" spans="1:9" ht="15" customHeight="1" x14ac:dyDescent="0.35">
      <c r="A98">
        <v>2025</v>
      </c>
      <c r="B98" t="s">
        <v>147</v>
      </c>
      <c r="C98">
        <v>1</v>
      </c>
      <c r="D98" t="s">
        <v>80</v>
      </c>
      <c r="E98">
        <v>8553</v>
      </c>
      <c r="F98">
        <v>11850</v>
      </c>
      <c r="G98">
        <v>6027</v>
      </c>
      <c r="H98" t="s">
        <v>77</v>
      </c>
      <c r="I98" t="s">
        <v>148</v>
      </c>
    </row>
    <row r="99" spans="1:9" ht="15" customHeight="1" x14ac:dyDescent="0.35">
      <c r="A99">
        <v>2025</v>
      </c>
      <c r="B99" t="s">
        <v>149</v>
      </c>
      <c r="C99">
        <v>2</v>
      </c>
      <c r="D99" t="s">
        <v>80</v>
      </c>
      <c r="E99">
        <v>9745</v>
      </c>
      <c r="F99">
        <v>12517</v>
      </c>
      <c r="G99">
        <v>3620</v>
      </c>
      <c r="H99" t="s">
        <v>77</v>
      </c>
      <c r="I99" t="s">
        <v>148</v>
      </c>
    </row>
    <row r="100" spans="1:9" ht="15" customHeight="1" x14ac:dyDescent="0.35">
      <c r="A100">
        <v>2025</v>
      </c>
      <c r="B100" t="s">
        <v>150</v>
      </c>
      <c r="C100">
        <v>3</v>
      </c>
      <c r="D100" t="s">
        <v>80</v>
      </c>
      <c r="E100">
        <v>10181</v>
      </c>
      <c r="F100">
        <v>12988</v>
      </c>
      <c r="G100">
        <v>7997</v>
      </c>
      <c r="H100" t="s">
        <v>77</v>
      </c>
      <c r="I100" t="s">
        <v>148</v>
      </c>
    </row>
    <row r="101" spans="1:9" ht="15" customHeight="1" x14ac:dyDescent="0.35">
      <c r="A101">
        <v>2025</v>
      </c>
      <c r="B101" t="s">
        <v>151</v>
      </c>
      <c r="C101">
        <v>4</v>
      </c>
      <c r="D101" t="s">
        <v>80</v>
      </c>
      <c r="E101">
        <v>9874</v>
      </c>
      <c r="F101">
        <v>12964</v>
      </c>
      <c r="G101">
        <v>7394</v>
      </c>
      <c r="H101" t="s">
        <v>78</v>
      </c>
      <c r="I101" t="s">
        <v>148</v>
      </c>
    </row>
    <row r="102" spans="1:9" ht="15" customHeight="1" x14ac:dyDescent="0.35">
      <c r="A102">
        <v>2025</v>
      </c>
      <c r="B102" t="s">
        <v>152</v>
      </c>
      <c r="C102">
        <v>5</v>
      </c>
      <c r="D102" t="s">
        <v>80</v>
      </c>
      <c r="E102">
        <v>8932</v>
      </c>
      <c r="F102">
        <v>12505</v>
      </c>
      <c r="G102">
        <v>6978</v>
      </c>
      <c r="H102" t="s">
        <v>78</v>
      </c>
      <c r="I102" t="s">
        <v>148</v>
      </c>
    </row>
    <row r="103" spans="1:9" ht="15" customHeight="1" x14ac:dyDescent="0.35">
      <c r="A103">
        <v>2025</v>
      </c>
      <c r="B103" t="s">
        <v>153</v>
      </c>
      <c r="C103">
        <v>6</v>
      </c>
      <c r="D103" t="s">
        <v>80</v>
      </c>
      <c r="E103">
        <v>9279</v>
      </c>
      <c r="F103">
        <v>12122</v>
      </c>
      <c r="G103">
        <v>7364</v>
      </c>
      <c r="H103" t="s">
        <v>78</v>
      </c>
      <c r="I103" t="s">
        <v>148</v>
      </c>
    </row>
    <row r="104" spans="1:9" ht="15" customHeight="1" x14ac:dyDescent="0.35">
      <c r="A104">
        <v>2025</v>
      </c>
      <c r="B104" t="s">
        <v>154</v>
      </c>
      <c r="C104">
        <v>7</v>
      </c>
      <c r="D104" t="s">
        <v>80</v>
      </c>
      <c r="E104">
        <v>9310</v>
      </c>
      <c r="F104">
        <v>12883</v>
      </c>
      <c r="G104">
        <v>7239</v>
      </c>
      <c r="H104" t="s">
        <v>78</v>
      </c>
      <c r="I104" t="s">
        <v>148</v>
      </c>
    </row>
    <row r="105" spans="1:9" ht="15" customHeight="1" x14ac:dyDescent="0.35">
      <c r="A105">
        <v>2025</v>
      </c>
      <c r="B105" t="s">
        <v>155</v>
      </c>
      <c r="C105">
        <v>8</v>
      </c>
      <c r="D105" t="s">
        <v>80</v>
      </c>
      <c r="E105">
        <v>9173</v>
      </c>
      <c r="F105">
        <v>12798</v>
      </c>
      <c r="G105">
        <v>6822</v>
      </c>
      <c r="H105" t="s">
        <v>78</v>
      </c>
      <c r="I105" t="s">
        <v>148</v>
      </c>
    </row>
    <row r="106" spans="1:9" ht="15" customHeight="1" x14ac:dyDescent="0.35">
      <c r="A106">
        <v>2025</v>
      </c>
      <c r="B106" t="s">
        <v>156</v>
      </c>
      <c r="C106">
        <v>9</v>
      </c>
      <c r="D106" t="s">
        <v>80</v>
      </c>
      <c r="E106">
        <v>9168</v>
      </c>
      <c r="F106">
        <v>12268</v>
      </c>
      <c r="G106">
        <v>7600</v>
      </c>
      <c r="H106" t="s">
        <v>78</v>
      </c>
      <c r="I106" t="s">
        <v>148</v>
      </c>
    </row>
    <row r="107" spans="1:9" ht="15" customHeight="1" x14ac:dyDescent="0.35">
      <c r="A107">
        <v>2025</v>
      </c>
      <c r="B107" t="s">
        <v>157</v>
      </c>
      <c r="C107">
        <v>10</v>
      </c>
      <c r="D107" t="s">
        <v>80</v>
      </c>
      <c r="E107">
        <v>8239</v>
      </c>
      <c r="F107">
        <v>10445</v>
      </c>
      <c r="G107">
        <v>4928</v>
      </c>
      <c r="H107" t="s">
        <v>78</v>
      </c>
      <c r="I107" t="s">
        <v>148</v>
      </c>
    </row>
    <row r="108" spans="1:9" ht="15" customHeight="1" x14ac:dyDescent="0.35">
      <c r="A108">
        <v>2025</v>
      </c>
      <c r="B108" t="s">
        <v>158</v>
      </c>
      <c r="C108">
        <v>11</v>
      </c>
      <c r="D108" t="s">
        <v>80</v>
      </c>
      <c r="E108">
        <v>8474</v>
      </c>
      <c r="F108">
        <v>9865</v>
      </c>
      <c r="G108">
        <v>6802</v>
      </c>
      <c r="H108" t="s">
        <v>78</v>
      </c>
      <c r="I108" t="s">
        <v>148</v>
      </c>
    </row>
    <row r="109" spans="1:9" ht="15" customHeight="1" x14ac:dyDescent="0.35">
      <c r="A109">
        <v>2025</v>
      </c>
      <c r="B109" t="s">
        <v>159</v>
      </c>
      <c r="C109">
        <v>12</v>
      </c>
      <c r="D109" t="s">
        <v>80</v>
      </c>
      <c r="E109">
        <v>8575</v>
      </c>
      <c r="F109">
        <v>11838</v>
      </c>
      <c r="G109">
        <v>6392</v>
      </c>
      <c r="H109" t="s">
        <v>78</v>
      </c>
      <c r="I109" t="s">
        <v>148</v>
      </c>
    </row>
    <row r="110" spans="1:9" ht="15" customHeight="1" x14ac:dyDescent="0.35">
      <c r="A110">
        <v>2026</v>
      </c>
      <c r="B110" t="s">
        <v>147</v>
      </c>
      <c r="C110">
        <v>1</v>
      </c>
      <c r="D110" t="s">
        <v>80</v>
      </c>
      <c r="E110">
        <v>9158</v>
      </c>
      <c r="F110">
        <v>12372</v>
      </c>
      <c r="G110">
        <v>6607</v>
      </c>
      <c r="H110" t="s">
        <v>78</v>
      </c>
      <c r="I110" t="s">
        <v>148</v>
      </c>
    </row>
    <row r="111" spans="1:9" ht="15" customHeight="1" x14ac:dyDescent="0.35">
      <c r="A111">
        <v>2026</v>
      </c>
      <c r="B111" t="s">
        <v>149</v>
      </c>
      <c r="C111">
        <v>2</v>
      </c>
      <c r="D111" t="s">
        <v>80</v>
      </c>
      <c r="E111">
        <v>10050</v>
      </c>
      <c r="F111">
        <v>13213</v>
      </c>
      <c r="G111">
        <v>7306</v>
      </c>
      <c r="H111" t="s">
        <v>78</v>
      </c>
      <c r="I111" t="s">
        <v>148</v>
      </c>
    </row>
    <row r="112" spans="1:9" ht="15" customHeight="1" x14ac:dyDescent="0.35">
      <c r="A112">
        <v>2026</v>
      </c>
      <c r="B112" t="s">
        <v>150</v>
      </c>
      <c r="C112">
        <v>3</v>
      </c>
      <c r="D112" t="s">
        <v>80</v>
      </c>
      <c r="E112">
        <v>9143</v>
      </c>
      <c r="F112">
        <v>12372</v>
      </c>
      <c r="G112">
        <v>3204</v>
      </c>
      <c r="H112" t="s">
        <v>78</v>
      </c>
      <c r="I112" t="s">
        <v>148</v>
      </c>
    </row>
    <row r="113" spans="1:9" ht="15" customHeight="1" x14ac:dyDescent="0.35">
      <c r="A113">
        <v>2017</v>
      </c>
      <c r="B113" t="s">
        <v>147</v>
      </c>
      <c r="C113">
        <v>1</v>
      </c>
      <c r="D113" t="s">
        <v>81</v>
      </c>
      <c r="E113">
        <v>87</v>
      </c>
      <c r="F113">
        <v>116</v>
      </c>
      <c r="G113">
        <v>50</v>
      </c>
      <c r="H113" t="s">
        <v>122</v>
      </c>
      <c r="I113" t="s">
        <v>160</v>
      </c>
    </row>
    <row r="114" spans="1:9" ht="15" customHeight="1" x14ac:dyDescent="0.35">
      <c r="A114">
        <v>2017</v>
      </c>
      <c r="B114" t="s">
        <v>149</v>
      </c>
      <c r="C114">
        <v>2</v>
      </c>
      <c r="D114" t="s">
        <v>81</v>
      </c>
      <c r="E114">
        <v>88</v>
      </c>
      <c r="F114">
        <v>114</v>
      </c>
      <c r="G114">
        <v>56</v>
      </c>
      <c r="H114" t="s">
        <v>122</v>
      </c>
      <c r="I114" t="s">
        <v>160</v>
      </c>
    </row>
    <row r="115" spans="1:9" ht="15" customHeight="1" x14ac:dyDescent="0.35">
      <c r="A115">
        <v>2017</v>
      </c>
      <c r="B115" t="s">
        <v>150</v>
      </c>
      <c r="C115">
        <v>3</v>
      </c>
      <c r="D115" t="s">
        <v>81</v>
      </c>
      <c r="E115">
        <v>87</v>
      </c>
      <c r="F115">
        <v>147</v>
      </c>
      <c r="G115">
        <v>44</v>
      </c>
      <c r="H115" t="s">
        <v>122</v>
      </c>
      <c r="I115" t="s">
        <v>160</v>
      </c>
    </row>
    <row r="116" spans="1:9" ht="15" customHeight="1" x14ac:dyDescent="0.35">
      <c r="A116">
        <v>2017</v>
      </c>
      <c r="B116" t="s">
        <v>151</v>
      </c>
      <c r="C116">
        <v>4</v>
      </c>
      <c r="D116" t="s">
        <v>81</v>
      </c>
      <c r="E116">
        <v>73</v>
      </c>
      <c r="F116">
        <v>139</v>
      </c>
      <c r="G116">
        <v>49</v>
      </c>
      <c r="H116" t="s">
        <v>123</v>
      </c>
      <c r="I116" t="s">
        <v>160</v>
      </c>
    </row>
    <row r="117" spans="1:9" ht="15" customHeight="1" x14ac:dyDescent="0.35">
      <c r="A117">
        <v>2017</v>
      </c>
      <c r="B117" t="s">
        <v>152</v>
      </c>
      <c r="C117">
        <v>5</v>
      </c>
      <c r="D117" t="s">
        <v>81</v>
      </c>
      <c r="E117">
        <v>82</v>
      </c>
      <c r="F117">
        <v>143</v>
      </c>
      <c r="G117">
        <v>2</v>
      </c>
      <c r="H117" t="s">
        <v>123</v>
      </c>
      <c r="I117" t="s">
        <v>160</v>
      </c>
    </row>
    <row r="118" spans="1:9" ht="15" customHeight="1" x14ac:dyDescent="0.35">
      <c r="A118">
        <v>2017</v>
      </c>
      <c r="B118" t="s">
        <v>153</v>
      </c>
      <c r="C118">
        <v>6</v>
      </c>
      <c r="D118" t="s">
        <v>81</v>
      </c>
      <c r="E118">
        <v>85</v>
      </c>
      <c r="F118">
        <v>137</v>
      </c>
      <c r="G118">
        <v>49</v>
      </c>
      <c r="H118" t="s">
        <v>123</v>
      </c>
      <c r="I118" t="s">
        <v>160</v>
      </c>
    </row>
    <row r="119" spans="1:9" ht="15" customHeight="1" x14ac:dyDescent="0.35">
      <c r="A119">
        <v>2017</v>
      </c>
      <c r="B119" t="s">
        <v>154</v>
      </c>
      <c r="C119">
        <v>7</v>
      </c>
      <c r="D119" t="s">
        <v>81</v>
      </c>
      <c r="E119">
        <v>91</v>
      </c>
      <c r="F119">
        <v>134</v>
      </c>
      <c r="G119">
        <v>22</v>
      </c>
      <c r="H119" t="s">
        <v>123</v>
      </c>
      <c r="I119" t="s">
        <v>160</v>
      </c>
    </row>
    <row r="120" spans="1:9" ht="15" customHeight="1" x14ac:dyDescent="0.35">
      <c r="A120">
        <v>2017</v>
      </c>
      <c r="B120" t="s">
        <v>155</v>
      </c>
      <c r="C120">
        <v>8</v>
      </c>
      <c r="D120" t="s">
        <v>81</v>
      </c>
      <c r="E120">
        <v>97</v>
      </c>
      <c r="F120">
        <v>168</v>
      </c>
      <c r="G120">
        <v>45</v>
      </c>
      <c r="H120" t="s">
        <v>123</v>
      </c>
      <c r="I120" t="s">
        <v>160</v>
      </c>
    </row>
    <row r="121" spans="1:9" ht="15" customHeight="1" x14ac:dyDescent="0.35">
      <c r="A121">
        <v>2017</v>
      </c>
      <c r="B121" t="s">
        <v>156</v>
      </c>
      <c r="C121">
        <v>9</v>
      </c>
      <c r="D121" t="s">
        <v>81</v>
      </c>
      <c r="E121">
        <v>98</v>
      </c>
      <c r="F121">
        <v>146</v>
      </c>
      <c r="G121">
        <v>57</v>
      </c>
      <c r="H121" t="s">
        <v>123</v>
      </c>
      <c r="I121" t="s">
        <v>160</v>
      </c>
    </row>
    <row r="122" spans="1:9" ht="15" customHeight="1" x14ac:dyDescent="0.35">
      <c r="A122">
        <v>2017</v>
      </c>
      <c r="B122" t="s">
        <v>157</v>
      </c>
      <c r="C122">
        <v>10</v>
      </c>
      <c r="D122" t="s">
        <v>81</v>
      </c>
      <c r="E122">
        <v>101</v>
      </c>
      <c r="F122">
        <v>144</v>
      </c>
      <c r="G122">
        <v>60</v>
      </c>
      <c r="H122" t="s">
        <v>123</v>
      </c>
      <c r="I122" t="s">
        <v>160</v>
      </c>
    </row>
    <row r="123" spans="1:9" ht="15" customHeight="1" x14ac:dyDescent="0.35">
      <c r="A123">
        <v>2017</v>
      </c>
      <c r="B123" t="s">
        <v>158</v>
      </c>
      <c r="C123">
        <v>11</v>
      </c>
      <c r="D123" t="s">
        <v>81</v>
      </c>
      <c r="E123">
        <v>88</v>
      </c>
      <c r="F123">
        <v>139</v>
      </c>
      <c r="G123">
        <v>20</v>
      </c>
      <c r="H123" t="s">
        <v>123</v>
      </c>
      <c r="I123" t="s">
        <v>160</v>
      </c>
    </row>
    <row r="124" spans="1:9" ht="15" customHeight="1" x14ac:dyDescent="0.35">
      <c r="A124">
        <v>2017</v>
      </c>
      <c r="B124" t="s">
        <v>159</v>
      </c>
      <c r="C124">
        <v>12</v>
      </c>
      <c r="D124" t="s">
        <v>81</v>
      </c>
      <c r="E124">
        <v>84</v>
      </c>
      <c r="F124">
        <v>131</v>
      </c>
      <c r="G124">
        <v>24</v>
      </c>
      <c r="H124" t="s">
        <v>123</v>
      </c>
      <c r="I124" t="s">
        <v>160</v>
      </c>
    </row>
    <row r="125" spans="1:9" ht="15" customHeight="1" x14ac:dyDescent="0.35">
      <c r="A125">
        <v>2018</v>
      </c>
      <c r="B125" t="s">
        <v>147</v>
      </c>
      <c r="C125">
        <v>1</v>
      </c>
      <c r="D125" t="s">
        <v>81</v>
      </c>
      <c r="E125">
        <v>81</v>
      </c>
      <c r="F125">
        <v>176</v>
      </c>
      <c r="G125">
        <v>2</v>
      </c>
      <c r="H125" t="s">
        <v>123</v>
      </c>
      <c r="I125" t="s">
        <v>160</v>
      </c>
    </row>
    <row r="126" spans="1:9" ht="15" customHeight="1" x14ac:dyDescent="0.35">
      <c r="A126">
        <v>2018</v>
      </c>
      <c r="B126" t="s">
        <v>149</v>
      </c>
      <c r="C126">
        <v>2</v>
      </c>
      <c r="D126" t="s">
        <v>81</v>
      </c>
      <c r="E126">
        <v>91</v>
      </c>
      <c r="F126">
        <v>157</v>
      </c>
      <c r="G126">
        <v>16</v>
      </c>
      <c r="H126" t="s">
        <v>123</v>
      </c>
      <c r="I126" t="s">
        <v>160</v>
      </c>
    </row>
    <row r="127" spans="1:9" ht="15" customHeight="1" x14ac:dyDescent="0.35">
      <c r="A127">
        <v>2018</v>
      </c>
      <c r="B127" t="s">
        <v>150</v>
      </c>
      <c r="C127">
        <v>3</v>
      </c>
      <c r="D127" t="s">
        <v>81</v>
      </c>
      <c r="E127">
        <v>82</v>
      </c>
      <c r="F127">
        <v>125</v>
      </c>
      <c r="G127">
        <v>11</v>
      </c>
      <c r="H127" t="s">
        <v>123</v>
      </c>
      <c r="I127" t="s">
        <v>160</v>
      </c>
    </row>
    <row r="128" spans="1:9" ht="15" customHeight="1" x14ac:dyDescent="0.35">
      <c r="A128">
        <v>2018</v>
      </c>
      <c r="B128" t="s">
        <v>151</v>
      </c>
      <c r="C128">
        <v>4</v>
      </c>
      <c r="D128" t="s">
        <v>81</v>
      </c>
      <c r="E128">
        <v>81</v>
      </c>
      <c r="F128">
        <v>142</v>
      </c>
      <c r="G128">
        <v>28</v>
      </c>
      <c r="H128" t="s">
        <v>124</v>
      </c>
      <c r="I128" t="s">
        <v>160</v>
      </c>
    </row>
    <row r="129" spans="1:9" ht="15" customHeight="1" x14ac:dyDescent="0.35">
      <c r="A129">
        <v>2018</v>
      </c>
      <c r="B129" t="s">
        <v>152</v>
      </c>
      <c r="C129">
        <v>5</v>
      </c>
      <c r="D129" t="s">
        <v>81</v>
      </c>
      <c r="E129">
        <v>82</v>
      </c>
      <c r="F129">
        <v>121</v>
      </c>
      <c r="G129">
        <v>49</v>
      </c>
      <c r="H129" t="s">
        <v>124</v>
      </c>
      <c r="I129" t="s">
        <v>160</v>
      </c>
    </row>
    <row r="130" spans="1:9" ht="15" customHeight="1" x14ac:dyDescent="0.35">
      <c r="A130">
        <v>2018</v>
      </c>
      <c r="B130" t="s">
        <v>153</v>
      </c>
      <c r="C130">
        <v>6</v>
      </c>
      <c r="D130" t="s">
        <v>81</v>
      </c>
      <c r="E130">
        <v>81</v>
      </c>
      <c r="F130">
        <v>122</v>
      </c>
      <c r="G130">
        <v>36</v>
      </c>
      <c r="H130" t="s">
        <v>124</v>
      </c>
      <c r="I130" t="s">
        <v>160</v>
      </c>
    </row>
    <row r="131" spans="1:9" ht="15" customHeight="1" x14ac:dyDescent="0.35">
      <c r="A131">
        <v>2018</v>
      </c>
      <c r="B131" t="s">
        <v>154</v>
      </c>
      <c r="C131">
        <v>7</v>
      </c>
      <c r="D131" t="s">
        <v>81</v>
      </c>
      <c r="E131">
        <v>80</v>
      </c>
      <c r="F131">
        <v>128</v>
      </c>
      <c r="G131">
        <v>33</v>
      </c>
      <c r="H131" t="s">
        <v>124</v>
      </c>
      <c r="I131" t="s">
        <v>160</v>
      </c>
    </row>
    <row r="132" spans="1:9" ht="15" customHeight="1" x14ac:dyDescent="0.35">
      <c r="A132">
        <v>2018</v>
      </c>
      <c r="B132" t="s">
        <v>155</v>
      </c>
      <c r="C132">
        <v>8</v>
      </c>
      <c r="D132" t="s">
        <v>81</v>
      </c>
      <c r="E132">
        <v>89</v>
      </c>
      <c r="F132">
        <v>152</v>
      </c>
      <c r="G132">
        <v>44</v>
      </c>
      <c r="H132" t="s">
        <v>124</v>
      </c>
      <c r="I132" t="s">
        <v>160</v>
      </c>
    </row>
    <row r="133" spans="1:9" ht="15" customHeight="1" x14ac:dyDescent="0.35">
      <c r="A133">
        <v>2018</v>
      </c>
      <c r="B133" t="s">
        <v>156</v>
      </c>
      <c r="C133">
        <v>9</v>
      </c>
      <c r="D133" t="s">
        <v>81</v>
      </c>
      <c r="E133">
        <v>99</v>
      </c>
      <c r="F133">
        <v>128</v>
      </c>
      <c r="G133">
        <v>50</v>
      </c>
      <c r="H133" t="s">
        <v>124</v>
      </c>
      <c r="I133" t="s">
        <v>160</v>
      </c>
    </row>
    <row r="134" spans="1:9" ht="15" customHeight="1" x14ac:dyDescent="0.35">
      <c r="A134">
        <v>2018</v>
      </c>
      <c r="B134" t="s">
        <v>157</v>
      </c>
      <c r="C134">
        <v>10</v>
      </c>
      <c r="D134" t="s">
        <v>81</v>
      </c>
      <c r="E134">
        <v>87</v>
      </c>
      <c r="F134">
        <v>150</v>
      </c>
      <c r="G134">
        <v>8</v>
      </c>
      <c r="H134" t="s">
        <v>124</v>
      </c>
      <c r="I134" t="s">
        <v>160</v>
      </c>
    </row>
    <row r="135" spans="1:9" ht="15" customHeight="1" x14ac:dyDescent="0.35">
      <c r="A135">
        <v>2018</v>
      </c>
      <c r="B135" t="s">
        <v>158</v>
      </c>
      <c r="C135">
        <v>11</v>
      </c>
      <c r="D135" t="s">
        <v>81</v>
      </c>
      <c r="E135">
        <v>89</v>
      </c>
      <c r="F135">
        <v>122</v>
      </c>
      <c r="G135">
        <v>27</v>
      </c>
      <c r="H135" t="s">
        <v>124</v>
      </c>
      <c r="I135" t="s">
        <v>160</v>
      </c>
    </row>
    <row r="136" spans="1:9" ht="15" customHeight="1" x14ac:dyDescent="0.35">
      <c r="A136">
        <v>2018</v>
      </c>
      <c r="B136" t="s">
        <v>159</v>
      </c>
      <c r="C136">
        <v>12</v>
      </c>
      <c r="D136" t="s">
        <v>81</v>
      </c>
      <c r="E136">
        <v>85</v>
      </c>
      <c r="F136">
        <v>140</v>
      </c>
      <c r="G136">
        <v>41</v>
      </c>
      <c r="H136" t="s">
        <v>124</v>
      </c>
      <c r="I136" t="s">
        <v>160</v>
      </c>
    </row>
    <row r="137" spans="1:9" ht="15" customHeight="1" x14ac:dyDescent="0.35">
      <c r="A137">
        <v>2019</v>
      </c>
      <c r="B137" t="s">
        <v>147</v>
      </c>
      <c r="C137">
        <v>1</v>
      </c>
      <c r="D137" t="s">
        <v>81</v>
      </c>
      <c r="E137">
        <v>91</v>
      </c>
      <c r="F137">
        <v>130</v>
      </c>
      <c r="G137">
        <v>64</v>
      </c>
      <c r="H137" t="s">
        <v>124</v>
      </c>
      <c r="I137" t="s">
        <v>160</v>
      </c>
    </row>
    <row r="138" spans="1:9" ht="15" customHeight="1" x14ac:dyDescent="0.35">
      <c r="A138">
        <v>2019</v>
      </c>
      <c r="B138" t="s">
        <v>149</v>
      </c>
      <c r="C138">
        <v>2</v>
      </c>
      <c r="D138" t="s">
        <v>81</v>
      </c>
      <c r="E138">
        <v>92</v>
      </c>
      <c r="F138">
        <v>144</v>
      </c>
      <c r="G138">
        <v>8</v>
      </c>
      <c r="H138" t="s">
        <v>124</v>
      </c>
      <c r="I138" t="s">
        <v>160</v>
      </c>
    </row>
    <row r="139" spans="1:9" ht="15" customHeight="1" x14ac:dyDescent="0.35">
      <c r="A139">
        <v>2019</v>
      </c>
      <c r="B139" t="s">
        <v>150</v>
      </c>
      <c r="C139">
        <v>3</v>
      </c>
      <c r="D139" t="s">
        <v>81</v>
      </c>
      <c r="E139">
        <v>86</v>
      </c>
      <c r="F139">
        <v>138</v>
      </c>
      <c r="G139">
        <v>55</v>
      </c>
      <c r="H139" t="s">
        <v>124</v>
      </c>
      <c r="I139" t="s">
        <v>160</v>
      </c>
    </row>
    <row r="140" spans="1:9" ht="15" customHeight="1" x14ac:dyDescent="0.35">
      <c r="A140">
        <v>2019</v>
      </c>
      <c r="B140" t="s">
        <v>151</v>
      </c>
      <c r="C140">
        <v>4</v>
      </c>
      <c r="D140" t="s">
        <v>81</v>
      </c>
      <c r="E140">
        <v>90</v>
      </c>
      <c r="F140">
        <v>154</v>
      </c>
      <c r="G140">
        <v>35</v>
      </c>
      <c r="H140" t="s">
        <v>71</v>
      </c>
      <c r="I140" t="s">
        <v>160</v>
      </c>
    </row>
    <row r="141" spans="1:9" ht="15" customHeight="1" x14ac:dyDescent="0.35">
      <c r="A141">
        <v>2019</v>
      </c>
      <c r="B141" t="s">
        <v>152</v>
      </c>
      <c r="C141">
        <v>5</v>
      </c>
      <c r="D141" t="s">
        <v>81</v>
      </c>
      <c r="E141">
        <v>83</v>
      </c>
      <c r="F141">
        <v>141</v>
      </c>
      <c r="G141">
        <v>45</v>
      </c>
      <c r="H141" t="s">
        <v>71</v>
      </c>
      <c r="I141" t="s">
        <v>160</v>
      </c>
    </row>
    <row r="142" spans="1:9" ht="15" customHeight="1" x14ac:dyDescent="0.35">
      <c r="A142">
        <v>2019</v>
      </c>
      <c r="B142" t="s">
        <v>153</v>
      </c>
      <c r="C142">
        <v>6</v>
      </c>
      <c r="D142" t="s">
        <v>81</v>
      </c>
      <c r="E142">
        <v>104</v>
      </c>
      <c r="F142">
        <v>151</v>
      </c>
      <c r="G142">
        <v>36</v>
      </c>
      <c r="H142" t="s">
        <v>71</v>
      </c>
      <c r="I142" t="s">
        <v>160</v>
      </c>
    </row>
    <row r="143" spans="1:9" ht="15" customHeight="1" x14ac:dyDescent="0.35">
      <c r="A143">
        <v>2019</v>
      </c>
      <c r="B143" t="s">
        <v>154</v>
      </c>
      <c r="C143">
        <v>7</v>
      </c>
      <c r="D143" t="s">
        <v>81</v>
      </c>
      <c r="E143">
        <v>100</v>
      </c>
      <c r="F143">
        <v>152</v>
      </c>
      <c r="G143">
        <v>45</v>
      </c>
      <c r="H143" t="s">
        <v>71</v>
      </c>
      <c r="I143" t="s">
        <v>160</v>
      </c>
    </row>
    <row r="144" spans="1:9" ht="15" customHeight="1" x14ac:dyDescent="0.35">
      <c r="A144">
        <v>2019</v>
      </c>
      <c r="B144" t="s">
        <v>155</v>
      </c>
      <c r="C144">
        <v>8</v>
      </c>
      <c r="D144" t="s">
        <v>81</v>
      </c>
      <c r="E144">
        <v>105</v>
      </c>
      <c r="F144">
        <v>157</v>
      </c>
      <c r="G144">
        <v>60</v>
      </c>
      <c r="H144" t="s">
        <v>71</v>
      </c>
      <c r="I144" t="s">
        <v>160</v>
      </c>
    </row>
    <row r="145" spans="1:9" ht="15" customHeight="1" x14ac:dyDescent="0.35">
      <c r="A145">
        <v>2019</v>
      </c>
      <c r="B145" t="s">
        <v>156</v>
      </c>
      <c r="C145">
        <v>9</v>
      </c>
      <c r="D145" t="s">
        <v>81</v>
      </c>
      <c r="E145">
        <v>89</v>
      </c>
      <c r="F145">
        <v>143</v>
      </c>
      <c r="G145">
        <v>48</v>
      </c>
      <c r="H145" t="s">
        <v>71</v>
      </c>
      <c r="I145" t="s">
        <v>160</v>
      </c>
    </row>
    <row r="146" spans="1:9" ht="15" customHeight="1" x14ac:dyDescent="0.35">
      <c r="A146">
        <v>2019</v>
      </c>
      <c r="B146" t="s">
        <v>157</v>
      </c>
      <c r="C146">
        <v>10</v>
      </c>
      <c r="D146" t="s">
        <v>81</v>
      </c>
      <c r="E146">
        <v>90</v>
      </c>
      <c r="F146">
        <v>151</v>
      </c>
      <c r="G146">
        <v>56</v>
      </c>
      <c r="H146" t="s">
        <v>71</v>
      </c>
      <c r="I146" t="s">
        <v>160</v>
      </c>
    </row>
    <row r="147" spans="1:9" ht="15" customHeight="1" x14ac:dyDescent="0.35">
      <c r="A147">
        <v>2019</v>
      </c>
      <c r="B147" t="s">
        <v>158</v>
      </c>
      <c r="C147">
        <v>11</v>
      </c>
      <c r="D147" t="s">
        <v>81</v>
      </c>
      <c r="E147">
        <v>83</v>
      </c>
      <c r="F147">
        <v>153</v>
      </c>
      <c r="G147">
        <v>51</v>
      </c>
      <c r="H147" t="s">
        <v>71</v>
      </c>
      <c r="I147" t="s">
        <v>160</v>
      </c>
    </row>
    <row r="148" spans="1:9" ht="15" customHeight="1" x14ac:dyDescent="0.35">
      <c r="A148">
        <v>2019</v>
      </c>
      <c r="B148" t="s">
        <v>159</v>
      </c>
      <c r="C148">
        <v>12</v>
      </c>
      <c r="D148" t="s">
        <v>81</v>
      </c>
      <c r="E148">
        <v>94</v>
      </c>
      <c r="F148">
        <v>163</v>
      </c>
      <c r="G148">
        <v>49</v>
      </c>
      <c r="H148" t="s">
        <v>71</v>
      </c>
      <c r="I148" t="s">
        <v>160</v>
      </c>
    </row>
    <row r="149" spans="1:9" ht="15" customHeight="1" x14ac:dyDescent="0.35">
      <c r="A149">
        <v>2020</v>
      </c>
      <c r="B149" t="s">
        <v>147</v>
      </c>
      <c r="C149">
        <v>1</v>
      </c>
      <c r="D149" t="s">
        <v>81</v>
      </c>
      <c r="E149">
        <v>94</v>
      </c>
      <c r="F149">
        <v>129</v>
      </c>
      <c r="G149">
        <v>55</v>
      </c>
      <c r="H149" t="s">
        <v>71</v>
      </c>
      <c r="I149" t="s">
        <v>160</v>
      </c>
    </row>
    <row r="150" spans="1:9" ht="15" customHeight="1" x14ac:dyDescent="0.35">
      <c r="A150">
        <v>2020</v>
      </c>
      <c r="B150" t="s">
        <v>149</v>
      </c>
      <c r="C150">
        <v>2</v>
      </c>
      <c r="D150" t="s">
        <v>81</v>
      </c>
      <c r="E150">
        <v>87</v>
      </c>
      <c r="F150">
        <v>153</v>
      </c>
      <c r="G150">
        <v>48</v>
      </c>
      <c r="H150" t="s">
        <v>71</v>
      </c>
      <c r="I150" t="s">
        <v>160</v>
      </c>
    </row>
    <row r="151" spans="1:9" ht="15" customHeight="1" x14ac:dyDescent="0.35">
      <c r="A151">
        <v>2020</v>
      </c>
      <c r="B151" t="s">
        <v>150</v>
      </c>
      <c r="C151">
        <v>3</v>
      </c>
      <c r="D151" t="s">
        <v>81</v>
      </c>
      <c r="E151">
        <v>79</v>
      </c>
      <c r="F151">
        <v>131</v>
      </c>
      <c r="G151">
        <v>28</v>
      </c>
      <c r="H151" t="s">
        <v>71</v>
      </c>
      <c r="I151" t="s">
        <v>160</v>
      </c>
    </row>
    <row r="152" spans="1:9" ht="15" customHeight="1" x14ac:dyDescent="0.35">
      <c r="A152">
        <v>2020</v>
      </c>
      <c r="B152" t="s">
        <v>151</v>
      </c>
      <c r="C152">
        <v>4</v>
      </c>
      <c r="D152" t="s">
        <v>81</v>
      </c>
      <c r="E152">
        <v>47</v>
      </c>
      <c r="F152">
        <v>78</v>
      </c>
      <c r="G152">
        <v>12</v>
      </c>
      <c r="H152" t="s">
        <v>72</v>
      </c>
      <c r="I152" t="s">
        <v>160</v>
      </c>
    </row>
    <row r="153" spans="1:9" ht="15" customHeight="1" x14ac:dyDescent="0.35">
      <c r="A153">
        <v>2020</v>
      </c>
      <c r="B153" t="s">
        <v>152</v>
      </c>
      <c r="C153">
        <v>5</v>
      </c>
      <c r="D153" t="s">
        <v>81</v>
      </c>
      <c r="E153">
        <v>59</v>
      </c>
      <c r="F153">
        <v>105</v>
      </c>
      <c r="G153">
        <v>25</v>
      </c>
      <c r="H153" t="s">
        <v>72</v>
      </c>
      <c r="I153" t="s">
        <v>160</v>
      </c>
    </row>
    <row r="154" spans="1:9" ht="15" customHeight="1" x14ac:dyDescent="0.35">
      <c r="A154">
        <v>2020</v>
      </c>
      <c r="B154" t="s">
        <v>153</v>
      </c>
      <c r="C154">
        <v>6</v>
      </c>
      <c r="D154" t="s">
        <v>81</v>
      </c>
      <c r="E154">
        <v>74</v>
      </c>
      <c r="F154">
        <v>115</v>
      </c>
      <c r="G154">
        <v>47</v>
      </c>
      <c r="H154" t="s">
        <v>72</v>
      </c>
      <c r="I154" t="s">
        <v>160</v>
      </c>
    </row>
    <row r="155" spans="1:9" ht="15" customHeight="1" x14ac:dyDescent="0.35">
      <c r="A155">
        <v>2020</v>
      </c>
      <c r="B155" t="s">
        <v>154</v>
      </c>
      <c r="C155">
        <v>7</v>
      </c>
      <c r="D155" t="s">
        <v>81</v>
      </c>
      <c r="E155">
        <v>69</v>
      </c>
      <c r="F155">
        <v>128</v>
      </c>
      <c r="G155">
        <v>25</v>
      </c>
      <c r="H155" t="s">
        <v>72</v>
      </c>
      <c r="I155" t="s">
        <v>160</v>
      </c>
    </row>
    <row r="156" spans="1:9" ht="15" customHeight="1" x14ac:dyDescent="0.35">
      <c r="A156">
        <v>2020</v>
      </c>
      <c r="B156" t="s">
        <v>155</v>
      </c>
      <c r="C156">
        <v>8</v>
      </c>
      <c r="D156" t="s">
        <v>81</v>
      </c>
      <c r="E156">
        <v>77</v>
      </c>
      <c r="F156">
        <v>131</v>
      </c>
      <c r="G156">
        <v>39</v>
      </c>
      <c r="H156" t="s">
        <v>72</v>
      </c>
      <c r="I156" t="s">
        <v>160</v>
      </c>
    </row>
    <row r="157" spans="1:9" ht="15" customHeight="1" x14ac:dyDescent="0.35">
      <c r="A157">
        <v>2020</v>
      </c>
      <c r="B157" t="s">
        <v>156</v>
      </c>
      <c r="C157">
        <v>9</v>
      </c>
      <c r="D157" t="s">
        <v>81</v>
      </c>
      <c r="E157">
        <v>79</v>
      </c>
      <c r="F157">
        <v>125</v>
      </c>
      <c r="G157">
        <v>20</v>
      </c>
      <c r="H157" t="s">
        <v>72</v>
      </c>
      <c r="I157" t="s">
        <v>160</v>
      </c>
    </row>
    <row r="158" spans="1:9" ht="15" customHeight="1" x14ac:dyDescent="0.35">
      <c r="A158">
        <v>2020</v>
      </c>
      <c r="B158" t="s">
        <v>157</v>
      </c>
      <c r="C158">
        <v>10</v>
      </c>
      <c r="D158" t="s">
        <v>81</v>
      </c>
      <c r="E158">
        <v>83</v>
      </c>
      <c r="F158">
        <v>124</v>
      </c>
      <c r="G158">
        <v>40</v>
      </c>
      <c r="H158" t="s">
        <v>72</v>
      </c>
      <c r="I158" t="s">
        <v>160</v>
      </c>
    </row>
    <row r="159" spans="1:9" ht="15" customHeight="1" x14ac:dyDescent="0.35">
      <c r="A159">
        <v>2020</v>
      </c>
      <c r="B159" t="s">
        <v>158</v>
      </c>
      <c r="C159">
        <v>11</v>
      </c>
      <c r="D159" t="s">
        <v>81</v>
      </c>
      <c r="E159">
        <v>88</v>
      </c>
      <c r="F159">
        <v>135</v>
      </c>
      <c r="G159">
        <v>43</v>
      </c>
      <c r="H159" t="s">
        <v>72</v>
      </c>
      <c r="I159" t="s">
        <v>160</v>
      </c>
    </row>
    <row r="160" spans="1:9" ht="15" customHeight="1" x14ac:dyDescent="0.35">
      <c r="A160">
        <v>2020</v>
      </c>
      <c r="B160" t="s">
        <v>159</v>
      </c>
      <c r="C160">
        <v>12</v>
      </c>
      <c r="D160" t="s">
        <v>81</v>
      </c>
      <c r="E160">
        <v>91</v>
      </c>
      <c r="F160">
        <v>143</v>
      </c>
      <c r="G160">
        <v>50</v>
      </c>
      <c r="H160" t="s">
        <v>72</v>
      </c>
      <c r="I160" t="s">
        <v>160</v>
      </c>
    </row>
    <row r="161" spans="1:9" ht="15" customHeight="1" x14ac:dyDescent="0.35">
      <c r="A161">
        <v>2021</v>
      </c>
      <c r="B161" t="s">
        <v>147</v>
      </c>
      <c r="C161">
        <v>1</v>
      </c>
      <c r="D161" t="s">
        <v>81</v>
      </c>
      <c r="E161">
        <v>106</v>
      </c>
      <c r="F161">
        <v>147</v>
      </c>
      <c r="G161">
        <v>72</v>
      </c>
      <c r="H161" t="s">
        <v>72</v>
      </c>
      <c r="I161" t="s">
        <v>160</v>
      </c>
    </row>
    <row r="162" spans="1:9" ht="15" customHeight="1" x14ac:dyDescent="0.35">
      <c r="A162">
        <v>2021</v>
      </c>
      <c r="B162" t="s">
        <v>149</v>
      </c>
      <c r="C162">
        <v>2</v>
      </c>
      <c r="D162" t="s">
        <v>81</v>
      </c>
      <c r="E162">
        <v>95</v>
      </c>
      <c r="F162">
        <v>148</v>
      </c>
      <c r="G162">
        <v>60</v>
      </c>
      <c r="H162" t="s">
        <v>72</v>
      </c>
      <c r="I162" t="s">
        <v>160</v>
      </c>
    </row>
    <row r="163" spans="1:9" ht="15" customHeight="1" x14ac:dyDescent="0.35">
      <c r="A163">
        <v>2021</v>
      </c>
      <c r="B163" t="s">
        <v>150</v>
      </c>
      <c r="C163">
        <v>3</v>
      </c>
      <c r="D163" t="s">
        <v>81</v>
      </c>
      <c r="E163">
        <v>91</v>
      </c>
      <c r="F163">
        <v>131</v>
      </c>
      <c r="G163">
        <v>57</v>
      </c>
      <c r="H163" t="s">
        <v>72</v>
      </c>
      <c r="I163" t="s">
        <v>160</v>
      </c>
    </row>
    <row r="164" spans="1:9" ht="15" customHeight="1" x14ac:dyDescent="0.35">
      <c r="A164">
        <v>2021</v>
      </c>
      <c r="B164" t="s">
        <v>151</v>
      </c>
      <c r="C164">
        <v>4</v>
      </c>
      <c r="D164" t="s">
        <v>81</v>
      </c>
      <c r="E164">
        <v>90</v>
      </c>
      <c r="F164">
        <v>137</v>
      </c>
      <c r="G164">
        <v>34</v>
      </c>
      <c r="H164" t="s">
        <v>73</v>
      </c>
      <c r="I164" t="s">
        <v>160</v>
      </c>
    </row>
    <row r="165" spans="1:9" ht="15" customHeight="1" x14ac:dyDescent="0.35">
      <c r="A165">
        <v>2021</v>
      </c>
      <c r="B165" t="s">
        <v>152</v>
      </c>
      <c r="C165">
        <v>5</v>
      </c>
      <c r="D165" t="s">
        <v>81</v>
      </c>
      <c r="E165">
        <v>81</v>
      </c>
      <c r="F165">
        <v>130</v>
      </c>
      <c r="G165">
        <v>50</v>
      </c>
      <c r="H165" t="s">
        <v>73</v>
      </c>
      <c r="I165" t="s">
        <v>160</v>
      </c>
    </row>
    <row r="166" spans="1:9" ht="15" customHeight="1" x14ac:dyDescent="0.35">
      <c r="A166">
        <v>2021</v>
      </c>
      <c r="B166" t="s">
        <v>153</v>
      </c>
      <c r="C166">
        <v>6</v>
      </c>
      <c r="D166" t="s">
        <v>81</v>
      </c>
      <c r="E166">
        <v>91</v>
      </c>
      <c r="F166">
        <v>168</v>
      </c>
      <c r="G166">
        <v>46</v>
      </c>
      <c r="H166" t="s">
        <v>73</v>
      </c>
      <c r="I166" t="s">
        <v>160</v>
      </c>
    </row>
    <row r="167" spans="1:9" ht="15" customHeight="1" x14ac:dyDescent="0.35">
      <c r="A167">
        <v>2021</v>
      </c>
      <c r="B167" t="s">
        <v>154</v>
      </c>
      <c r="C167">
        <v>7</v>
      </c>
      <c r="D167" t="s">
        <v>81</v>
      </c>
      <c r="E167">
        <v>101</v>
      </c>
      <c r="F167">
        <v>159</v>
      </c>
      <c r="G167">
        <v>68</v>
      </c>
      <c r="H167" t="s">
        <v>73</v>
      </c>
      <c r="I167" t="s">
        <v>160</v>
      </c>
    </row>
    <row r="168" spans="1:9" ht="15" customHeight="1" x14ac:dyDescent="0.35">
      <c r="A168">
        <v>2021</v>
      </c>
      <c r="B168" t="s">
        <v>155</v>
      </c>
      <c r="C168">
        <v>8</v>
      </c>
      <c r="D168" t="s">
        <v>81</v>
      </c>
      <c r="E168">
        <v>98</v>
      </c>
      <c r="F168">
        <v>141</v>
      </c>
      <c r="G168">
        <v>61</v>
      </c>
      <c r="H168" t="s">
        <v>73</v>
      </c>
      <c r="I168" t="s">
        <v>160</v>
      </c>
    </row>
    <row r="169" spans="1:9" ht="15" customHeight="1" x14ac:dyDescent="0.35">
      <c r="A169">
        <v>2021</v>
      </c>
      <c r="B169" t="s">
        <v>156</v>
      </c>
      <c r="C169">
        <v>9</v>
      </c>
      <c r="D169" t="s">
        <v>81</v>
      </c>
      <c r="E169">
        <v>100</v>
      </c>
      <c r="F169">
        <v>154</v>
      </c>
      <c r="G169">
        <v>62</v>
      </c>
      <c r="H169" t="s">
        <v>73</v>
      </c>
      <c r="I169" t="s">
        <v>160</v>
      </c>
    </row>
    <row r="170" spans="1:9" ht="15" customHeight="1" x14ac:dyDescent="0.35">
      <c r="A170">
        <v>2021</v>
      </c>
      <c r="B170" t="s">
        <v>157</v>
      </c>
      <c r="C170">
        <v>10</v>
      </c>
      <c r="D170" t="s">
        <v>81</v>
      </c>
      <c r="E170">
        <v>96</v>
      </c>
      <c r="F170">
        <v>142</v>
      </c>
      <c r="G170">
        <v>37</v>
      </c>
      <c r="H170" t="s">
        <v>73</v>
      </c>
      <c r="I170" t="s">
        <v>160</v>
      </c>
    </row>
    <row r="171" spans="1:9" ht="15" customHeight="1" x14ac:dyDescent="0.35">
      <c r="A171">
        <v>2021</v>
      </c>
      <c r="B171" t="s">
        <v>158</v>
      </c>
      <c r="C171">
        <v>11</v>
      </c>
      <c r="D171" t="s">
        <v>81</v>
      </c>
      <c r="E171">
        <v>92</v>
      </c>
      <c r="F171">
        <v>130</v>
      </c>
      <c r="G171">
        <v>52</v>
      </c>
      <c r="H171" t="s">
        <v>73</v>
      </c>
      <c r="I171" t="s">
        <v>160</v>
      </c>
    </row>
    <row r="172" spans="1:9" ht="15" customHeight="1" x14ac:dyDescent="0.35">
      <c r="A172">
        <v>2021</v>
      </c>
      <c r="B172" t="s">
        <v>159</v>
      </c>
      <c r="C172">
        <v>12</v>
      </c>
      <c r="D172" t="s">
        <v>81</v>
      </c>
      <c r="E172">
        <v>95</v>
      </c>
      <c r="F172">
        <v>172</v>
      </c>
      <c r="G172">
        <v>59</v>
      </c>
      <c r="H172" t="s">
        <v>73</v>
      </c>
      <c r="I172" t="s">
        <v>160</v>
      </c>
    </row>
    <row r="173" spans="1:9" ht="15" customHeight="1" x14ac:dyDescent="0.35">
      <c r="A173">
        <v>2022</v>
      </c>
      <c r="B173" t="s">
        <v>147</v>
      </c>
      <c r="C173">
        <v>1</v>
      </c>
      <c r="D173" t="s">
        <v>81</v>
      </c>
      <c r="E173">
        <v>110</v>
      </c>
      <c r="F173">
        <v>169</v>
      </c>
      <c r="G173">
        <v>58</v>
      </c>
      <c r="H173" t="s">
        <v>73</v>
      </c>
      <c r="I173" t="s">
        <v>160</v>
      </c>
    </row>
    <row r="174" spans="1:9" ht="15" customHeight="1" x14ac:dyDescent="0.35">
      <c r="A174">
        <v>2022</v>
      </c>
      <c r="B174" t="s">
        <v>149</v>
      </c>
      <c r="C174">
        <v>2</v>
      </c>
      <c r="D174" t="s">
        <v>81</v>
      </c>
      <c r="E174">
        <v>113</v>
      </c>
      <c r="F174">
        <v>182</v>
      </c>
      <c r="G174">
        <v>45</v>
      </c>
      <c r="H174" t="s">
        <v>73</v>
      </c>
      <c r="I174" t="s">
        <v>160</v>
      </c>
    </row>
    <row r="175" spans="1:9" ht="15" customHeight="1" x14ac:dyDescent="0.35">
      <c r="A175">
        <v>2022</v>
      </c>
      <c r="B175" t="s">
        <v>150</v>
      </c>
      <c r="C175">
        <v>3</v>
      </c>
      <c r="D175" t="s">
        <v>81</v>
      </c>
      <c r="E175">
        <v>99</v>
      </c>
      <c r="F175">
        <v>145</v>
      </c>
      <c r="G175">
        <v>57</v>
      </c>
      <c r="H175" t="s">
        <v>73</v>
      </c>
      <c r="I175" t="s">
        <v>160</v>
      </c>
    </row>
    <row r="176" spans="1:9" ht="15" customHeight="1" x14ac:dyDescent="0.35">
      <c r="A176">
        <v>2022</v>
      </c>
      <c r="B176" t="s">
        <v>151</v>
      </c>
      <c r="C176">
        <v>4</v>
      </c>
      <c r="D176" t="s">
        <v>81</v>
      </c>
      <c r="E176">
        <v>91</v>
      </c>
      <c r="F176">
        <v>147</v>
      </c>
      <c r="G176">
        <v>8</v>
      </c>
      <c r="H176" t="s">
        <v>74</v>
      </c>
      <c r="I176" t="s">
        <v>160</v>
      </c>
    </row>
    <row r="177" spans="1:9" ht="15" customHeight="1" x14ac:dyDescent="0.35">
      <c r="A177">
        <v>2022</v>
      </c>
      <c r="B177" t="s">
        <v>152</v>
      </c>
      <c r="C177">
        <v>5</v>
      </c>
      <c r="D177" t="s">
        <v>81</v>
      </c>
      <c r="E177">
        <v>98</v>
      </c>
      <c r="F177">
        <v>145</v>
      </c>
      <c r="G177">
        <v>41</v>
      </c>
      <c r="H177" t="s">
        <v>74</v>
      </c>
      <c r="I177" t="s">
        <v>160</v>
      </c>
    </row>
    <row r="178" spans="1:9" ht="15" customHeight="1" x14ac:dyDescent="0.35">
      <c r="A178">
        <v>2022</v>
      </c>
      <c r="B178" t="s">
        <v>153</v>
      </c>
      <c r="C178">
        <v>6</v>
      </c>
      <c r="D178" t="s">
        <v>81</v>
      </c>
      <c r="E178">
        <v>101</v>
      </c>
      <c r="F178">
        <v>141</v>
      </c>
      <c r="G178">
        <v>60</v>
      </c>
      <c r="H178" t="s">
        <v>74</v>
      </c>
      <c r="I178" t="s">
        <v>160</v>
      </c>
    </row>
    <row r="179" spans="1:9" ht="15" customHeight="1" x14ac:dyDescent="0.35">
      <c r="A179">
        <v>2022</v>
      </c>
      <c r="B179" t="s">
        <v>154</v>
      </c>
      <c r="C179">
        <v>7</v>
      </c>
      <c r="D179" t="s">
        <v>81</v>
      </c>
      <c r="E179">
        <v>106</v>
      </c>
      <c r="F179">
        <v>149</v>
      </c>
      <c r="G179">
        <v>69</v>
      </c>
      <c r="H179" t="s">
        <v>74</v>
      </c>
      <c r="I179" t="s">
        <v>160</v>
      </c>
    </row>
    <row r="180" spans="1:9" ht="15" customHeight="1" x14ac:dyDescent="0.35">
      <c r="A180">
        <v>2022</v>
      </c>
      <c r="B180" t="s">
        <v>155</v>
      </c>
      <c r="C180">
        <v>8</v>
      </c>
      <c r="D180" t="s">
        <v>81</v>
      </c>
      <c r="E180">
        <v>106</v>
      </c>
      <c r="F180">
        <v>147</v>
      </c>
      <c r="G180">
        <v>49</v>
      </c>
      <c r="H180" t="s">
        <v>74</v>
      </c>
      <c r="I180" t="s">
        <v>160</v>
      </c>
    </row>
    <row r="181" spans="1:9" ht="15" customHeight="1" x14ac:dyDescent="0.35">
      <c r="A181">
        <v>2022</v>
      </c>
      <c r="B181" t="s">
        <v>156</v>
      </c>
      <c r="C181">
        <v>9</v>
      </c>
      <c r="D181" t="s">
        <v>81</v>
      </c>
      <c r="E181">
        <v>93</v>
      </c>
      <c r="F181">
        <v>139</v>
      </c>
      <c r="G181">
        <v>42</v>
      </c>
      <c r="H181" t="s">
        <v>74</v>
      </c>
      <c r="I181" t="s">
        <v>160</v>
      </c>
    </row>
    <row r="182" spans="1:9" ht="15" customHeight="1" x14ac:dyDescent="0.35">
      <c r="A182">
        <v>2022</v>
      </c>
      <c r="B182" t="s">
        <v>157</v>
      </c>
      <c r="C182">
        <v>10</v>
      </c>
      <c r="D182" t="s">
        <v>81</v>
      </c>
      <c r="E182">
        <v>90</v>
      </c>
      <c r="F182">
        <v>126</v>
      </c>
      <c r="G182">
        <v>55</v>
      </c>
      <c r="H182" t="s">
        <v>74</v>
      </c>
      <c r="I182" t="s">
        <v>160</v>
      </c>
    </row>
    <row r="183" spans="1:9" ht="15" customHeight="1" x14ac:dyDescent="0.35">
      <c r="A183">
        <v>2022</v>
      </c>
      <c r="B183" t="s">
        <v>158</v>
      </c>
      <c r="C183">
        <v>11</v>
      </c>
      <c r="D183" t="s">
        <v>81</v>
      </c>
      <c r="E183">
        <v>88</v>
      </c>
      <c r="F183">
        <v>133</v>
      </c>
      <c r="G183">
        <v>50</v>
      </c>
      <c r="H183" t="s">
        <v>74</v>
      </c>
      <c r="I183" t="s">
        <v>160</v>
      </c>
    </row>
    <row r="184" spans="1:9" ht="15" customHeight="1" x14ac:dyDescent="0.35">
      <c r="A184">
        <v>2022</v>
      </c>
      <c r="B184" t="s">
        <v>159</v>
      </c>
      <c r="C184">
        <v>12</v>
      </c>
      <c r="D184" t="s">
        <v>81</v>
      </c>
      <c r="E184">
        <v>98</v>
      </c>
      <c r="F184">
        <v>147</v>
      </c>
      <c r="G184">
        <v>50</v>
      </c>
      <c r="H184" t="s">
        <v>74</v>
      </c>
      <c r="I184" t="s">
        <v>160</v>
      </c>
    </row>
    <row r="185" spans="1:9" ht="15" customHeight="1" x14ac:dyDescent="0.35">
      <c r="A185">
        <v>2023</v>
      </c>
      <c r="B185" t="s">
        <v>147</v>
      </c>
      <c r="C185">
        <v>1</v>
      </c>
      <c r="D185" t="s">
        <v>81</v>
      </c>
      <c r="E185">
        <v>111</v>
      </c>
      <c r="F185">
        <v>161</v>
      </c>
      <c r="G185">
        <v>67</v>
      </c>
      <c r="H185" t="s">
        <v>74</v>
      </c>
      <c r="I185" t="s">
        <v>160</v>
      </c>
    </row>
    <row r="186" spans="1:9" ht="15" customHeight="1" x14ac:dyDescent="0.35">
      <c r="A186">
        <v>2023</v>
      </c>
      <c r="B186" t="s">
        <v>149</v>
      </c>
      <c r="C186">
        <v>2</v>
      </c>
      <c r="D186" t="s">
        <v>81</v>
      </c>
      <c r="E186">
        <v>105</v>
      </c>
      <c r="F186">
        <v>159</v>
      </c>
      <c r="G186">
        <v>49</v>
      </c>
      <c r="H186" t="s">
        <v>74</v>
      </c>
      <c r="I186" t="s">
        <v>160</v>
      </c>
    </row>
    <row r="187" spans="1:9" ht="15" customHeight="1" x14ac:dyDescent="0.35">
      <c r="A187">
        <v>2023</v>
      </c>
      <c r="B187" t="s">
        <v>150</v>
      </c>
      <c r="C187">
        <v>3</v>
      </c>
      <c r="D187" t="s">
        <v>81</v>
      </c>
      <c r="E187">
        <v>108</v>
      </c>
      <c r="F187">
        <v>178</v>
      </c>
      <c r="G187">
        <v>57</v>
      </c>
      <c r="H187" t="s">
        <v>74</v>
      </c>
      <c r="I187" t="s">
        <v>160</v>
      </c>
    </row>
    <row r="188" spans="1:9" ht="15" customHeight="1" x14ac:dyDescent="0.35">
      <c r="A188">
        <v>2023</v>
      </c>
      <c r="B188" t="s">
        <v>151</v>
      </c>
      <c r="C188">
        <v>4</v>
      </c>
      <c r="D188" t="s">
        <v>81</v>
      </c>
      <c r="E188">
        <v>99</v>
      </c>
      <c r="F188">
        <v>156</v>
      </c>
      <c r="G188">
        <v>53</v>
      </c>
      <c r="H188" t="s">
        <v>75</v>
      </c>
      <c r="I188" t="s">
        <v>160</v>
      </c>
    </row>
    <row r="189" spans="1:9" ht="15" customHeight="1" x14ac:dyDescent="0.35">
      <c r="A189">
        <v>2023</v>
      </c>
      <c r="B189" t="s">
        <v>152</v>
      </c>
      <c r="C189">
        <v>5</v>
      </c>
      <c r="D189" t="s">
        <v>81</v>
      </c>
      <c r="E189">
        <v>114</v>
      </c>
      <c r="F189">
        <v>151</v>
      </c>
      <c r="G189">
        <v>68</v>
      </c>
      <c r="H189" t="s">
        <v>75</v>
      </c>
      <c r="I189" t="s">
        <v>160</v>
      </c>
    </row>
    <row r="190" spans="1:9" ht="15" customHeight="1" x14ac:dyDescent="0.35">
      <c r="A190">
        <v>2023</v>
      </c>
      <c r="B190" t="s">
        <v>153</v>
      </c>
      <c r="C190">
        <v>6</v>
      </c>
      <c r="D190" t="s">
        <v>81</v>
      </c>
      <c r="E190">
        <v>116</v>
      </c>
      <c r="F190">
        <v>169</v>
      </c>
      <c r="G190">
        <v>74</v>
      </c>
      <c r="H190" t="s">
        <v>75</v>
      </c>
      <c r="I190" t="s">
        <v>160</v>
      </c>
    </row>
    <row r="191" spans="1:9" ht="15" customHeight="1" x14ac:dyDescent="0.35">
      <c r="A191">
        <v>2023</v>
      </c>
      <c r="B191" t="s">
        <v>154</v>
      </c>
      <c r="C191">
        <v>7</v>
      </c>
      <c r="D191" t="s">
        <v>81</v>
      </c>
      <c r="E191">
        <v>110</v>
      </c>
      <c r="F191">
        <v>162</v>
      </c>
      <c r="G191">
        <v>67</v>
      </c>
      <c r="H191" t="s">
        <v>75</v>
      </c>
      <c r="I191" t="s">
        <v>160</v>
      </c>
    </row>
    <row r="192" spans="1:9" ht="15" customHeight="1" x14ac:dyDescent="0.35">
      <c r="A192">
        <v>2023</v>
      </c>
      <c r="B192" t="s">
        <v>155</v>
      </c>
      <c r="C192">
        <v>8</v>
      </c>
      <c r="D192" t="s">
        <v>81</v>
      </c>
      <c r="E192">
        <v>122</v>
      </c>
      <c r="F192">
        <v>165</v>
      </c>
      <c r="G192">
        <v>84</v>
      </c>
      <c r="H192" t="s">
        <v>75</v>
      </c>
      <c r="I192" t="s">
        <v>160</v>
      </c>
    </row>
    <row r="193" spans="1:9" ht="15" customHeight="1" x14ac:dyDescent="0.35">
      <c r="A193">
        <v>2023</v>
      </c>
      <c r="B193" t="s">
        <v>156</v>
      </c>
      <c r="C193">
        <v>9</v>
      </c>
      <c r="D193" t="s">
        <v>81</v>
      </c>
      <c r="E193">
        <v>130</v>
      </c>
      <c r="F193">
        <v>171</v>
      </c>
      <c r="G193">
        <v>56</v>
      </c>
      <c r="H193" t="s">
        <v>75</v>
      </c>
      <c r="I193" t="s">
        <v>160</v>
      </c>
    </row>
    <row r="194" spans="1:9" ht="15" customHeight="1" x14ac:dyDescent="0.35">
      <c r="A194">
        <v>2023</v>
      </c>
      <c r="B194" t="s">
        <v>157</v>
      </c>
      <c r="C194">
        <v>10</v>
      </c>
      <c r="D194" t="s">
        <v>81</v>
      </c>
      <c r="E194">
        <v>113</v>
      </c>
      <c r="F194">
        <v>173</v>
      </c>
      <c r="G194">
        <v>78</v>
      </c>
      <c r="H194" t="s">
        <v>75</v>
      </c>
      <c r="I194" t="s">
        <v>160</v>
      </c>
    </row>
    <row r="195" spans="1:9" ht="15" customHeight="1" x14ac:dyDescent="0.35">
      <c r="A195">
        <v>2023</v>
      </c>
      <c r="B195" t="s">
        <v>158</v>
      </c>
      <c r="C195">
        <v>11</v>
      </c>
      <c r="D195" t="s">
        <v>81</v>
      </c>
      <c r="E195">
        <v>110</v>
      </c>
      <c r="F195">
        <v>162</v>
      </c>
      <c r="G195">
        <v>79</v>
      </c>
      <c r="H195" t="s">
        <v>75</v>
      </c>
      <c r="I195" t="s">
        <v>160</v>
      </c>
    </row>
    <row r="196" spans="1:9" ht="15" customHeight="1" x14ac:dyDescent="0.35">
      <c r="A196">
        <v>2023</v>
      </c>
      <c r="B196" t="s">
        <v>159</v>
      </c>
      <c r="C196">
        <v>12</v>
      </c>
      <c r="D196" t="s">
        <v>81</v>
      </c>
      <c r="E196">
        <v>125</v>
      </c>
      <c r="F196">
        <v>190</v>
      </c>
      <c r="G196">
        <v>81</v>
      </c>
      <c r="H196" t="s">
        <v>75</v>
      </c>
      <c r="I196" t="s">
        <v>160</v>
      </c>
    </row>
    <row r="197" spans="1:9" ht="15" customHeight="1" x14ac:dyDescent="0.35">
      <c r="A197">
        <v>2024</v>
      </c>
      <c r="B197" t="s">
        <v>147</v>
      </c>
      <c r="C197">
        <v>1</v>
      </c>
      <c r="D197" t="s">
        <v>81</v>
      </c>
      <c r="E197">
        <v>131</v>
      </c>
      <c r="F197">
        <v>177</v>
      </c>
      <c r="G197">
        <v>85</v>
      </c>
      <c r="H197" t="s">
        <v>75</v>
      </c>
      <c r="I197" t="s">
        <v>160</v>
      </c>
    </row>
    <row r="198" spans="1:9" ht="15" customHeight="1" x14ac:dyDescent="0.35">
      <c r="A198">
        <v>2024</v>
      </c>
      <c r="B198" t="s">
        <v>149</v>
      </c>
      <c r="C198">
        <v>2</v>
      </c>
      <c r="D198" t="s">
        <v>81</v>
      </c>
      <c r="E198">
        <v>130</v>
      </c>
      <c r="F198">
        <v>180</v>
      </c>
      <c r="G198">
        <v>79</v>
      </c>
      <c r="H198" t="s">
        <v>75</v>
      </c>
      <c r="I198" t="s">
        <v>160</v>
      </c>
    </row>
    <row r="199" spans="1:9" ht="15" customHeight="1" x14ac:dyDescent="0.35">
      <c r="A199">
        <v>2024</v>
      </c>
      <c r="B199" t="s">
        <v>150</v>
      </c>
      <c r="C199">
        <v>3</v>
      </c>
      <c r="D199" t="s">
        <v>81</v>
      </c>
      <c r="E199">
        <v>128</v>
      </c>
      <c r="F199">
        <v>168</v>
      </c>
      <c r="G199">
        <v>86</v>
      </c>
      <c r="H199" t="s">
        <v>75</v>
      </c>
      <c r="I199" t="s">
        <v>160</v>
      </c>
    </row>
    <row r="200" spans="1:9" ht="15" customHeight="1" x14ac:dyDescent="0.35">
      <c r="A200">
        <v>2024</v>
      </c>
      <c r="B200" t="s">
        <v>151</v>
      </c>
      <c r="C200">
        <v>4</v>
      </c>
      <c r="D200" t="s">
        <v>81</v>
      </c>
      <c r="E200">
        <v>128</v>
      </c>
      <c r="F200">
        <v>168</v>
      </c>
      <c r="G200">
        <v>86</v>
      </c>
      <c r="H200" t="s">
        <v>77</v>
      </c>
      <c r="I200" t="s">
        <v>160</v>
      </c>
    </row>
    <row r="201" spans="1:9" ht="15" customHeight="1" x14ac:dyDescent="0.35">
      <c r="A201">
        <v>2024</v>
      </c>
      <c r="B201" t="s">
        <v>152</v>
      </c>
      <c r="C201">
        <v>5</v>
      </c>
      <c r="D201" t="s">
        <v>81</v>
      </c>
      <c r="E201">
        <v>125</v>
      </c>
      <c r="F201">
        <v>165</v>
      </c>
      <c r="G201">
        <v>52</v>
      </c>
      <c r="H201" t="s">
        <v>77</v>
      </c>
      <c r="I201" t="s">
        <v>160</v>
      </c>
    </row>
    <row r="202" spans="1:9" ht="15" customHeight="1" x14ac:dyDescent="0.35">
      <c r="A202">
        <v>2024</v>
      </c>
      <c r="B202" t="s">
        <v>153</v>
      </c>
      <c r="C202">
        <v>6</v>
      </c>
      <c r="D202" t="s">
        <v>81</v>
      </c>
      <c r="E202">
        <v>112</v>
      </c>
      <c r="F202">
        <v>172</v>
      </c>
      <c r="G202">
        <v>58</v>
      </c>
      <c r="H202" t="s">
        <v>77</v>
      </c>
      <c r="I202" t="s">
        <v>160</v>
      </c>
    </row>
    <row r="203" spans="1:9" ht="15" customHeight="1" x14ac:dyDescent="0.35">
      <c r="A203">
        <v>2024</v>
      </c>
      <c r="B203" t="s">
        <v>154</v>
      </c>
      <c r="C203">
        <v>7</v>
      </c>
      <c r="D203" t="s">
        <v>81</v>
      </c>
      <c r="E203">
        <v>119</v>
      </c>
      <c r="F203">
        <v>161</v>
      </c>
      <c r="G203">
        <v>52</v>
      </c>
      <c r="H203" t="s">
        <v>77</v>
      </c>
      <c r="I203" t="s">
        <v>160</v>
      </c>
    </row>
    <row r="204" spans="1:9" ht="15" customHeight="1" x14ac:dyDescent="0.35">
      <c r="A204">
        <v>2024</v>
      </c>
      <c r="B204" t="s">
        <v>155</v>
      </c>
      <c r="C204">
        <v>8</v>
      </c>
      <c r="D204" t="s">
        <v>81</v>
      </c>
      <c r="E204">
        <v>134</v>
      </c>
      <c r="F204">
        <v>171</v>
      </c>
      <c r="G204">
        <v>105</v>
      </c>
      <c r="H204" t="s">
        <v>77</v>
      </c>
      <c r="I204" t="s">
        <v>160</v>
      </c>
    </row>
    <row r="205" spans="1:9" ht="15" customHeight="1" x14ac:dyDescent="0.35">
      <c r="A205">
        <v>2024</v>
      </c>
      <c r="B205" t="s">
        <v>156</v>
      </c>
      <c r="C205">
        <v>9</v>
      </c>
      <c r="D205" t="s">
        <v>81</v>
      </c>
      <c r="E205">
        <v>132</v>
      </c>
      <c r="F205">
        <v>180</v>
      </c>
      <c r="G205">
        <v>66</v>
      </c>
      <c r="H205" t="s">
        <v>77</v>
      </c>
      <c r="I205" t="s">
        <v>160</v>
      </c>
    </row>
    <row r="206" spans="1:9" ht="15" customHeight="1" x14ac:dyDescent="0.35">
      <c r="A206">
        <v>2024</v>
      </c>
      <c r="B206" t="s">
        <v>157</v>
      </c>
      <c r="C206">
        <v>10</v>
      </c>
      <c r="D206" t="s">
        <v>81</v>
      </c>
      <c r="E206">
        <v>104</v>
      </c>
      <c r="F206">
        <v>161</v>
      </c>
      <c r="G206">
        <v>57</v>
      </c>
      <c r="H206" t="s">
        <v>77</v>
      </c>
      <c r="I206" t="s">
        <v>160</v>
      </c>
    </row>
    <row r="207" spans="1:9" ht="15" customHeight="1" x14ac:dyDescent="0.35">
      <c r="A207">
        <v>2024</v>
      </c>
      <c r="B207" t="s">
        <v>158</v>
      </c>
      <c r="C207">
        <v>11</v>
      </c>
      <c r="D207" t="s">
        <v>81</v>
      </c>
      <c r="E207">
        <v>109</v>
      </c>
      <c r="F207">
        <v>162</v>
      </c>
      <c r="G207">
        <v>67</v>
      </c>
      <c r="H207" t="s">
        <v>77</v>
      </c>
      <c r="I207" t="s">
        <v>160</v>
      </c>
    </row>
    <row r="208" spans="1:9" ht="15" customHeight="1" x14ac:dyDescent="0.35">
      <c r="A208">
        <v>2024</v>
      </c>
      <c r="B208" t="s">
        <v>159</v>
      </c>
      <c r="C208">
        <v>12</v>
      </c>
      <c r="D208" t="s">
        <v>81</v>
      </c>
      <c r="E208">
        <v>118</v>
      </c>
      <c r="F208">
        <v>188</v>
      </c>
      <c r="G208">
        <v>61</v>
      </c>
      <c r="H208" t="s">
        <v>77</v>
      </c>
      <c r="I208" t="s">
        <v>160</v>
      </c>
    </row>
    <row r="209" spans="1:9" ht="15" customHeight="1" x14ac:dyDescent="0.35">
      <c r="A209">
        <v>2025</v>
      </c>
      <c r="B209" t="s">
        <v>147</v>
      </c>
      <c r="C209">
        <v>1</v>
      </c>
      <c r="D209" t="s">
        <v>81</v>
      </c>
      <c r="E209">
        <v>130</v>
      </c>
      <c r="F209">
        <v>197</v>
      </c>
      <c r="G209">
        <v>73</v>
      </c>
      <c r="H209" t="s">
        <v>77</v>
      </c>
      <c r="I209" t="s">
        <v>160</v>
      </c>
    </row>
    <row r="210" spans="1:9" ht="15" customHeight="1" x14ac:dyDescent="0.35">
      <c r="A210">
        <v>2025</v>
      </c>
      <c r="B210" t="s">
        <v>149</v>
      </c>
      <c r="C210">
        <v>2</v>
      </c>
      <c r="D210" t="s">
        <v>81</v>
      </c>
      <c r="E210">
        <v>139</v>
      </c>
      <c r="F210">
        <v>193</v>
      </c>
      <c r="G210">
        <v>82</v>
      </c>
      <c r="H210" t="s">
        <v>77</v>
      </c>
      <c r="I210" t="s">
        <v>160</v>
      </c>
    </row>
    <row r="211" spans="1:9" ht="15" customHeight="1" x14ac:dyDescent="0.35">
      <c r="A211">
        <v>2025</v>
      </c>
      <c r="B211" t="s">
        <v>150</v>
      </c>
      <c r="C211">
        <v>3</v>
      </c>
      <c r="D211" t="s">
        <v>81</v>
      </c>
      <c r="E211">
        <v>136</v>
      </c>
      <c r="F211">
        <v>179</v>
      </c>
      <c r="G211">
        <v>76</v>
      </c>
      <c r="H211" t="s">
        <v>77</v>
      </c>
      <c r="I211" t="s">
        <v>160</v>
      </c>
    </row>
    <row r="212" spans="1:9" ht="15" customHeight="1" x14ac:dyDescent="0.35">
      <c r="A212">
        <v>2025</v>
      </c>
      <c r="B212" t="s">
        <v>151</v>
      </c>
      <c r="C212">
        <v>4</v>
      </c>
      <c r="D212" t="s">
        <v>81</v>
      </c>
      <c r="E212">
        <v>119</v>
      </c>
      <c r="F212">
        <v>174</v>
      </c>
      <c r="G212">
        <v>66</v>
      </c>
      <c r="H212" t="s">
        <v>78</v>
      </c>
      <c r="I212" t="s">
        <v>160</v>
      </c>
    </row>
    <row r="213" spans="1:9" ht="15" customHeight="1" x14ac:dyDescent="0.35">
      <c r="A213">
        <v>2025</v>
      </c>
      <c r="B213" t="s">
        <v>152</v>
      </c>
      <c r="C213">
        <v>5</v>
      </c>
      <c r="D213" t="s">
        <v>81</v>
      </c>
      <c r="E213">
        <v>139</v>
      </c>
      <c r="F213">
        <v>186</v>
      </c>
      <c r="G213">
        <v>65</v>
      </c>
      <c r="H213" t="s">
        <v>78</v>
      </c>
      <c r="I213" t="s">
        <v>160</v>
      </c>
    </row>
    <row r="214" spans="1:9" ht="15" customHeight="1" x14ac:dyDescent="0.35">
      <c r="A214">
        <v>2025</v>
      </c>
      <c r="B214" t="s">
        <v>153</v>
      </c>
      <c r="C214">
        <v>6</v>
      </c>
      <c r="D214" t="s">
        <v>81</v>
      </c>
      <c r="E214">
        <v>142</v>
      </c>
      <c r="F214">
        <v>195</v>
      </c>
      <c r="G214">
        <v>86</v>
      </c>
      <c r="H214" t="s">
        <v>78</v>
      </c>
      <c r="I214" t="s">
        <v>160</v>
      </c>
    </row>
    <row r="215" spans="1:9" ht="15" customHeight="1" x14ac:dyDescent="0.35">
      <c r="A215">
        <v>2025</v>
      </c>
      <c r="B215" t="s">
        <v>154</v>
      </c>
      <c r="C215">
        <v>7</v>
      </c>
      <c r="D215" t="s">
        <v>81</v>
      </c>
      <c r="E215">
        <v>159</v>
      </c>
      <c r="F215">
        <v>216</v>
      </c>
      <c r="G215">
        <v>89</v>
      </c>
      <c r="H215" t="s">
        <v>78</v>
      </c>
      <c r="I215" t="s">
        <v>160</v>
      </c>
    </row>
    <row r="216" spans="1:9" ht="15" customHeight="1" x14ac:dyDescent="0.35">
      <c r="A216">
        <v>2025</v>
      </c>
      <c r="B216" t="s">
        <v>155</v>
      </c>
      <c r="C216">
        <v>8</v>
      </c>
      <c r="D216" t="s">
        <v>81</v>
      </c>
      <c r="E216">
        <v>154</v>
      </c>
      <c r="F216">
        <v>209</v>
      </c>
      <c r="G216">
        <v>107</v>
      </c>
      <c r="H216" t="s">
        <v>78</v>
      </c>
      <c r="I216" t="s">
        <v>160</v>
      </c>
    </row>
    <row r="217" spans="1:9" ht="15" customHeight="1" x14ac:dyDescent="0.35">
      <c r="A217">
        <v>2025</v>
      </c>
      <c r="B217" t="s">
        <v>156</v>
      </c>
      <c r="C217">
        <v>9</v>
      </c>
      <c r="D217" t="s">
        <v>81</v>
      </c>
      <c r="E217">
        <v>155</v>
      </c>
      <c r="F217">
        <v>209</v>
      </c>
      <c r="G217">
        <v>108</v>
      </c>
      <c r="H217" t="s">
        <v>78</v>
      </c>
      <c r="I217" t="s">
        <v>160</v>
      </c>
    </row>
    <row r="218" spans="1:9" ht="15" customHeight="1" x14ac:dyDescent="0.35">
      <c r="A218">
        <v>2025</v>
      </c>
      <c r="B218" t="s">
        <v>157</v>
      </c>
      <c r="C218">
        <v>10</v>
      </c>
      <c r="D218" t="s">
        <v>81</v>
      </c>
      <c r="E218">
        <v>128</v>
      </c>
      <c r="F218">
        <v>195</v>
      </c>
      <c r="G218">
        <v>88</v>
      </c>
      <c r="H218" t="s">
        <v>78</v>
      </c>
      <c r="I218" t="s">
        <v>160</v>
      </c>
    </row>
    <row r="219" spans="1:9" ht="15" customHeight="1" x14ac:dyDescent="0.35">
      <c r="A219">
        <v>2025</v>
      </c>
      <c r="B219" t="s">
        <v>158</v>
      </c>
      <c r="C219">
        <v>11</v>
      </c>
      <c r="D219" t="s">
        <v>81</v>
      </c>
      <c r="E219">
        <v>120</v>
      </c>
      <c r="F219">
        <v>173</v>
      </c>
      <c r="G219">
        <v>86</v>
      </c>
      <c r="H219" t="s">
        <v>78</v>
      </c>
      <c r="I219" t="s">
        <v>160</v>
      </c>
    </row>
    <row r="220" spans="1:9" ht="15" customHeight="1" x14ac:dyDescent="0.35">
      <c r="A220">
        <v>2025</v>
      </c>
      <c r="B220" t="s">
        <v>159</v>
      </c>
      <c r="C220">
        <v>12</v>
      </c>
      <c r="D220" t="s">
        <v>81</v>
      </c>
      <c r="E220">
        <v>134</v>
      </c>
      <c r="F220">
        <v>191</v>
      </c>
      <c r="G220">
        <v>90</v>
      </c>
      <c r="H220" t="s">
        <v>78</v>
      </c>
      <c r="I220" t="s">
        <v>160</v>
      </c>
    </row>
    <row r="221" spans="1:9" ht="15" customHeight="1" x14ac:dyDescent="0.35">
      <c r="A221">
        <v>2026</v>
      </c>
      <c r="B221" t="s">
        <v>147</v>
      </c>
      <c r="C221">
        <v>1</v>
      </c>
      <c r="D221" t="s">
        <v>81</v>
      </c>
      <c r="E221">
        <v>133</v>
      </c>
      <c r="F221">
        <v>187</v>
      </c>
      <c r="G221">
        <v>92</v>
      </c>
      <c r="H221" t="s">
        <v>78</v>
      </c>
      <c r="I221" t="s">
        <v>160</v>
      </c>
    </row>
    <row r="222" spans="1:9" ht="15" customHeight="1" x14ac:dyDescent="0.35">
      <c r="A222">
        <v>2026</v>
      </c>
      <c r="B222" t="s">
        <v>149</v>
      </c>
      <c r="C222">
        <v>2</v>
      </c>
      <c r="D222" t="s">
        <v>81</v>
      </c>
      <c r="E222">
        <v>129</v>
      </c>
      <c r="F222">
        <v>184</v>
      </c>
      <c r="G222">
        <v>81</v>
      </c>
      <c r="H222" t="s">
        <v>78</v>
      </c>
      <c r="I222" t="s">
        <v>160</v>
      </c>
    </row>
    <row r="223" spans="1:9" ht="15" customHeight="1" x14ac:dyDescent="0.35">
      <c r="A223">
        <v>2026</v>
      </c>
      <c r="B223" t="s">
        <v>150</v>
      </c>
      <c r="C223">
        <v>3</v>
      </c>
      <c r="D223" t="s">
        <v>81</v>
      </c>
      <c r="E223">
        <v>137</v>
      </c>
      <c r="F223">
        <v>193</v>
      </c>
      <c r="G223">
        <v>98</v>
      </c>
      <c r="H223" t="s">
        <v>78</v>
      </c>
      <c r="I223" t="s">
        <v>160</v>
      </c>
    </row>
    <row r="224" spans="1:9" ht="15" customHeight="1" x14ac:dyDescent="0.35">
      <c r="A224">
        <v>2017</v>
      </c>
      <c r="B224" t="s">
        <v>147</v>
      </c>
      <c r="C224">
        <v>1</v>
      </c>
      <c r="D224" t="s">
        <v>82</v>
      </c>
      <c r="E224">
        <v>883</v>
      </c>
      <c r="F224">
        <v>1345</v>
      </c>
      <c r="G224">
        <v>602</v>
      </c>
      <c r="H224" t="s">
        <v>122</v>
      </c>
      <c r="I224" t="s">
        <v>161</v>
      </c>
    </row>
    <row r="225" spans="1:9" ht="15" customHeight="1" x14ac:dyDescent="0.35">
      <c r="A225">
        <v>2017</v>
      </c>
      <c r="B225" t="s">
        <v>149</v>
      </c>
      <c r="C225">
        <v>2</v>
      </c>
      <c r="D225" t="s">
        <v>82</v>
      </c>
      <c r="E225">
        <v>878</v>
      </c>
      <c r="F225">
        <v>1378</v>
      </c>
      <c r="G225">
        <v>465</v>
      </c>
      <c r="H225" t="s">
        <v>122</v>
      </c>
      <c r="I225" t="s">
        <v>161</v>
      </c>
    </row>
    <row r="226" spans="1:9" ht="15" customHeight="1" x14ac:dyDescent="0.35">
      <c r="A226">
        <v>2017</v>
      </c>
      <c r="B226" t="s">
        <v>150</v>
      </c>
      <c r="C226">
        <v>3</v>
      </c>
      <c r="D226" t="s">
        <v>82</v>
      </c>
      <c r="E226">
        <v>842</v>
      </c>
      <c r="F226">
        <v>1354</v>
      </c>
      <c r="G226">
        <v>269</v>
      </c>
      <c r="H226" t="s">
        <v>122</v>
      </c>
      <c r="I226" t="s">
        <v>161</v>
      </c>
    </row>
    <row r="227" spans="1:9" ht="15" customHeight="1" x14ac:dyDescent="0.35">
      <c r="A227">
        <v>2017</v>
      </c>
      <c r="B227" t="s">
        <v>151</v>
      </c>
      <c r="C227">
        <v>4</v>
      </c>
      <c r="D227" t="s">
        <v>82</v>
      </c>
      <c r="E227">
        <v>828</v>
      </c>
      <c r="F227">
        <v>1427</v>
      </c>
      <c r="G227">
        <v>361</v>
      </c>
      <c r="H227" t="s">
        <v>123</v>
      </c>
      <c r="I227" t="s">
        <v>161</v>
      </c>
    </row>
    <row r="228" spans="1:9" ht="15" customHeight="1" x14ac:dyDescent="0.35">
      <c r="A228">
        <v>2017</v>
      </c>
      <c r="B228" t="s">
        <v>152</v>
      </c>
      <c r="C228">
        <v>5</v>
      </c>
      <c r="D228" t="s">
        <v>82</v>
      </c>
      <c r="E228">
        <v>964</v>
      </c>
      <c r="F228">
        <v>1546</v>
      </c>
      <c r="G228">
        <v>485</v>
      </c>
      <c r="H228" t="s">
        <v>123</v>
      </c>
      <c r="I228" t="s">
        <v>161</v>
      </c>
    </row>
    <row r="229" spans="1:9" ht="15" customHeight="1" x14ac:dyDescent="0.35">
      <c r="A229">
        <v>2017</v>
      </c>
      <c r="B229" t="s">
        <v>153</v>
      </c>
      <c r="C229">
        <v>6</v>
      </c>
      <c r="D229" t="s">
        <v>82</v>
      </c>
      <c r="E229">
        <v>1101</v>
      </c>
      <c r="F229">
        <v>1578</v>
      </c>
      <c r="G229">
        <v>615</v>
      </c>
      <c r="H229" t="s">
        <v>123</v>
      </c>
      <c r="I229" t="s">
        <v>161</v>
      </c>
    </row>
    <row r="230" spans="1:9" ht="15" customHeight="1" x14ac:dyDescent="0.35">
      <c r="A230">
        <v>2017</v>
      </c>
      <c r="B230" t="s">
        <v>154</v>
      </c>
      <c r="C230">
        <v>7</v>
      </c>
      <c r="D230" t="s">
        <v>82</v>
      </c>
      <c r="E230">
        <v>1150</v>
      </c>
      <c r="F230">
        <v>1600</v>
      </c>
      <c r="G230">
        <v>647</v>
      </c>
      <c r="H230" t="s">
        <v>123</v>
      </c>
      <c r="I230" t="s">
        <v>161</v>
      </c>
    </row>
    <row r="231" spans="1:9" ht="15" customHeight="1" x14ac:dyDescent="0.35">
      <c r="A231">
        <v>2017</v>
      </c>
      <c r="B231" t="s">
        <v>155</v>
      </c>
      <c r="C231">
        <v>8</v>
      </c>
      <c r="D231" t="s">
        <v>82</v>
      </c>
      <c r="E231">
        <v>1190</v>
      </c>
      <c r="F231">
        <v>1647</v>
      </c>
      <c r="G231">
        <v>811</v>
      </c>
      <c r="H231" t="s">
        <v>123</v>
      </c>
      <c r="I231" t="s">
        <v>161</v>
      </c>
    </row>
    <row r="232" spans="1:9" ht="15" customHeight="1" x14ac:dyDescent="0.35">
      <c r="A232">
        <v>2017</v>
      </c>
      <c r="B232" t="s">
        <v>156</v>
      </c>
      <c r="C232">
        <v>9</v>
      </c>
      <c r="D232" t="s">
        <v>82</v>
      </c>
      <c r="E232">
        <v>1157</v>
      </c>
      <c r="F232">
        <v>1652</v>
      </c>
      <c r="G232">
        <v>647</v>
      </c>
      <c r="H232" t="s">
        <v>123</v>
      </c>
      <c r="I232" t="s">
        <v>161</v>
      </c>
    </row>
    <row r="233" spans="1:9" ht="15" customHeight="1" x14ac:dyDescent="0.35">
      <c r="A233">
        <v>2017</v>
      </c>
      <c r="B233" t="s">
        <v>157</v>
      </c>
      <c r="C233">
        <v>10</v>
      </c>
      <c r="D233" t="s">
        <v>82</v>
      </c>
      <c r="E233">
        <v>1113</v>
      </c>
      <c r="F233">
        <v>1722</v>
      </c>
      <c r="G233">
        <v>616</v>
      </c>
      <c r="H233" t="s">
        <v>123</v>
      </c>
      <c r="I233" t="s">
        <v>161</v>
      </c>
    </row>
    <row r="234" spans="1:9" ht="15" customHeight="1" x14ac:dyDescent="0.35">
      <c r="A234">
        <v>2017</v>
      </c>
      <c r="B234" t="s">
        <v>158</v>
      </c>
      <c r="C234">
        <v>11</v>
      </c>
      <c r="D234" t="s">
        <v>82</v>
      </c>
      <c r="E234">
        <v>944</v>
      </c>
      <c r="F234">
        <v>1495</v>
      </c>
      <c r="G234">
        <v>623</v>
      </c>
      <c r="H234" t="s">
        <v>123</v>
      </c>
      <c r="I234" t="s">
        <v>161</v>
      </c>
    </row>
    <row r="235" spans="1:9" ht="15" customHeight="1" x14ac:dyDescent="0.35">
      <c r="A235">
        <v>2017</v>
      </c>
      <c r="B235" t="s">
        <v>159</v>
      </c>
      <c r="C235">
        <v>12</v>
      </c>
      <c r="D235" t="s">
        <v>82</v>
      </c>
      <c r="E235">
        <v>920</v>
      </c>
      <c r="F235">
        <v>1402</v>
      </c>
      <c r="G235">
        <v>655</v>
      </c>
      <c r="H235" t="s">
        <v>123</v>
      </c>
      <c r="I235" t="s">
        <v>161</v>
      </c>
    </row>
    <row r="236" spans="1:9" ht="15" customHeight="1" x14ac:dyDescent="0.35">
      <c r="A236">
        <v>2018</v>
      </c>
      <c r="B236" t="s">
        <v>147</v>
      </c>
      <c r="C236">
        <v>1</v>
      </c>
      <c r="D236" t="s">
        <v>82</v>
      </c>
      <c r="E236">
        <v>925</v>
      </c>
      <c r="F236">
        <v>1402</v>
      </c>
      <c r="G236">
        <v>598</v>
      </c>
      <c r="H236" t="s">
        <v>123</v>
      </c>
      <c r="I236" t="s">
        <v>161</v>
      </c>
    </row>
    <row r="237" spans="1:9" ht="15" customHeight="1" x14ac:dyDescent="0.35">
      <c r="A237">
        <v>2018</v>
      </c>
      <c r="B237" t="s">
        <v>149</v>
      </c>
      <c r="C237">
        <v>2</v>
      </c>
      <c r="D237" t="s">
        <v>82</v>
      </c>
      <c r="E237">
        <v>935</v>
      </c>
      <c r="F237">
        <v>1398</v>
      </c>
      <c r="G237">
        <v>635</v>
      </c>
      <c r="H237" t="s">
        <v>123</v>
      </c>
      <c r="I237" t="s">
        <v>161</v>
      </c>
    </row>
    <row r="238" spans="1:9" ht="15" customHeight="1" x14ac:dyDescent="0.35">
      <c r="A238">
        <v>2018</v>
      </c>
      <c r="B238" t="s">
        <v>150</v>
      </c>
      <c r="C238">
        <v>3</v>
      </c>
      <c r="D238" t="s">
        <v>82</v>
      </c>
      <c r="E238">
        <v>896</v>
      </c>
      <c r="F238">
        <v>1421</v>
      </c>
      <c r="G238">
        <v>432</v>
      </c>
      <c r="H238" t="s">
        <v>123</v>
      </c>
      <c r="I238" t="s">
        <v>161</v>
      </c>
    </row>
    <row r="239" spans="1:9" ht="15" customHeight="1" x14ac:dyDescent="0.35">
      <c r="A239">
        <v>2018</v>
      </c>
      <c r="B239" t="s">
        <v>151</v>
      </c>
      <c r="C239">
        <v>4</v>
      </c>
      <c r="D239" t="s">
        <v>82</v>
      </c>
      <c r="E239">
        <v>925</v>
      </c>
      <c r="F239">
        <v>1494</v>
      </c>
      <c r="G239">
        <v>477</v>
      </c>
      <c r="H239" t="s">
        <v>124</v>
      </c>
      <c r="I239" t="s">
        <v>161</v>
      </c>
    </row>
    <row r="240" spans="1:9" ht="15" customHeight="1" x14ac:dyDescent="0.35">
      <c r="A240">
        <v>2018</v>
      </c>
      <c r="B240" t="s">
        <v>152</v>
      </c>
      <c r="C240">
        <v>5</v>
      </c>
      <c r="D240" t="s">
        <v>82</v>
      </c>
      <c r="E240">
        <v>1000</v>
      </c>
      <c r="F240">
        <v>1604</v>
      </c>
      <c r="G240">
        <v>512</v>
      </c>
      <c r="H240" t="s">
        <v>124</v>
      </c>
      <c r="I240" t="s">
        <v>161</v>
      </c>
    </row>
    <row r="241" spans="1:9" ht="15" customHeight="1" x14ac:dyDescent="0.35">
      <c r="A241">
        <v>2018</v>
      </c>
      <c r="B241" t="s">
        <v>153</v>
      </c>
      <c r="C241">
        <v>6</v>
      </c>
      <c r="D241" t="s">
        <v>82</v>
      </c>
      <c r="E241">
        <v>1211</v>
      </c>
      <c r="F241">
        <v>1734</v>
      </c>
      <c r="G241">
        <v>614</v>
      </c>
      <c r="H241" t="s">
        <v>124</v>
      </c>
      <c r="I241" t="s">
        <v>161</v>
      </c>
    </row>
    <row r="242" spans="1:9" ht="15" customHeight="1" x14ac:dyDescent="0.35">
      <c r="A242">
        <v>2018</v>
      </c>
      <c r="B242" t="s">
        <v>154</v>
      </c>
      <c r="C242">
        <v>7</v>
      </c>
      <c r="D242" t="s">
        <v>82</v>
      </c>
      <c r="E242">
        <v>1295</v>
      </c>
      <c r="F242">
        <v>1730</v>
      </c>
      <c r="G242">
        <v>871</v>
      </c>
      <c r="H242" t="s">
        <v>124</v>
      </c>
      <c r="I242" t="s">
        <v>161</v>
      </c>
    </row>
    <row r="243" spans="1:9" ht="15" customHeight="1" x14ac:dyDescent="0.35">
      <c r="A243">
        <v>2018</v>
      </c>
      <c r="B243" t="s">
        <v>155</v>
      </c>
      <c r="C243">
        <v>8</v>
      </c>
      <c r="D243" t="s">
        <v>82</v>
      </c>
      <c r="E243">
        <v>1343</v>
      </c>
      <c r="F243">
        <v>1770</v>
      </c>
      <c r="G243">
        <v>891</v>
      </c>
      <c r="H243" t="s">
        <v>124</v>
      </c>
      <c r="I243" t="s">
        <v>161</v>
      </c>
    </row>
    <row r="244" spans="1:9" ht="15" customHeight="1" x14ac:dyDescent="0.35">
      <c r="A244">
        <v>2018</v>
      </c>
      <c r="B244" t="s">
        <v>156</v>
      </c>
      <c r="C244">
        <v>9</v>
      </c>
      <c r="D244" t="s">
        <v>82</v>
      </c>
      <c r="E244">
        <v>1266</v>
      </c>
      <c r="F244">
        <v>1787</v>
      </c>
      <c r="G244">
        <v>783</v>
      </c>
      <c r="H244" t="s">
        <v>124</v>
      </c>
      <c r="I244" t="s">
        <v>161</v>
      </c>
    </row>
    <row r="245" spans="1:9" ht="15" customHeight="1" x14ac:dyDescent="0.35">
      <c r="A245">
        <v>2018</v>
      </c>
      <c r="B245" t="s">
        <v>157</v>
      </c>
      <c r="C245">
        <v>10</v>
      </c>
      <c r="D245" t="s">
        <v>82</v>
      </c>
      <c r="E245">
        <v>1057</v>
      </c>
      <c r="F245">
        <v>1690</v>
      </c>
      <c r="G245">
        <v>482</v>
      </c>
      <c r="H245" t="s">
        <v>124</v>
      </c>
      <c r="I245" t="s">
        <v>161</v>
      </c>
    </row>
    <row r="246" spans="1:9" ht="15" customHeight="1" x14ac:dyDescent="0.35">
      <c r="A246">
        <v>2018</v>
      </c>
      <c r="B246" t="s">
        <v>158</v>
      </c>
      <c r="C246">
        <v>11</v>
      </c>
      <c r="D246" t="s">
        <v>82</v>
      </c>
      <c r="E246">
        <v>959</v>
      </c>
      <c r="F246">
        <v>1515</v>
      </c>
      <c r="G246">
        <v>612</v>
      </c>
      <c r="H246" t="s">
        <v>124</v>
      </c>
      <c r="I246" t="s">
        <v>161</v>
      </c>
    </row>
    <row r="247" spans="1:9" ht="15" customHeight="1" x14ac:dyDescent="0.35">
      <c r="A247">
        <v>2018</v>
      </c>
      <c r="B247" t="s">
        <v>159</v>
      </c>
      <c r="C247">
        <v>12</v>
      </c>
      <c r="D247" t="s">
        <v>82</v>
      </c>
      <c r="E247">
        <v>919</v>
      </c>
      <c r="F247">
        <v>1430</v>
      </c>
      <c r="G247">
        <v>528</v>
      </c>
      <c r="H247" t="s">
        <v>124</v>
      </c>
      <c r="I247" t="s">
        <v>161</v>
      </c>
    </row>
    <row r="248" spans="1:9" ht="15" customHeight="1" x14ac:dyDescent="0.35">
      <c r="A248">
        <v>2019</v>
      </c>
      <c r="B248" t="s">
        <v>147</v>
      </c>
      <c r="C248">
        <v>1</v>
      </c>
      <c r="D248" t="s">
        <v>82</v>
      </c>
      <c r="E248">
        <v>924</v>
      </c>
      <c r="F248">
        <v>1371</v>
      </c>
      <c r="G248">
        <v>631</v>
      </c>
      <c r="H248" t="s">
        <v>124</v>
      </c>
      <c r="I248" t="s">
        <v>161</v>
      </c>
    </row>
    <row r="249" spans="1:9" ht="15" customHeight="1" x14ac:dyDescent="0.35">
      <c r="A249">
        <v>2019</v>
      </c>
      <c r="B249" t="s">
        <v>149</v>
      </c>
      <c r="C249">
        <v>2</v>
      </c>
      <c r="D249" t="s">
        <v>82</v>
      </c>
      <c r="E249">
        <v>935</v>
      </c>
      <c r="F249">
        <v>1442</v>
      </c>
      <c r="G249">
        <v>558</v>
      </c>
      <c r="H249" t="s">
        <v>124</v>
      </c>
      <c r="I249" t="s">
        <v>161</v>
      </c>
    </row>
    <row r="250" spans="1:9" ht="15" customHeight="1" x14ac:dyDescent="0.35">
      <c r="A250">
        <v>2019</v>
      </c>
      <c r="B250" t="s">
        <v>150</v>
      </c>
      <c r="C250">
        <v>3</v>
      </c>
      <c r="D250" t="s">
        <v>82</v>
      </c>
      <c r="E250">
        <v>934</v>
      </c>
      <c r="F250">
        <v>1519</v>
      </c>
      <c r="G250">
        <v>485</v>
      </c>
      <c r="H250" t="s">
        <v>124</v>
      </c>
      <c r="I250" t="s">
        <v>161</v>
      </c>
    </row>
    <row r="251" spans="1:9" ht="15" customHeight="1" x14ac:dyDescent="0.35">
      <c r="A251">
        <v>2019</v>
      </c>
      <c r="B251" t="s">
        <v>151</v>
      </c>
      <c r="C251">
        <v>4</v>
      </c>
      <c r="D251" t="s">
        <v>82</v>
      </c>
      <c r="E251">
        <v>953</v>
      </c>
      <c r="F251">
        <v>1641</v>
      </c>
      <c r="G251">
        <v>225</v>
      </c>
      <c r="H251" t="s">
        <v>71</v>
      </c>
      <c r="I251" t="s">
        <v>161</v>
      </c>
    </row>
    <row r="252" spans="1:9" ht="15" customHeight="1" x14ac:dyDescent="0.35">
      <c r="A252">
        <v>2019</v>
      </c>
      <c r="B252" t="s">
        <v>152</v>
      </c>
      <c r="C252">
        <v>5</v>
      </c>
      <c r="D252" t="s">
        <v>82</v>
      </c>
      <c r="E252">
        <v>985</v>
      </c>
      <c r="F252">
        <v>1680</v>
      </c>
      <c r="G252">
        <v>369</v>
      </c>
      <c r="H252" t="s">
        <v>71</v>
      </c>
      <c r="I252" t="s">
        <v>161</v>
      </c>
    </row>
    <row r="253" spans="1:9" ht="15" customHeight="1" x14ac:dyDescent="0.35">
      <c r="A253">
        <v>2019</v>
      </c>
      <c r="B253" t="s">
        <v>153</v>
      </c>
      <c r="C253">
        <v>6</v>
      </c>
      <c r="D253" t="s">
        <v>82</v>
      </c>
      <c r="E253">
        <v>1281</v>
      </c>
      <c r="F253">
        <v>1836</v>
      </c>
      <c r="G253">
        <v>784</v>
      </c>
      <c r="H253" t="s">
        <v>71</v>
      </c>
      <c r="I253" t="s">
        <v>161</v>
      </c>
    </row>
    <row r="254" spans="1:9" ht="15" customHeight="1" x14ac:dyDescent="0.35">
      <c r="A254">
        <v>2019</v>
      </c>
      <c r="B254" t="s">
        <v>154</v>
      </c>
      <c r="C254">
        <v>7</v>
      </c>
      <c r="D254" t="s">
        <v>82</v>
      </c>
      <c r="E254">
        <v>1230</v>
      </c>
      <c r="F254">
        <v>1778</v>
      </c>
      <c r="G254">
        <v>756</v>
      </c>
      <c r="H254" t="s">
        <v>71</v>
      </c>
      <c r="I254" t="s">
        <v>161</v>
      </c>
    </row>
    <row r="255" spans="1:9" ht="15" customHeight="1" x14ac:dyDescent="0.35">
      <c r="A255">
        <v>2019</v>
      </c>
      <c r="B255" t="s">
        <v>155</v>
      </c>
      <c r="C255">
        <v>8</v>
      </c>
      <c r="D255" t="s">
        <v>82</v>
      </c>
      <c r="E255">
        <v>1429</v>
      </c>
      <c r="F255">
        <v>1883</v>
      </c>
      <c r="G255">
        <v>934</v>
      </c>
      <c r="H255" t="s">
        <v>71</v>
      </c>
      <c r="I255" t="s">
        <v>161</v>
      </c>
    </row>
    <row r="256" spans="1:9" ht="15" customHeight="1" x14ac:dyDescent="0.35">
      <c r="A256">
        <v>2019</v>
      </c>
      <c r="B256" t="s">
        <v>156</v>
      </c>
      <c r="C256">
        <v>9</v>
      </c>
      <c r="D256" t="s">
        <v>82</v>
      </c>
      <c r="E256">
        <v>1327</v>
      </c>
      <c r="F256">
        <v>1896</v>
      </c>
      <c r="G256">
        <v>739</v>
      </c>
      <c r="H256" t="s">
        <v>71</v>
      </c>
      <c r="I256" t="s">
        <v>161</v>
      </c>
    </row>
    <row r="257" spans="1:9" ht="15" customHeight="1" x14ac:dyDescent="0.35">
      <c r="A257">
        <v>2019</v>
      </c>
      <c r="B257" t="s">
        <v>157</v>
      </c>
      <c r="C257">
        <v>10</v>
      </c>
      <c r="D257" t="s">
        <v>82</v>
      </c>
      <c r="E257">
        <v>1116</v>
      </c>
      <c r="F257">
        <v>1733</v>
      </c>
      <c r="G257">
        <v>490</v>
      </c>
      <c r="H257" t="s">
        <v>71</v>
      </c>
      <c r="I257" t="s">
        <v>161</v>
      </c>
    </row>
    <row r="258" spans="1:9" ht="15" customHeight="1" x14ac:dyDescent="0.35">
      <c r="A258">
        <v>2019</v>
      </c>
      <c r="B258" t="s">
        <v>158</v>
      </c>
      <c r="C258">
        <v>11</v>
      </c>
      <c r="D258" t="s">
        <v>82</v>
      </c>
      <c r="E258">
        <v>987</v>
      </c>
      <c r="F258">
        <v>1481</v>
      </c>
      <c r="G258">
        <v>662</v>
      </c>
      <c r="H258" t="s">
        <v>71</v>
      </c>
      <c r="I258" t="s">
        <v>161</v>
      </c>
    </row>
    <row r="259" spans="1:9" ht="15" customHeight="1" x14ac:dyDescent="0.35">
      <c r="A259">
        <v>2019</v>
      </c>
      <c r="B259" t="s">
        <v>159</v>
      </c>
      <c r="C259">
        <v>12</v>
      </c>
      <c r="D259" t="s">
        <v>82</v>
      </c>
      <c r="E259">
        <v>893</v>
      </c>
      <c r="F259">
        <v>1354</v>
      </c>
      <c r="G259">
        <v>474</v>
      </c>
      <c r="H259" t="s">
        <v>71</v>
      </c>
      <c r="I259" t="s">
        <v>161</v>
      </c>
    </row>
    <row r="260" spans="1:9" ht="15" customHeight="1" x14ac:dyDescent="0.35">
      <c r="A260">
        <v>2020</v>
      </c>
      <c r="B260" t="s">
        <v>147</v>
      </c>
      <c r="C260">
        <v>1</v>
      </c>
      <c r="D260" t="s">
        <v>82</v>
      </c>
      <c r="E260">
        <v>918</v>
      </c>
      <c r="F260">
        <v>1360</v>
      </c>
      <c r="G260">
        <v>546</v>
      </c>
      <c r="H260" t="s">
        <v>71</v>
      </c>
      <c r="I260" t="s">
        <v>161</v>
      </c>
    </row>
    <row r="261" spans="1:9" ht="15" customHeight="1" x14ac:dyDescent="0.35">
      <c r="A261">
        <v>2020</v>
      </c>
      <c r="B261" t="s">
        <v>149</v>
      </c>
      <c r="C261">
        <v>2</v>
      </c>
      <c r="D261" t="s">
        <v>82</v>
      </c>
      <c r="E261">
        <v>927</v>
      </c>
      <c r="F261">
        <v>1390</v>
      </c>
      <c r="G261">
        <v>498</v>
      </c>
      <c r="H261" t="s">
        <v>71</v>
      </c>
      <c r="I261" t="s">
        <v>161</v>
      </c>
    </row>
    <row r="262" spans="1:9" ht="15" customHeight="1" x14ac:dyDescent="0.35">
      <c r="A262">
        <v>2020</v>
      </c>
      <c r="B262" t="s">
        <v>150</v>
      </c>
      <c r="C262">
        <v>3</v>
      </c>
      <c r="D262" t="s">
        <v>82</v>
      </c>
      <c r="E262">
        <v>912</v>
      </c>
      <c r="F262">
        <v>1422</v>
      </c>
      <c r="G262">
        <v>513</v>
      </c>
      <c r="H262" t="s">
        <v>71</v>
      </c>
      <c r="I262" t="s">
        <v>161</v>
      </c>
    </row>
    <row r="263" spans="1:9" ht="15" customHeight="1" x14ac:dyDescent="0.35">
      <c r="A263">
        <v>2020</v>
      </c>
      <c r="B263" t="s">
        <v>151</v>
      </c>
      <c r="C263">
        <v>4</v>
      </c>
      <c r="D263" t="s">
        <v>82</v>
      </c>
      <c r="E263">
        <v>766</v>
      </c>
      <c r="F263">
        <v>1368</v>
      </c>
      <c r="G263">
        <v>194</v>
      </c>
      <c r="H263" t="s">
        <v>72</v>
      </c>
      <c r="I263" t="s">
        <v>161</v>
      </c>
    </row>
    <row r="264" spans="1:9" ht="15" customHeight="1" x14ac:dyDescent="0.35">
      <c r="A264">
        <v>2020</v>
      </c>
      <c r="B264" t="s">
        <v>152</v>
      </c>
      <c r="C264">
        <v>5</v>
      </c>
      <c r="D264" t="s">
        <v>82</v>
      </c>
      <c r="E264">
        <v>974</v>
      </c>
      <c r="F264">
        <v>1650</v>
      </c>
      <c r="G264">
        <v>389</v>
      </c>
      <c r="H264" t="s">
        <v>72</v>
      </c>
      <c r="I264" t="s">
        <v>161</v>
      </c>
    </row>
    <row r="265" spans="1:9" ht="15" customHeight="1" x14ac:dyDescent="0.35">
      <c r="A265">
        <v>2020</v>
      </c>
      <c r="B265" t="s">
        <v>153</v>
      </c>
      <c r="C265">
        <v>6</v>
      </c>
      <c r="D265" t="s">
        <v>82</v>
      </c>
      <c r="E265">
        <v>1209</v>
      </c>
      <c r="F265">
        <v>1781</v>
      </c>
      <c r="G265">
        <v>663</v>
      </c>
      <c r="H265" t="s">
        <v>72</v>
      </c>
      <c r="I265" t="s">
        <v>161</v>
      </c>
    </row>
    <row r="266" spans="1:9" ht="15" customHeight="1" x14ac:dyDescent="0.35">
      <c r="A266">
        <v>2020</v>
      </c>
      <c r="B266" t="s">
        <v>154</v>
      </c>
      <c r="C266">
        <v>7</v>
      </c>
      <c r="D266" t="s">
        <v>82</v>
      </c>
      <c r="E266">
        <v>1265</v>
      </c>
      <c r="F266">
        <v>1755</v>
      </c>
      <c r="G266">
        <v>868</v>
      </c>
      <c r="H266" t="s">
        <v>72</v>
      </c>
      <c r="I266" t="s">
        <v>161</v>
      </c>
    </row>
    <row r="267" spans="1:9" ht="15" customHeight="1" x14ac:dyDescent="0.35">
      <c r="A267">
        <v>2020</v>
      </c>
      <c r="B267" t="s">
        <v>155</v>
      </c>
      <c r="C267">
        <v>8</v>
      </c>
      <c r="D267" t="s">
        <v>82</v>
      </c>
      <c r="E267">
        <v>1429</v>
      </c>
      <c r="F267">
        <v>1936</v>
      </c>
      <c r="G267">
        <v>816</v>
      </c>
      <c r="H267" t="s">
        <v>72</v>
      </c>
      <c r="I267" t="s">
        <v>161</v>
      </c>
    </row>
    <row r="268" spans="1:9" ht="15" customHeight="1" x14ac:dyDescent="0.35">
      <c r="A268">
        <v>2020</v>
      </c>
      <c r="B268" t="s">
        <v>156</v>
      </c>
      <c r="C268">
        <v>9</v>
      </c>
      <c r="D268" t="s">
        <v>82</v>
      </c>
      <c r="E268">
        <v>1379</v>
      </c>
      <c r="F268">
        <v>1961</v>
      </c>
      <c r="G268">
        <v>874</v>
      </c>
      <c r="H268" t="s">
        <v>72</v>
      </c>
      <c r="I268" t="s">
        <v>161</v>
      </c>
    </row>
    <row r="269" spans="1:9" ht="15" customHeight="1" x14ac:dyDescent="0.35">
      <c r="A269">
        <v>2020</v>
      </c>
      <c r="B269" t="s">
        <v>157</v>
      </c>
      <c r="C269">
        <v>10</v>
      </c>
      <c r="D269" t="s">
        <v>82</v>
      </c>
      <c r="E269">
        <v>1331</v>
      </c>
      <c r="F269">
        <v>1969</v>
      </c>
      <c r="G269">
        <v>589</v>
      </c>
      <c r="H269" t="s">
        <v>72</v>
      </c>
      <c r="I269" t="s">
        <v>161</v>
      </c>
    </row>
    <row r="270" spans="1:9" ht="15" customHeight="1" x14ac:dyDescent="0.35">
      <c r="A270">
        <v>2020</v>
      </c>
      <c r="B270" t="s">
        <v>158</v>
      </c>
      <c r="C270">
        <v>11</v>
      </c>
      <c r="D270" t="s">
        <v>82</v>
      </c>
      <c r="E270">
        <v>1021</v>
      </c>
      <c r="F270">
        <v>1704</v>
      </c>
      <c r="G270">
        <v>696</v>
      </c>
      <c r="H270" t="s">
        <v>72</v>
      </c>
      <c r="I270" t="s">
        <v>161</v>
      </c>
    </row>
    <row r="271" spans="1:9" ht="15" customHeight="1" x14ac:dyDescent="0.35">
      <c r="A271">
        <v>2020</v>
      </c>
      <c r="B271" t="s">
        <v>159</v>
      </c>
      <c r="C271">
        <v>12</v>
      </c>
      <c r="D271" t="s">
        <v>82</v>
      </c>
      <c r="E271">
        <v>970</v>
      </c>
      <c r="F271">
        <v>1458</v>
      </c>
      <c r="G271">
        <v>491</v>
      </c>
      <c r="H271" t="s">
        <v>72</v>
      </c>
      <c r="I271" t="s">
        <v>161</v>
      </c>
    </row>
    <row r="272" spans="1:9" ht="15" customHeight="1" x14ac:dyDescent="0.35">
      <c r="A272">
        <v>2021</v>
      </c>
      <c r="B272" t="s">
        <v>147</v>
      </c>
      <c r="C272">
        <v>1</v>
      </c>
      <c r="D272" t="s">
        <v>82</v>
      </c>
      <c r="E272">
        <v>982</v>
      </c>
      <c r="F272">
        <v>1456</v>
      </c>
      <c r="G272">
        <v>520</v>
      </c>
      <c r="H272" t="s">
        <v>72</v>
      </c>
      <c r="I272" t="s">
        <v>161</v>
      </c>
    </row>
    <row r="273" spans="1:9" ht="15" customHeight="1" x14ac:dyDescent="0.35">
      <c r="A273">
        <v>2021</v>
      </c>
      <c r="B273" t="s">
        <v>149</v>
      </c>
      <c r="C273">
        <v>2</v>
      </c>
      <c r="D273" t="s">
        <v>82</v>
      </c>
      <c r="E273">
        <v>1005</v>
      </c>
      <c r="F273">
        <v>1489</v>
      </c>
      <c r="G273">
        <v>689</v>
      </c>
      <c r="H273" t="s">
        <v>72</v>
      </c>
      <c r="I273" t="s">
        <v>161</v>
      </c>
    </row>
    <row r="274" spans="1:9" ht="15" customHeight="1" x14ac:dyDescent="0.35">
      <c r="A274">
        <v>2021</v>
      </c>
      <c r="B274" t="s">
        <v>150</v>
      </c>
      <c r="C274">
        <v>3</v>
      </c>
      <c r="D274" t="s">
        <v>82</v>
      </c>
      <c r="E274">
        <v>1063</v>
      </c>
      <c r="F274">
        <v>1679</v>
      </c>
      <c r="G274">
        <v>503</v>
      </c>
      <c r="H274" t="s">
        <v>72</v>
      </c>
      <c r="I274" t="s">
        <v>161</v>
      </c>
    </row>
    <row r="275" spans="1:9" ht="15" customHeight="1" x14ac:dyDescent="0.35">
      <c r="A275">
        <v>2021</v>
      </c>
      <c r="B275" t="s">
        <v>151</v>
      </c>
      <c r="C275">
        <v>4</v>
      </c>
      <c r="D275" t="s">
        <v>82</v>
      </c>
      <c r="E275">
        <v>1154</v>
      </c>
      <c r="F275">
        <v>1784</v>
      </c>
      <c r="G275">
        <v>487</v>
      </c>
      <c r="H275" t="s">
        <v>73</v>
      </c>
      <c r="I275" t="s">
        <v>161</v>
      </c>
    </row>
    <row r="276" spans="1:9" ht="15" customHeight="1" x14ac:dyDescent="0.35">
      <c r="A276">
        <v>2021</v>
      </c>
      <c r="B276" t="s">
        <v>152</v>
      </c>
      <c r="C276">
        <v>5</v>
      </c>
      <c r="D276" t="s">
        <v>82</v>
      </c>
      <c r="E276">
        <v>1145</v>
      </c>
      <c r="F276">
        <v>1841</v>
      </c>
      <c r="G276">
        <v>632</v>
      </c>
      <c r="H276" t="s">
        <v>73</v>
      </c>
      <c r="I276" t="s">
        <v>161</v>
      </c>
    </row>
    <row r="277" spans="1:9" ht="15" customHeight="1" x14ac:dyDescent="0.35">
      <c r="A277">
        <v>2021</v>
      </c>
      <c r="B277" t="s">
        <v>153</v>
      </c>
      <c r="C277">
        <v>6</v>
      </c>
      <c r="D277" t="s">
        <v>82</v>
      </c>
      <c r="E277">
        <v>1368</v>
      </c>
      <c r="F277">
        <v>1949</v>
      </c>
      <c r="G277">
        <v>772</v>
      </c>
      <c r="H277" t="s">
        <v>73</v>
      </c>
      <c r="I277" t="s">
        <v>161</v>
      </c>
    </row>
    <row r="278" spans="1:9" ht="15" customHeight="1" x14ac:dyDescent="0.35">
      <c r="A278">
        <v>2021</v>
      </c>
      <c r="B278" t="s">
        <v>154</v>
      </c>
      <c r="C278">
        <v>7</v>
      </c>
      <c r="D278" t="s">
        <v>82</v>
      </c>
      <c r="E278">
        <v>1479</v>
      </c>
      <c r="F278">
        <v>2017</v>
      </c>
      <c r="G278">
        <v>1011</v>
      </c>
      <c r="H278" t="s">
        <v>73</v>
      </c>
      <c r="I278" t="s">
        <v>161</v>
      </c>
    </row>
    <row r="279" spans="1:9" ht="15" customHeight="1" x14ac:dyDescent="0.35">
      <c r="A279">
        <v>2021</v>
      </c>
      <c r="B279" t="s">
        <v>155</v>
      </c>
      <c r="C279">
        <v>8</v>
      </c>
      <c r="D279" t="s">
        <v>82</v>
      </c>
      <c r="E279">
        <v>1493</v>
      </c>
      <c r="F279">
        <v>2007</v>
      </c>
      <c r="G279">
        <v>1045</v>
      </c>
      <c r="H279" t="s">
        <v>73</v>
      </c>
      <c r="I279" t="s">
        <v>161</v>
      </c>
    </row>
    <row r="280" spans="1:9" ht="15" customHeight="1" x14ac:dyDescent="0.35">
      <c r="A280">
        <v>2021</v>
      </c>
      <c r="B280" t="s">
        <v>156</v>
      </c>
      <c r="C280">
        <v>9</v>
      </c>
      <c r="D280" t="s">
        <v>82</v>
      </c>
      <c r="E280">
        <v>1556</v>
      </c>
      <c r="F280">
        <v>2089</v>
      </c>
      <c r="G280">
        <v>970</v>
      </c>
      <c r="H280" t="s">
        <v>73</v>
      </c>
      <c r="I280" t="s">
        <v>161</v>
      </c>
    </row>
    <row r="281" spans="1:9" ht="15" customHeight="1" x14ac:dyDescent="0.35">
      <c r="A281">
        <v>2021</v>
      </c>
      <c r="B281" t="s">
        <v>157</v>
      </c>
      <c r="C281">
        <v>10</v>
      </c>
      <c r="D281" t="s">
        <v>82</v>
      </c>
      <c r="E281">
        <v>1427</v>
      </c>
      <c r="F281">
        <v>2043</v>
      </c>
      <c r="G281">
        <v>919</v>
      </c>
      <c r="H281" t="s">
        <v>73</v>
      </c>
      <c r="I281" t="s">
        <v>161</v>
      </c>
    </row>
    <row r="282" spans="1:9" ht="15" customHeight="1" x14ac:dyDescent="0.35">
      <c r="A282">
        <v>2021</v>
      </c>
      <c r="B282" t="s">
        <v>158</v>
      </c>
      <c r="C282">
        <v>11</v>
      </c>
      <c r="D282" t="s">
        <v>82</v>
      </c>
      <c r="E282">
        <v>1042</v>
      </c>
      <c r="F282">
        <v>1575</v>
      </c>
      <c r="G282">
        <v>705</v>
      </c>
      <c r="H282" t="s">
        <v>73</v>
      </c>
      <c r="I282" t="s">
        <v>161</v>
      </c>
    </row>
    <row r="283" spans="1:9" ht="15" customHeight="1" x14ac:dyDescent="0.35">
      <c r="A283">
        <v>2021</v>
      </c>
      <c r="B283" t="s">
        <v>159</v>
      </c>
      <c r="C283">
        <v>12</v>
      </c>
      <c r="D283" t="s">
        <v>82</v>
      </c>
      <c r="E283">
        <v>1018</v>
      </c>
      <c r="F283">
        <v>1479</v>
      </c>
      <c r="G283">
        <v>699</v>
      </c>
      <c r="H283" t="s">
        <v>73</v>
      </c>
      <c r="I283" t="s">
        <v>161</v>
      </c>
    </row>
    <row r="284" spans="1:9" ht="15" customHeight="1" x14ac:dyDescent="0.35">
      <c r="A284">
        <v>2022</v>
      </c>
      <c r="B284" t="s">
        <v>147</v>
      </c>
      <c r="C284">
        <v>1</v>
      </c>
      <c r="D284" t="s">
        <v>82</v>
      </c>
      <c r="E284">
        <v>1018</v>
      </c>
      <c r="F284">
        <v>1535</v>
      </c>
      <c r="G284">
        <v>473</v>
      </c>
      <c r="H284" t="s">
        <v>73</v>
      </c>
      <c r="I284" t="s">
        <v>161</v>
      </c>
    </row>
    <row r="285" spans="1:9" ht="15" customHeight="1" x14ac:dyDescent="0.35">
      <c r="A285">
        <v>2022</v>
      </c>
      <c r="B285" t="s">
        <v>149</v>
      </c>
      <c r="C285">
        <v>2</v>
      </c>
      <c r="D285" t="s">
        <v>82</v>
      </c>
      <c r="E285">
        <v>1011</v>
      </c>
      <c r="F285">
        <v>1490</v>
      </c>
      <c r="G285">
        <v>503</v>
      </c>
      <c r="H285" t="s">
        <v>73</v>
      </c>
      <c r="I285" t="s">
        <v>161</v>
      </c>
    </row>
    <row r="286" spans="1:9" ht="15" customHeight="1" x14ac:dyDescent="0.35">
      <c r="A286">
        <v>2022</v>
      </c>
      <c r="B286" t="s">
        <v>150</v>
      </c>
      <c r="C286">
        <v>3</v>
      </c>
      <c r="D286" t="s">
        <v>82</v>
      </c>
      <c r="E286">
        <v>1171</v>
      </c>
      <c r="F286">
        <v>1667</v>
      </c>
      <c r="G286">
        <v>768</v>
      </c>
      <c r="H286" t="s">
        <v>73</v>
      </c>
      <c r="I286" t="s">
        <v>161</v>
      </c>
    </row>
    <row r="287" spans="1:9" ht="15" customHeight="1" x14ac:dyDescent="0.35">
      <c r="A287">
        <v>2022</v>
      </c>
      <c r="B287" t="s">
        <v>151</v>
      </c>
      <c r="C287">
        <v>4</v>
      </c>
      <c r="D287" t="s">
        <v>82</v>
      </c>
      <c r="E287">
        <v>1224</v>
      </c>
      <c r="F287">
        <v>1648</v>
      </c>
      <c r="G287">
        <v>980</v>
      </c>
      <c r="H287" t="s">
        <v>74</v>
      </c>
      <c r="I287" t="s">
        <v>161</v>
      </c>
    </row>
    <row r="288" spans="1:9" ht="15" customHeight="1" x14ac:dyDescent="0.35">
      <c r="A288">
        <v>2022</v>
      </c>
      <c r="B288" t="s">
        <v>152</v>
      </c>
      <c r="C288">
        <v>5</v>
      </c>
      <c r="D288" t="s">
        <v>82</v>
      </c>
      <c r="E288">
        <v>1224</v>
      </c>
      <c r="F288">
        <v>1648</v>
      </c>
      <c r="G288">
        <v>980</v>
      </c>
      <c r="H288" t="s">
        <v>74</v>
      </c>
      <c r="I288" t="s">
        <v>161</v>
      </c>
    </row>
    <row r="289" spans="1:9" ht="15" customHeight="1" x14ac:dyDescent="0.35">
      <c r="A289">
        <v>2022</v>
      </c>
      <c r="B289" t="s">
        <v>153</v>
      </c>
      <c r="C289">
        <v>6</v>
      </c>
      <c r="D289" t="s">
        <v>82</v>
      </c>
      <c r="E289">
        <v>1264</v>
      </c>
      <c r="F289">
        <v>1936</v>
      </c>
      <c r="G289">
        <v>693</v>
      </c>
      <c r="H289" t="s">
        <v>74</v>
      </c>
      <c r="I289" t="s">
        <v>161</v>
      </c>
    </row>
    <row r="290" spans="1:9" ht="15" customHeight="1" x14ac:dyDescent="0.35">
      <c r="A290">
        <v>2022</v>
      </c>
      <c r="B290" t="s">
        <v>154</v>
      </c>
      <c r="C290">
        <v>7</v>
      </c>
      <c r="D290" t="s">
        <v>82</v>
      </c>
      <c r="E290">
        <v>1662</v>
      </c>
      <c r="F290">
        <v>2202</v>
      </c>
      <c r="G290">
        <v>1102</v>
      </c>
      <c r="H290" t="s">
        <v>74</v>
      </c>
      <c r="I290" t="s">
        <v>161</v>
      </c>
    </row>
    <row r="291" spans="1:9" ht="15" customHeight="1" x14ac:dyDescent="0.35">
      <c r="A291">
        <v>2022</v>
      </c>
      <c r="B291" t="s">
        <v>155</v>
      </c>
      <c r="C291">
        <v>8</v>
      </c>
      <c r="D291" t="s">
        <v>82</v>
      </c>
      <c r="E291">
        <v>1760</v>
      </c>
      <c r="F291">
        <v>2352</v>
      </c>
      <c r="G291">
        <v>1021</v>
      </c>
      <c r="H291" t="s">
        <v>74</v>
      </c>
      <c r="I291" t="s">
        <v>161</v>
      </c>
    </row>
    <row r="292" spans="1:9" ht="15" customHeight="1" x14ac:dyDescent="0.35">
      <c r="A292">
        <v>2022</v>
      </c>
      <c r="B292" t="s">
        <v>156</v>
      </c>
      <c r="C292">
        <v>9</v>
      </c>
      <c r="D292" t="s">
        <v>82</v>
      </c>
      <c r="E292">
        <v>1656</v>
      </c>
      <c r="F292">
        <v>2263</v>
      </c>
      <c r="G292">
        <v>1111</v>
      </c>
      <c r="H292" t="s">
        <v>74</v>
      </c>
      <c r="I292" t="s">
        <v>161</v>
      </c>
    </row>
    <row r="293" spans="1:9" ht="15" customHeight="1" x14ac:dyDescent="0.35">
      <c r="A293">
        <v>2022</v>
      </c>
      <c r="B293" t="s">
        <v>157</v>
      </c>
      <c r="C293">
        <v>10</v>
      </c>
      <c r="D293" t="s">
        <v>82</v>
      </c>
      <c r="E293">
        <v>1336</v>
      </c>
      <c r="F293">
        <v>2259</v>
      </c>
      <c r="G293">
        <v>381</v>
      </c>
      <c r="H293" t="s">
        <v>74</v>
      </c>
      <c r="I293" t="s">
        <v>161</v>
      </c>
    </row>
    <row r="294" spans="1:9" ht="15" customHeight="1" x14ac:dyDescent="0.35">
      <c r="A294">
        <v>2022</v>
      </c>
      <c r="B294" t="s">
        <v>158</v>
      </c>
      <c r="C294">
        <v>11</v>
      </c>
      <c r="D294" t="s">
        <v>82</v>
      </c>
      <c r="E294">
        <v>1106</v>
      </c>
      <c r="F294">
        <v>1656</v>
      </c>
      <c r="G294">
        <v>768</v>
      </c>
      <c r="H294" t="s">
        <v>74</v>
      </c>
      <c r="I294" t="s">
        <v>161</v>
      </c>
    </row>
    <row r="295" spans="1:9" ht="15" customHeight="1" x14ac:dyDescent="0.35">
      <c r="A295">
        <v>2022</v>
      </c>
      <c r="B295" t="s">
        <v>159</v>
      </c>
      <c r="C295">
        <v>12</v>
      </c>
      <c r="D295" t="s">
        <v>82</v>
      </c>
      <c r="E295">
        <v>1059</v>
      </c>
      <c r="F295">
        <v>1543</v>
      </c>
      <c r="G295">
        <v>661</v>
      </c>
      <c r="H295" t="s">
        <v>74</v>
      </c>
      <c r="I295" t="s">
        <v>161</v>
      </c>
    </row>
    <row r="296" spans="1:9" ht="15" customHeight="1" x14ac:dyDescent="0.35">
      <c r="A296">
        <v>2023</v>
      </c>
      <c r="B296" t="s">
        <v>147</v>
      </c>
      <c r="C296">
        <v>1</v>
      </c>
      <c r="D296" t="s">
        <v>82</v>
      </c>
      <c r="E296">
        <v>1085</v>
      </c>
      <c r="F296">
        <v>1539</v>
      </c>
      <c r="G296">
        <v>721</v>
      </c>
      <c r="H296" t="s">
        <v>74</v>
      </c>
      <c r="I296" t="s">
        <v>161</v>
      </c>
    </row>
    <row r="297" spans="1:9" ht="15" customHeight="1" x14ac:dyDescent="0.35">
      <c r="A297">
        <v>2023</v>
      </c>
      <c r="B297" t="s">
        <v>149</v>
      </c>
      <c r="C297">
        <v>2</v>
      </c>
      <c r="D297" t="s">
        <v>82</v>
      </c>
      <c r="E297">
        <v>1096</v>
      </c>
      <c r="F297">
        <v>1551</v>
      </c>
      <c r="G297">
        <v>608</v>
      </c>
      <c r="H297" t="s">
        <v>74</v>
      </c>
      <c r="I297" t="s">
        <v>161</v>
      </c>
    </row>
    <row r="298" spans="1:9" ht="15" customHeight="1" x14ac:dyDescent="0.35">
      <c r="A298">
        <v>2023</v>
      </c>
      <c r="B298" t="s">
        <v>150</v>
      </c>
      <c r="C298">
        <v>3</v>
      </c>
      <c r="D298" t="s">
        <v>82</v>
      </c>
      <c r="E298">
        <v>1118</v>
      </c>
      <c r="F298">
        <v>1658</v>
      </c>
      <c r="G298">
        <v>530</v>
      </c>
      <c r="H298" t="s">
        <v>74</v>
      </c>
      <c r="I298" t="s">
        <v>161</v>
      </c>
    </row>
    <row r="299" spans="1:9" ht="15" customHeight="1" x14ac:dyDescent="0.35">
      <c r="A299">
        <v>2023</v>
      </c>
      <c r="B299" t="s">
        <v>151</v>
      </c>
      <c r="C299">
        <v>4</v>
      </c>
      <c r="D299" t="s">
        <v>82</v>
      </c>
      <c r="E299">
        <v>1261</v>
      </c>
      <c r="F299">
        <v>1948</v>
      </c>
      <c r="G299">
        <v>609</v>
      </c>
      <c r="H299" t="s">
        <v>75</v>
      </c>
      <c r="I299" t="s">
        <v>161</v>
      </c>
    </row>
    <row r="300" spans="1:9" ht="15" customHeight="1" x14ac:dyDescent="0.35">
      <c r="A300">
        <v>2023</v>
      </c>
      <c r="B300" t="s">
        <v>152</v>
      </c>
      <c r="C300">
        <v>5</v>
      </c>
      <c r="D300" t="s">
        <v>82</v>
      </c>
      <c r="E300">
        <v>1372</v>
      </c>
      <c r="F300">
        <v>2226</v>
      </c>
      <c r="G300">
        <v>661</v>
      </c>
      <c r="H300" t="s">
        <v>75</v>
      </c>
      <c r="I300" t="s">
        <v>161</v>
      </c>
    </row>
    <row r="301" spans="1:9" ht="15" customHeight="1" x14ac:dyDescent="0.35">
      <c r="A301">
        <v>2023</v>
      </c>
      <c r="B301" t="s">
        <v>153</v>
      </c>
      <c r="C301">
        <v>6</v>
      </c>
      <c r="D301" t="s">
        <v>82</v>
      </c>
      <c r="E301">
        <v>1568</v>
      </c>
      <c r="F301">
        <v>2290</v>
      </c>
      <c r="G301">
        <v>762</v>
      </c>
      <c r="H301" t="s">
        <v>75</v>
      </c>
      <c r="I301" t="s">
        <v>161</v>
      </c>
    </row>
    <row r="302" spans="1:9" ht="15" customHeight="1" x14ac:dyDescent="0.35">
      <c r="A302">
        <v>2023</v>
      </c>
      <c r="B302" t="s">
        <v>154</v>
      </c>
      <c r="C302">
        <v>7</v>
      </c>
      <c r="D302" t="s">
        <v>82</v>
      </c>
      <c r="E302">
        <v>1761</v>
      </c>
      <c r="F302">
        <v>2379</v>
      </c>
      <c r="G302">
        <v>1168</v>
      </c>
      <c r="H302" t="s">
        <v>75</v>
      </c>
      <c r="I302" t="s">
        <v>161</v>
      </c>
    </row>
    <row r="303" spans="1:9" ht="15" customHeight="1" x14ac:dyDescent="0.35">
      <c r="A303">
        <v>2023</v>
      </c>
      <c r="B303" t="s">
        <v>155</v>
      </c>
      <c r="C303">
        <v>8</v>
      </c>
      <c r="D303" t="s">
        <v>82</v>
      </c>
      <c r="E303">
        <v>1749</v>
      </c>
      <c r="F303">
        <v>2353</v>
      </c>
      <c r="G303">
        <v>1075</v>
      </c>
      <c r="H303" t="s">
        <v>75</v>
      </c>
      <c r="I303" t="s">
        <v>161</v>
      </c>
    </row>
    <row r="304" spans="1:9" ht="15" customHeight="1" x14ac:dyDescent="0.35">
      <c r="A304">
        <v>2023</v>
      </c>
      <c r="B304" t="s">
        <v>156</v>
      </c>
      <c r="C304">
        <v>9</v>
      </c>
      <c r="D304" t="s">
        <v>82</v>
      </c>
      <c r="E304">
        <v>1818</v>
      </c>
      <c r="F304">
        <v>2372</v>
      </c>
      <c r="G304">
        <v>1153</v>
      </c>
      <c r="H304" t="s">
        <v>75</v>
      </c>
      <c r="I304" t="s">
        <v>161</v>
      </c>
    </row>
    <row r="305" spans="1:9" ht="15" customHeight="1" x14ac:dyDescent="0.35">
      <c r="A305">
        <v>2023</v>
      </c>
      <c r="B305" t="s">
        <v>157</v>
      </c>
      <c r="C305">
        <v>10</v>
      </c>
      <c r="D305" t="s">
        <v>82</v>
      </c>
      <c r="E305">
        <v>1452</v>
      </c>
      <c r="F305">
        <v>2141</v>
      </c>
      <c r="G305">
        <v>780</v>
      </c>
      <c r="H305" t="s">
        <v>75</v>
      </c>
      <c r="I305" t="s">
        <v>161</v>
      </c>
    </row>
    <row r="306" spans="1:9" ht="15" customHeight="1" x14ac:dyDescent="0.35">
      <c r="A306">
        <v>2023</v>
      </c>
      <c r="B306" t="s">
        <v>158</v>
      </c>
      <c r="C306">
        <v>11</v>
      </c>
      <c r="D306" t="s">
        <v>82</v>
      </c>
      <c r="E306">
        <v>1158</v>
      </c>
      <c r="F306">
        <v>1878</v>
      </c>
      <c r="G306">
        <v>668</v>
      </c>
      <c r="H306" t="s">
        <v>75</v>
      </c>
      <c r="I306" t="s">
        <v>161</v>
      </c>
    </row>
    <row r="307" spans="1:9" ht="15" customHeight="1" x14ac:dyDescent="0.35">
      <c r="A307">
        <v>2023</v>
      </c>
      <c r="B307" t="s">
        <v>159</v>
      </c>
      <c r="C307">
        <v>12</v>
      </c>
      <c r="D307" t="s">
        <v>82</v>
      </c>
      <c r="E307">
        <v>1070</v>
      </c>
      <c r="F307">
        <v>1536</v>
      </c>
      <c r="G307">
        <v>629</v>
      </c>
      <c r="H307" t="s">
        <v>75</v>
      </c>
      <c r="I307" t="s">
        <v>161</v>
      </c>
    </row>
    <row r="308" spans="1:9" ht="15" customHeight="1" x14ac:dyDescent="0.35">
      <c r="A308">
        <v>2024</v>
      </c>
      <c r="B308" t="s">
        <v>147</v>
      </c>
      <c r="C308">
        <v>1</v>
      </c>
      <c r="D308" t="s">
        <v>82</v>
      </c>
      <c r="E308">
        <v>1084</v>
      </c>
      <c r="F308">
        <v>1533</v>
      </c>
      <c r="G308">
        <v>704</v>
      </c>
      <c r="H308" t="s">
        <v>75</v>
      </c>
      <c r="I308" t="s">
        <v>161</v>
      </c>
    </row>
    <row r="309" spans="1:9" ht="15" customHeight="1" x14ac:dyDescent="0.35">
      <c r="A309">
        <v>2024</v>
      </c>
      <c r="B309" t="s">
        <v>149</v>
      </c>
      <c r="C309">
        <v>2</v>
      </c>
      <c r="D309" t="s">
        <v>82</v>
      </c>
      <c r="E309">
        <v>1132</v>
      </c>
      <c r="F309">
        <v>1578</v>
      </c>
      <c r="G309">
        <v>700</v>
      </c>
      <c r="H309" t="s">
        <v>75</v>
      </c>
      <c r="I309" t="s">
        <v>161</v>
      </c>
    </row>
    <row r="310" spans="1:9" ht="15" customHeight="1" x14ac:dyDescent="0.35">
      <c r="A310">
        <v>2024</v>
      </c>
      <c r="B310" t="s">
        <v>150</v>
      </c>
      <c r="C310">
        <v>3</v>
      </c>
      <c r="D310" t="s">
        <v>82</v>
      </c>
      <c r="E310">
        <v>1162</v>
      </c>
      <c r="F310">
        <v>1742</v>
      </c>
      <c r="G310">
        <v>504</v>
      </c>
      <c r="H310" t="s">
        <v>75</v>
      </c>
      <c r="I310" t="s">
        <v>161</v>
      </c>
    </row>
    <row r="311" spans="1:9" ht="15" customHeight="1" x14ac:dyDescent="0.35">
      <c r="A311">
        <v>2024</v>
      </c>
      <c r="B311" t="s">
        <v>151</v>
      </c>
      <c r="C311">
        <v>4</v>
      </c>
      <c r="D311" t="s">
        <v>82</v>
      </c>
      <c r="E311">
        <v>1166</v>
      </c>
      <c r="F311">
        <v>1742</v>
      </c>
      <c r="G311">
        <v>504</v>
      </c>
      <c r="H311" t="s">
        <v>77</v>
      </c>
      <c r="I311" t="s">
        <v>161</v>
      </c>
    </row>
    <row r="312" spans="1:9" ht="15" customHeight="1" x14ac:dyDescent="0.35">
      <c r="A312">
        <v>2024</v>
      </c>
      <c r="B312" t="s">
        <v>152</v>
      </c>
      <c r="C312">
        <v>5</v>
      </c>
      <c r="D312" t="s">
        <v>82</v>
      </c>
      <c r="E312">
        <v>1505</v>
      </c>
      <c r="F312">
        <v>2378</v>
      </c>
      <c r="G312">
        <v>379</v>
      </c>
      <c r="H312" t="s">
        <v>77</v>
      </c>
      <c r="I312" t="s">
        <v>161</v>
      </c>
    </row>
    <row r="313" spans="1:9" ht="15" customHeight="1" x14ac:dyDescent="0.35">
      <c r="A313">
        <v>2024</v>
      </c>
      <c r="B313" t="s">
        <v>153</v>
      </c>
      <c r="C313">
        <v>6</v>
      </c>
      <c r="D313" t="s">
        <v>82</v>
      </c>
      <c r="E313">
        <v>1649</v>
      </c>
      <c r="F313">
        <v>2351</v>
      </c>
      <c r="G313">
        <v>785</v>
      </c>
      <c r="H313" t="s">
        <v>77</v>
      </c>
      <c r="I313" t="s">
        <v>161</v>
      </c>
    </row>
    <row r="314" spans="1:9" ht="15" customHeight="1" x14ac:dyDescent="0.35">
      <c r="A314">
        <v>2024</v>
      </c>
      <c r="B314" t="s">
        <v>154</v>
      </c>
      <c r="C314">
        <v>7</v>
      </c>
      <c r="D314" t="s">
        <v>82</v>
      </c>
      <c r="E314">
        <v>1843</v>
      </c>
      <c r="F314">
        <v>2503</v>
      </c>
      <c r="G314">
        <v>1115</v>
      </c>
      <c r="H314" t="s">
        <v>77</v>
      </c>
      <c r="I314" t="s">
        <v>161</v>
      </c>
    </row>
    <row r="315" spans="1:9" ht="15" customHeight="1" x14ac:dyDescent="0.35">
      <c r="A315">
        <v>2024</v>
      </c>
      <c r="B315" t="s">
        <v>155</v>
      </c>
      <c r="C315">
        <v>8</v>
      </c>
      <c r="D315" t="s">
        <v>82</v>
      </c>
      <c r="E315">
        <v>1884</v>
      </c>
      <c r="F315">
        <v>2564</v>
      </c>
      <c r="G315">
        <v>1127</v>
      </c>
      <c r="H315" t="s">
        <v>77</v>
      </c>
      <c r="I315" t="s">
        <v>161</v>
      </c>
    </row>
    <row r="316" spans="1:9" ht="15" customHeight="1" x14ac:dyDescent="0.35">
      <c r="A316">
        <v>2024</v>
      </c>
      <c r="B316" t="s">
        <v>156</v>
      </c>
      <c r="C316">
        <v>9</v>
      </c>
      <c r="D316" t="s">
        <v>82</v>
      </c>
      <c r="E316">
        <v>1956</v>
      </c>
      <c r="F316">
        <v>2635</v>
      </c>
      <c r="G316">
        <v>988</v>
      </c>
      <c r="H316" t="s">
        <v>77</v>
      </c>
      <c r="I316" t="s">
        <v>161</v>
      </c>
    </row>
    <row r="317" spans="1:9" ht="15" customHeight="1" x14ac:dyDescent="0.35">
      <c r="A317">
        <v>2024</v>
      </c>
      <c r="B317" t="s">
        <v>157</v>
      </c>
      <c r="C317">
        <v>10</v>
      </c>
      <c r="D317" t="s">
        <v>82</v>
      </c>
      <c r="E317">
        <v>1450</v>
      </c>
      <c r="F317">
        <v>2231</v>
      </c>
      <c r="G317">
        <v>891</v>
      </c>
      <c r="H317" t="s">
        <v>77</v>
      </c>
      <c r="I317" t="s">
        <v>161</v>
      </c>
    </row>
    <row r="318" spans="1:9" ht="15" customHeight="1" x14ac:dyDescent="0.35">
      <c r="A318">
        <v>2024</v>
      </c>
      <c r="B318" t="s">
        <v>158</v>
      </c>
      <c r="C318">
        <v>11</v>
      </c>
      <c r="D318" t="s">
        <v>82</v>
      </c>
      <c r="E318">
        <v>1245</v>
      </c>
      <c r="F318">
        <v>1893</v>
      </c>
      <c r="G318">
        <v>839</v>
      </c>
      <c r="H318" t="s">
        <v>77</v>
      </c>
      <c r="I318" t="s">
        <v>161</v>
      </c>
    </row>
    <row r="319" spans="1:9" ht="15" customHeight="1" x14ac:dyDescent="0.35">
      <c r="A319">
        <v>2024</v>
      </c>
      <c r="B319" t="s">
        <v>159</v>
      </c>
      <c r="C319">
        <v>12</v>
      </c>
      <c r="D319" t="s">
        <v>82</v>
      </c>
      <c r="E319">
        <v>1120</v>
      </c>
      <c r="F319">
        <v>1556</v>
      </c>
      <c r="G319">
        <v>763</v>
      </c>
      <c r="H319" t="s">
        <v>77</v>
      </c>
      <c r="I319" t="s">
        <v>161</v>
      </c>
    </row>
    <row r="320" spans="1:9" ht="15" customHeight="1" x14ac:dyDescent="0.35">
      <c r="A320">
        <v>2025</v>
      </c>
      <c r="B320" t="s">
        <v>147</v>
      </c>
      <c r="C320">
        <v>1</v>
      </c>
      <c r="D320" t="s">
        <v>82</v>
      </c>
      <c r="E320">
        <v>1126</v>
      </c>
      <c r="F320">
        <v>1566</v>
      </c>
      <c r="G320">
        <v>612</v>
      </c>
      <c r="H320" t="s">
        <v>77</v>
      </c>
      <c r="I320" t="s">
        <v>161</v>
      </c>
    </row>
    <row r="321" spans="1:9" ht="15" customHeight="1" x14ac:dyDescent="0.35">
      <c r="A321">
        <v>2025</v>
      </c>
      <c r="B321" t="s">
        <v>149</v>
      </c>
      <c r="C321">
        <v>2</v>
      </c>
      <c r="D321" t="s">
        <v>82</v>
      </c>
      <c r="E321">
        <v>1165</v>
      </c>
      <c r="F321">
        <v>1618</v>
      </c>
      <c r="G321">
        <v>712</v>
      </c>
      <c r="H321" t="s">
        <v>77</v>
      </c>
      <c r="I321" t="s">
        <v>161</v>
      </c>
    </row>
    <row r="322" spans="1:9" ht="15" customHeight="1" x14ac:dyDescent="0.35">
      <c r="A322">
        <v>2025</v>
      </c>
      <c r="B322" t="s">
        <v>150</v>
      </c>
      <c r="C322">
        <v>3</v>
      </c>
      <c r="D322" t="s">
        <v>82</v>
      </c>
      <c r="E322">
        <v>1277</v>
      </c>
      <c r="F322">
        <v>1943</v>
      </c>
      <c r="G322">
        <v>670</v>
      </c>
      <c r="H322" t="s">
        <v>77</v>
      </c>
      <c r="I322" t="s">
        <v>161</v>
      </c>
    </row>
    <row r="323" spans="1:9" ht="15" customHeight="1" x14ac:dyDescent="0.35">
      <c r="A323">
        <v>2025</v>
      </c>
      <c r="B323" t="s">
        <v>151</v>
      </c>
      <c r="C323">
        <v>4</v>
      </c>
      <c r="D323" t="s">
        <v>82</v>
      </c>
      <c r="E323">
        <v>1397</v>
      </c>
      <c r="F323">
        <v>2116</v>
      </c>
      <c r="G323">
        <v>632</v>
      </c>
      <c r="H323" t="s">
        <v>78</v>
      </c>
      <c r="I323" t="s">
        <v>161</v>
      </c>
    </row>
    <row r="324" spans="1:9" ht="15" customHeight="1" x14ac:dyDescent="0.35">
      <c r="A324">
        <v>2025</v>
      </c>
      <c r="B324" t="s">
        <v>152</v>
      </c>
      <c r="C324">
        <v>5</v>
      </c>
      <c r="D324" t="s">
        <v>82</v>
      </c>
      <c r="E324">
        <v>1452</v>
      </c>
      <c r="F324">
        <v>2347</v>
      </c>
      <c r="G324">
        <v>687</v>
      </c>
      <c r="H324" t="s">
        <v>78</v>
      </c>
      <c r="I324" t="s">
        <v>161</v>
      </c>
    </row>
    <row r="325" spans="1:9" ht="15" customHeight="1" x14ac:dyDescent="0.35">
      <c r="A325">
        <v>2025</v>
      </c>
      <c r="B325" t="s">
        <v>153</v>
      </c>
      <c r="C325">
        <v>6</v>
      </c>
      <c r="D325" t="s">
        <v>82</v>
      </c>
      <c r="E325">
        <v>1915</v>
      </c>
      <c r="F325">
        <v>2671</v>
      </c>
      <c r="G325">
        <v>978</v>
      </c>
      <c r="H325" t="s">
        <v>78</v>
      </c>
      <c r="I325" t="s">
        <v>161</v>
      </c>
    </row>
    <row r="326" spans="1:9" ht="15" customHeight="1" x14ac:dyDescent="0.35">
      <c r="A326">
        <v>2025</v>
      </c>
      <c r="B326" t="s">
        <v>154</v>
      </c>
      <c r="C326">
        <v>7</v>
      </c>
      <c r="D326" t="s">
        <v>82</v>
      </c>
      <c r="E326">
        <v>2040</v>
      </c>
      <c r="F326">
        <v>2775</v>
      </c>
      <c r="G326">
        <v>1285</v>
      </c>
      <c r="H326" t="s">
        <v>78</v>
      </c>
      <c r="I326" t="s">
        <v>161</v>
      </c>
    </row>
    <row r="327" spans="1:9" ht="15" customHeight="1" x14ac:dyDescent="0.35">
      <c r="A327">
        <v>2025</v>
      </c>
      <c r="B327" t="s">
        <v>155</v>
      </c>
      <c r="C327">
        <v>8</v>
      </c>
      <c r="D327" t="s">
        <v>82</v>
      </c>
      <c r="E327">
        <v>1916</v>
      </c>
      <c r="F327">
        <v>2551</v>
      </c>
      <c r="G327">
        <v>1044</v>
      </c>
      <c r="H327" t="s">
        <v>78</v>
      </c>
      <c r="I327" t="s">
        <v>161</v>
      </c>
    </row>
    <row r="328" spans="1:9" ht="15" customHeight="1" x14ac:dyDescent="0.35">
      <c r="A328">
        <v>2025</v>
      </c>
      <c r="B328" t="s">
        <v>156</v>
      </c>
      <c r="C328">
        <v>9</v>
      </c>
      <c r="D328" t="s">
        <v>82</v>
      </c>
      <c r="E328">
        <v>1945</v>
      </c>
      <c r="F328">
        <v>2788</v>
      </c>
      <c r="G328">
        <v>1275</v>
      </c>
      <c r="H328" t="s">
        <v>78</v>
      </c>
      <c r="I328" t="s">
        <v>161</v>
      </c>
    </row>
    <row r="329" spans="1:9" ht="15" customHeight="1" x14ac:dyDescent="0.35">
      <c r="A329">
        <v>2025</v>
      </c>
      <c r="B329" t="s">
        <v>157</v>
      </c>
      <c r="C329">
        <v>10</v>
      </c>
      <c r="D329" t="s">
        <v>82</v>
      </c>
      <c r="E329">
        <v>1672</v>
      </c>
      <c r="F329">
        <v>2402</v>
      </c>
      <c r="G329">
        <v>936</v>
      </c>
      <c r="H329" t="s">
        <v>78</v>
      </c>
      <c r="I329" t="s">
        <v>161</v>
      </c>
    </row>
    <row r="330" spans="1:9" ht="15" customHeight="1" x14ac:dyDescent="0.35">
      <c r="A330">
        <v>2025</v>
      </c>
      <c r="B330" t="s">
        <v>158</v>
      </c>
      <c r="C330">
        <v>11</v>
      </c>
      <c r="D330" t="s">
        <v>82</v>
      </c>
      <c r="E330">
        <v>1286</v>
      </c>
      <c r="F330">
        <v>1973</v>
      </c>
      <c r="G330">
        <v>870</v>
      </c>
      <c r="H330" t="s">
        <v>78</v>
      </c>
      <c r="I330" t="s">
        <v>161</v>
      </c>
    </row>
    <row r="331" spans="1:9" ht="15" customHeight="1" x14ac:dyDescent="0.35">
      <c r="A331">
        <v>2025</v>
      </c>
      <c r="B331" t="s">
        <v>159</v>
      </c>
      <c r="C331">
        <v>12</v>
      </c>
      <c r="D331" t="s">
        <v>82</v>
      </c>
      <c r="E331">
        <v>1168</v>
      </c>
      <c r="F331">
        <v>1698</v>
      </c>
      <c r="G331">
        <v>675</v>
      </c>
      <c r="H331" t="s">
        <v>78</v>
      </c>
      <c r="I331" t="s">
        <v>161</v>
      </c>
    </row>
    <row r="332" spans="1:9" ht="15" customHeight="1" x14ac:dyDescent="0.35">
      <c r="A332">
        <v>2026</v>
      </c>
      <c r="B332" t="s">
        <v>147</v>
      </c>
      <c r="C332">
        <v>1</v>
      </c>
      <c r="D332" t="s">
        <v>82</v>
      </c>
      <c r="E332">
        <v>1187</v>
      </c>
      <c r="F332">
        <v>1666</v>
      </c>
      <c r="G332">
        <v>750</v>
      </c>
      <c r="H332" t="s">
        <v>78</v>
      </c>
      <c r="I332" t="s">
        <v>161</v>
      </c>
    </row>
    <row r="333" spans="1:9" ht="15" customHeight="1" x14ac:dyDescent="0.35">
      <c r="A333">
        <v>2026</v>
      </c>
      <c r="B333" t="s">
        <v>149</v>
      </c>
      <c r="C333">
        <v>2</v>
      </c>
      <c r="D333" t="s">
        <v>82</v>
      </c>
      <c r="E333">
        <v>1231</v>
      </c>
      <c r="F333">
        <v>1718</v>
      </c>
      <c r="G333">
        <v>846</v>
      </c>
      <c r="H333" t="s">
        <v>78</v>
      </c>
      <c r="I333" t="s">
        <v>161</v>
      </c>
    </row>
    <row r="334" spans="1:9" ht="15" customHeight="1" x14ac:dyDescent="0.35">
      <c r="A334">
        <v>2026</v>
      </c>
      <c r="B334" t="s">
        <v>150</v>
      </c>
      <c r="C334">
        <v>3</v>
      </c>
      <c r="D334" t="s">
        <v>82</v>
      </c>
      <c r="E334">
        <v>1183</v>
      </c>
      <c r="F334">
        <v>1661</v>
      </c>
      <c r="G334">
        <v>736</v>
      </c>
      <c r="H334" t="s">
        <v>78</v>
      </c>
      <c r="I334" t="s">
        <v>161</v>
      </c>
    </row>
    <row r="335" spans="1:9" ht="15" customHeight="1" x14ac:dyDescent="0.35">
      <c r="A335">
        <v>2017</v>
      </c>
      <c r="B335" t="s">
        <v>147</v>
      </c>
      <c r="C335">
        <v>1</v>
      </c>
      <c r="D335" t="s">
        <v>83</v>
      </c>
      <c r="E335">
        <v>2494</v>
      </c>
      <c r="F335">
        <v>3492</v>
      </c>
      <c r="G335">
        <v>993</v>
      </c>
      <c r="H335" t="s">
        <v>122</v>
      </c>
      <c r="I335" t="s">
        <v>162</v>
      </c>
    </row>
    <row r="336" spans="1:9" ht="15" customHeight="1" x14ac:dyDescent="0.35">
      <c r="A336">
        <v>2017</v>
      </c>
      <c r="B336" t="s">
        <v>149</v>
      </c>
      <c r="C336">
        <v>2</v>
      </c>
      <c r="D336" t="s">
        <v>83</v>
      </c>
      <c r="E336">
        <v>2468</v>
      </c>
      <c r="F336">
        <v>3494</v>
      </c>
      <c r="G336">
        <v>1177</v>
      </c>
      <c r="H336" t="s">
        <v>122</v>
      </c>
      <c r="I336" t="s">
        <v>162</v>
      </c>
    </row>
    <row r="337" spans="1:9" ht="15" customHeight="1" x14ac:dyDescent="0.35">
      <c r="A337">
        <v>2017</v>
      </c>
      <c r="B337" t="s">
        <v>150</v>
      </c>
      <c r="C337">
        <v>3</v>
      </c>
      <c r="D337" t="s">
        <v>83</v>
      </c>
      <c r="E337">
        <v>2515</v>
      </c>
      <c r="F337">
        <v>3660</v>
      </c>
      <c r="G337">
        <v>1292</v>
      </c>
      <c r="H337" t="s">
        <v>122</v>
      </c>
      <c r="I337" t="s">
        <v>162</v>
      </c>
    </row>
    <row r="338" spans="1:9" ht="15" customHeight="1" x14ac:dyDescent="0.35">
      <c r="A338">
        <v>2017</v>
      </c>
      <c r="B338" t="s">
        <v>151</v>
      </c>
      <c r="C338">
        <v>4</v>
      </c>
      <c r="D338" t="s">
        <v>83</v>
      </c>
      <c r="E338">
        <v>2805</v>
      </c>
      <c r="F338">
        <v>3955</v>
      </c>
      <c r="G338">
        <v>1258</v>
      </c>
      <c r="H338" t="s">
        <v>123</v>
      </c>
      <c r="I338" t="s">
        <v>162</v>
      </c>
    </row>
    <row r="339" spans="1:9" ht="15" customHeight="1" x14ac:dyDescent="0.35">
      <c r="A339">
        <v>2017</v>
      </c>
      <c r="B339" t="s">
        <v>152</v>
      </c>
      <c r="C339">
        <v>5</v>
      </c>
      <c r="D339" t="s">
        <v>83</v>
      </c>
      <c r="E339">
        <v>2911</v>
      </c>
      <c r="F339">
        <v>4062</v>
      </c>
      <c r="G339">
        <v>509</v>
      </c>
      <c r="H339" t="s">
        <v>123</v>
      </c>
      <c r="I339" t="s">
        <v>162</v>
      </c>
    </row>
    <row r="340" spans="1:9" ht="15" customHeight="1" x14ac:dyDescent="0.35">
      <c r="A340">
        <v>2017</v>
      </c>
      <c r="B340" t="s">
        <v>153</v>
      </c>
      <c r="C340">
        <v>6</v>
      </c>
      <c r="D340" t="s">
        <v>83</v>
      </c>
      <c r="E340">
        <v>3233</v>
      </c>
      <c r="F340">
        <v>4096</v>
      </c>
      <c r="G340">
        <v>1866</v>
      </c>
      <c r="H340" t="s">
        <v>123</v>
      </c>
      <c r="I340" t="s">
        <v>162</v>
      </c>
    </row>
    <row r="341" spans="1:9" ht="15" customHeight="1" x14ac:dyDescent="0.35">
      <c r="A341">
        <v>2017</v>
      </c>
      <c r="B341" t="s">
        <v>154</v>
      </c>
      <c r="C341">
        <v>7</v>
      </c>
      <c r="D341" t="s">
        <v>83</v>
      </c>
      <c r="E341">
        <v>3010</v>
      </c>
      <c r="F341">
        <v>4050</v>
      </c>
      <c r="G341">
        <v>1291</v>
      </c>
      <c r="H341" t="s">
        <v>123</v>
      </c>
      <c r="I341" t="s">
        <v>162</v>
      </c>
    </row>
    <row r="342" spans="1:9" ht="15" customHeight="1" x14ac:dyDescent="0.35">
      <c r="A342">
        <v>2017</v>
      </c>
      <c r="B342" t="s">
        <v>155</v>
      </c>
      <c r="C342">
        <v>8</v>
      </c>
      <c r="D342" t="s">
        <v>83</v>
      </c>
      <c r="E342">
        <v>3204</v>
      </c>
      <c r="F342">
        <v>4248</v>
      </c>
      <c r="G342">
        <v>2207</v>
      </c>
      <c r="H342" t="s">
        <v>123</v>
      </c>
      <c r="I342" t="s">
        <v>162</v>
      </c>
    </row>
    <row r="343" spans="1:9" ht="15" customHeight="1" x14ac:dyDescent="0.35">
      <c r="A343">
        <v>2017</v>
      </c>
      <c r="B343" t="s">
        <v>156</v>
      </c>
      <c r="C343">
        <v>9</v>
      </c>
      <c r="D343" t="s">
        <v>83</v>
      </c>
      <c r="E343">
        <v>3437</v>
      </c>
      <c r="F343">
        <v>4415</v>
      </c>
      <c r="G343">
        <v>2206</v>
      </c>
      <c r="H343" t="s">
        <v>123</v>
      </c>
      <c r="I343" t="s">
        <v>162</v>
      </c>
    </row>
    <row r="344" spans="1:9" ht="15" customHeight="1" x14ac:dyDescent="0.35">
      <c r="A344">
        <v>2017</v>
      </c>
      <c r="B344" t="s">
        <v>157</v>
      </c>
      <c r="C344">
        <v>10</v>
      </c>
      <c r="D344" t="s">
        <v>83</v>
      </c>
      <c r="E344">
        <v>3251</v>
      </c>
      <c r="F344">
        <v>4435</v>
      </c>
      <c r="G344">
        <v>1613</v>
      </c>
      <c r="H344" t="s">
        <v>123</v>
      </c>
      <c r="I344" t="s">
        <v>162</v>
      </c>
    </row>
    <row r="345" spans="1:9" ht="15" customHeight="1" x14ac:dyDescent="0.35">
      <c r="A345">
        <v>2017</v>
      </c>
      <c r="B345" t="s">
        <v>158</v>
      </c>
      <c r="C345">
        <v>11</v>
      </c>
      <c r="D345" t="s">
        <v>83</v>
      </c>
      <c r="E345">
        <v>2484</v>
      </c>
      <c r="F345">
        <v>3685</v>
      </c>
      <c r="G345">
        <v>1664</v>
      </c>
      <c r="H345" t="s">
        <v>123</v>
      </c>
      <c r="I345" t="s">
        <v>162</v>
      </c>
    </row>
    <row r="346" spans="1:9" ht="15" customHeight="1" x14ac:dyDescent="0.35">
      <c r="A346">
        <v>2017</v>
      </c>
      <c r="B346" t="s">
        <v>159</v>
      </c>
      <c r="C346">
        <v>12</v>
      </c>
      <c r="D346" t="s">
        <v>83</v>
      </c>
      <c r="E346">
        <v>2528</v>
      </c>
      <c r="F346">
        <v>3783</v>
      </c>
      <c r="G346">
        <v>1689</v>
      </c>
      <c r="H346" t="s">
        <v>123</v>
      </c>
      <c r="I346" t="s">
        <v>162</v>
      </c>
    </row>
    <row r="347" spans="1:9" ht="15" customHeight="1" x14ac:dyDescent="0.35">
      <c r="A347">
        <v>2018</v>
      </c>
      <c r="B347" t="s">
        <v>147</v>
      </c>
      <c r="C347">
        <v>1</v>
      </c>
      <c r="D347" t="s">
        <v>83</v>
      </c>
      <c r="E347">
        <v>2885</v>
      </c>
      <c r="F347">
        <v>4298</v>
      </c>
      <c r="G347">
        <v>1099</v>
      </c>
      <c r="H347" t="s">
        <v>123</v>
      </c>
      <c r="I347" t="s">
        <v>162</v>
      </c>
    </row>
    <row r="348" spans="1:9" ht="15" customHeight="1" x14ac:dyDescent="0.35">
      <c r="A348">
        <v>2018</v>
      </c>
      <c r="B348" t="s">
        <v>149</v>
      </c>
      <c r="C348">
        <v>2</v>
      </c>
      <c r="D348" t="s">
        <v>83</v>
      </c>
      <c r="E348">
        <v>2786</v>
      </c>
      <c r="F348">
        <v>4050</v>
      </c>
      <c r="G348">
        <v>1849</v>
      </c>
      <c r="H348" t="s">
        <v>123</v>
      </c>
      <c r="I348" t="s">
        <v>162</v>
      </c>
    </row>
    <row r="349" spans="1:9" ht="15" customHeight="1" x14ac:dyDescent="0.35">
      <c r="A349">
        <v>2018</v>
      </c>
      <c r="B349" t="s">
        <v>150</v>
      </c>
      <c r="C349">
        <v>3</v>
      </c>
      <c r="D349" t="s">
        <v>83</v>
      </c>
      <c r="E349">
        <v>3076</v>
      </c>
      <c r="F349">
        <v>4430</v>
      </c>
      <c r="G349">
        <v>1780</v>
      </c>
      <c r="H349" t="s">
        <v>123</v>
      </c>
      <c r="I349" t="s">
        <v>162</v>
      </c>
    </row>
    <row r="350" spans="1:9" ht="15" customHeight="1" x14ac:dyDescent="0.35">
      <c r="A350">
        <v>2018</v>
      </c>
      <c r="B350" t="s">
        <v>151</v>
      </c>
      <c r="C350">
        <v>4</v>
      </c>
      <c r="D350" t="s">
        <v>83</v>
      </c>
      <c r="E350">
        <v>3335</v>
      </c>
      <c r="F350">
        <v>4650</v>
      </c>
      <c r="G350">
        <v>550</v>
      </c>
      <c r="H350" t="s">
        <v>124</v>
      </c>
      <c r="I350" t="s">
        <v>162</v>
      </c>
    </row>
    <row r="351" spans="1:9" ht="15" customHeight="1" x14ac:dyDescent="0.35">
      <c r="A351">
        <v>2018</v>
      </c>
      <c r="B351" t="s">
        <v>152</v>
      </c>
      <c r="C351">
        <v>5</v>
      </c>
      <c r="D351" t="s">
        <v>83</v>
      </c>
      <c r="E351">
        <v>3506</v>
      </c>
      <c r="F351">
        <v>4803</v>
      </c>
      <c r="G351">
        <v>950</v>
      </c>
      <c r="H351" t="s">
        <v>124</v>
      </c>
      <c r="I351" t="s">
        <v>162</v>
      </c>
    </row>
    <row r="352" spans="1:9" ht="15" customHeight="1" x14ac:dyDescent="0.35">
      <c r="A352">
        <v>2018</v>
      </c>
      <c r="B352" t="s">
        <v>153</v>
      </c>
      <c r="C352">
        <v>6</v>
      </c>
      <c r="D352" t="s">
        <v>83</v>
      </c>
      <c r="E352">
        <v>3679</v>
      </c>
      <c r="F352">
        <v>4798</v>
      </c>
      <c r="G352">
        <v>2222</v>
      </c>
      <c r="H352" t="s">
        <v>124</v>
      </c>
      <c r="I352" t="s">
        <v>162</v>
      </c>
    </row>
    <row r="353" spans="1:9" ht="15" customHeight="1" x14ac:dyDescent="0.35">
      <c r="A353">
        <v>2018</v>
      </c>
      <c r="B353" t="s">
        <v>154</v>
      </c>
      <c r="C353">
        <v>7</v>
      </c>
      <c r="D353" t="s">
        <v>83</v>
      </c>
      <c r="E353">
        <v>3682</v>
      </c>
      <c r="F353">
        <v>4886</v>
      </c>
      <c r="G353">
        <v>2271</v>
      </c>
      <c r="H353" t="s">
        <v>124</v>
      </c>
      <c r="I353" t="s">
        <v>162</v>
      </c>
    </row>
    <row r="354" spans="1:9" ht="15" customHeight="1" x14ac:dyDescent="0.35">
      <c r="A354">
        <v>2018</v>
      </c>
      <c r="B354" t="s">
        <v>155</v>
      </c>
      <c r="C354">
        <v>8</v>
      </c>
      <c r="D354" t="s">
        <v>83</v>
      </c>
      <c r="E354">
        <v>3748</v>
      </c>
      <c r="F354">
        <v>4775</v>
      </c>
      <c r="G354">
        <v>2590</v>
      </c>
      <c r="H354" t="s">
        <v>124</v>
      </c>
      <c r="I354" t="s">
        <v>162</v>
      </c>
    </row>
    <row r="355" spans="1:9" ht="15" customHeight="1" x14ac:dyDescent="0.35">
      <c r="A355">
        <v>2018</v>
      </c>
      <c r="B355" t="s">
        <v>156</v>
      </c>
      <c r="C355">
        <v>9</v>
      </c>
      <c r="D355" t="s">
        <v>83</v>
      </c>
      <c r="E355">
        <v>3827</v>
      </c>
      <c r="F355">
        <v>4949</v>
      </c>
      <c r="G355">
        <v>1512</v>
      </c>
      <c r="H355" t="s">
        <v>124</v>
      </c>
      <c r="I355" t="s">
        <v>162</v>
      </c>
    </row>
    <row r="356" spans="1:9" ht="15" customHeight="1" x14ac:dyDescent="0.35">
      <c r="A356">
        <v>2018</v>
      </c>
      <c r="B356" t="s">
        <v>157</v>
      </c>
      <c r="C356">
        <v>10</v>
      </c>
      <c r="D356" t="s">
        <v>83</v>
      </c>
      <c r="E356">
        <v>3518</v>
      </c>
      <c r="F356">
        <v>4948</v>
      </c>
      <c r="G356">
        <v>2421</v>
      </c>
      <c r="H356" t="s">
        <v>124</v>
      </c>
      <c r="I356" t="s">
        <v>162</v>
      </c>
    </row>
    <row r="357" spans="1:9" ht="15" customHeight="1" x14ac:dyDescent="0.35">
      <c r="A357">
        <v>2018</v>
      </c>
      <c r="B357" t="s">
        <v>158</v>
      </c>
      <c r="C357">
        <v>11</v>
      </c>
      <c r="D357" t="s">
        <v>83</v>
      </c>
      <c r="E357">
        <v>2972</v>
      </c>
      <c r="F357">
        <v>4472</v>
      </c>
      <c r="G357">
        <v>1611</v>
      </c>
      <c r="H357" t="s">
        <v>124</v>
      </c>
      <c r="I357" t="s">
        <v>162</v>
      </c>
    </row>
    <row r="358" spans="1:9" ht="15" customHeight="1" x14ac:dyDescent="0.35">
      <c r="A358">
        <v>2018</v>
      </c>
      <c r="B358" t="s">
        <v>159</v>
      </c>
      <c r="C358">
        <v>12</v>
      </c>
      <c r="D358" t="s">
        <v>83</v>
      </c>
      <c r="E358">
        <v>2860</v>
      </c>
      <c r="F358">
        <v>4130</v>
      </c>
      <c r="G358">
        <v>1631</v>
      </c>
      <c r="H358" t="s">
        <v>124</v>
      </c>
      <c r="I358" t="s">
        <v>162</v>
      </c>
    </row>
    <row r="359" spans="1:9" ht="15" customHeight="1" x14ac:dyDescent="0.35">
      <c r="A359">
        <v>2019</v>
      </c>
      <c r="B359" t="s">
        <v>147</v>
      </c>
      <c r="C359">
        <v>1</v>
      </c>
      <c r="D359" t="s">
        <v>83</v>
      </c>
      <c r="E359">
        <v>3006</v>
      </c>
      <c r="F359">
        <v>4168</v>
      </c>
      <c r="G359">
        <v>1773</v>
      </c>
      <c r="H359" t="s">
        <v>124</v>
      </c>
      <c r="I359" t="s">
        <v>162</v>
      </c>
    </row>
    <row r="360" spans="1:9" ht="15" customHeight="1" x14ac:dyDescent="0.35">
      <c r="A360">
        <v>2019</v>
      </c>
      <c r="B360" t="s">
        <v>149</v>
      </c>
      <c r="C360">
        <v>2</v>
      </c>
      <c r="D360" t="s">
        <v>83</v>
      </c>
      <c r="E360">
        <v>2803</v>
      </c>
      <c r="F360">
        <v>4055</v>
      </c>
      <c r="G360">
        <v>1559</v>
      </c>
      <c r="H360" t="s">
        <v>124</v>
      </c>
      <c r="I360" t="s">
        <v>162</v>
      </c>
    </row>
    <row r="361" spans="1:9" ht="15" customHeight="1" x14ac:dyDescent="0.35">
      <c r="A361">
        <v>2019</v>
      </c>
      <c r="B361" t="s">
        <v>150</v>
      </c>
      <c r="C361">
        <v>3</v>
      </c>
      <c r="D361" t="s">
        <v>83</v>
      </c>
      <c r="E361">
        <v>3032</v>
      </c>
      <c r="F361">
        <v>4490</v>
      </c>
      <c r="G361">
        <v>1402</v>
      </c>
      <c r="H361" t="s">
        <v>124</v>
      </c>
      <c r="I361" t="s">
        <v>162</v>
      </c>
    </row>
    <row r="362" spans="1:9" ht="15" customHeight="1" x14ac:dyDescent="0.35">
      <c r="A362">
        <v>2019</v>
      </c>
      <c r="B362" t="s">
        <v>151</v>
      </c>
      <c r="C362">
        <v>4</v>
      </c>
      <c r="D362" t="s">
        <v>83</v>
      </c>
      <c r="E362">
        <v>3499</v>
      </c>
      <c r="F362">
        <v>5122</v>
      </c>
      <c r="G362">
        <v>1353</v>
      </c>
      <c r="H362" t="s">
        <v>71</v>
      </c>
      <c r="I362" t="s">
        <v>162</v>
      </c>
    </row>
    <row r="363" spans="1:9" ht="15" customHeight="1" x14ac:dyDescent="0.35">
      <c r="A363">
        <v>2019</v>
      </c>
      <c r="B363" t="s">
        <v>152</v>
      </c>
      <c r="C363">
        <v>5</v>
      </c>
      <c r="D363" t="s">
        <v>83</v>
      </c>
      <c r="E363">
        <v>4081</v>
      </c>
      <c r="F363">
        <v>5277</v>
      </c>
      <c r="G363">
        <v>2132</v>
      </c>
      <c r="H363" t="s">
        <v>71</v>
      </c>
      <c r="I363" t="s">
        <v>162</v>
      </c>
    </row>
    <row r="364" spans="1:9" ht="15" customHeight="1" x14ac:dyDescent="0.35">
      <c r="A364">
        <v>2019</v>
      </c>
      <c r="B364" t="s">
        <v>153</v>
      </c>
      <c r="C364">
        <v>6</v>
      </c>
      <c r="D364" t="s">
        <v>83</v>
      </c>
      <c r="E364">
        <v>4162</v>
      </c>
      <c r="F364">
        <v>5399</v>
      </c>
      <c r="G364">
        <v>1656</v>
      </c>
      <c r="H364" t="s">
        <v>71</v>
      </c>
      <c r="I364" t="s">
        <v>162</v>
      </c>
    </row>
    <row r="365" spans="1:9" ht="15" customHeight="1" x14ac:dyDescent="0.35">
      <c r="A365">
        <v>2019</v>
      </c>
      <c r="B365" t="s">
        <v>154</v>
      </c>
      <c r="C365">
        <v>7</v>
      </c>
      <c r="D365" t="s">
        <v>83</v>
      </c>
      <c r="E365">
        <v>3780</v>
      </c>
      <c r="F365">
        <v>5334</v>
      </c>
      <c r="G365">
        <v>1399</v>
      </c>
      <c r="H365" t="s">
        <v>71</v>
      </c>
      <c r="I365" t="s">
        <v>162</v>
      </c>
    </row>
    <row r="366" spans="1:9" ht="15" customHeight="1" x14ac:dyDescent="0.35">
      <c r="A366">
        <v>2019</v>
      </c>
      <c r="B366" t="s">
        <v>155</v>
      </c>
      <c r="C366">
        <v>8</v>
      </c>
      <c r="D366" t="s">
        <v>83</v>
      </c>
      <c r="E366">
        <v>4378</v>
      </c>
      <c r="F366">
        <v>5697</v>
      </c>
      <c r="G366">
        <v>1278</v>
      </c>
      <c r="H366" t="s">
        <v>71</v>
      </c>
      <c r="I366" t="s">
        <v>162</v>
      </c>
    </row>
    <row r="367" spans="1:9" ht="15" customHeight="1" x14ac:dyDescent="0.35">
      <c r="A367">
        <v>2019</v>
      </c>
      <c r="B367" t="s">
        <v>156</v>
      </c>
      <c r="C367">
        <v>9</v>
      </c>
      <c r="D367" t="s">
        <v>83</v>
      </c>
      <c r="E367">
        <v>4034</v>
      </c>
      <c r="F367">
        <v>5716</v>
      </c>
      <c r="G367">
        <v>1390</v>
      </c>
      <c r="H367" t="s">
        <v>71</v>
      </c>
      <c r="I367" t="s">
        <v>162</v>
      </c>
    </row>
    <row r="368" spans="1:9" ht="15" customHeight="1" x14ac:dyDescent="0.35">
      <c r="A368">
        <v>2019</v>
      </c>
      <c r="B368" t="s">
        <v>157</v>
      </c>
      <c r="C368">
        <v>10</v>
      </c>
      <c r="D368" t="s">
        <v>83</v>
      </c>
      <c r="E368">
        <v>3558</v>
      </c>
      <c r="F368">
        <v>5014</v>
      </c>
      <c r="G368">
        <v>2104</v>
      </c>
      <c r="H368" t="s">
        <v>71</v>
      </c>
      <c r="I368" t="s">
        <v>162</v>
      </c>
    </row>
    <row r="369" spans="1:9" ht="15" customHeight="1" x14ac:dyDescent="0.35">
      <c r="A369">
        <v>2019</v>
      </c>
      <c r="B369" t="s">
        <v>158</v>
      </c>
      <c r="C369">
        <v>11</v>
      </c>
      <c r="D369" t="s">
        <v>83</v>
      </c>
      <c r="E369">
        <v>2974</v>
      </c>
      <c r="F369">
        <v>4336</v>
      </c>
      <c r="G369">
        <v>1879</v>
      </c>
      <c r="H369" t="s">
        <v>71</v>
      </c>
      <c r="I369" t="s">
        <v>162</v>
      </c>
    </row>
    <row r="370" spans="1:9" ht="15" customHeight="1" x14ac:dyDescent="0.35">
      <c r="A370">
        <v>2019</v>
      </c>
      <c r="B370" t="s">
        <v>159</v>
      </c>
      <c r="C370">
        <v>12</v>
      </c>
      <c r="D370" t="s">
        <v>83</v>
      </c>
      <c r="E370">
        <v>2867</v>
      </c>
      <c r="F370">
        <v>4533</v>
      </c>
      <c r="G370">
        <v>1478</v>
      </c>
      <c r="H370" t="s">
        <v>71</v>
      </c>
      <c r="I370" t="s">
        <v>162</v>
      </c>
    </row>
    <row r="371" spans="1:9" ht="15" customHeight="1" x14ac:dyDescent="0.35">
      <c r="A371">
        <v>2020</v>
      </c>
      <c r="B371" t="s">
        <v>147</v>
      </c>
      <c r="C371">
        <v>1</v>
      </c>
      <c r="D371" t="s">
        <v>83</v>
      </c>
      <c r="E371">
        <v>3212</v>
      </c>
      <c r="F371">
        <v>4489</v>
      </c>
      <c r="G371">
        <v>1893</v>
      </c>
      <c r="H371" t="s">
        <v>71</v>
      </c>
      <c r="I371" t="s">
        <v>162</v>
      </c>
    </row>
    <row r="372" spans="1:9" ht="15" customHeight="1" x14ac:dyDescent="0.35">
      <c r="A372">
        <v>2020</v>
      </c>
      <c r="B372" t="s">
        <v>149</v>
      </c>
      <c r="C372">
        <v>2</v>
      </c>
      <c r="D372" t="s">
        <v>83</v>
      </c>
      <c r="E372">
        <v>3041</v>
      </c>
      <c r="F372">
        <v>4362</v>
      </c>
      <c r="G372">
        <v>1678</v>
      </c>
      <c r="H372" t="s">
        <v>71</v>
      </c>
      <c r="I372" t="s">
        <v>162</v>
      </c>
    </row>
    <row r="373" spans="1:9" ht="15" customHeight="1" x14ac:dyDescent="0.35">
      <c r="A373">
        <v>2020</v>
      </c>
      <c r="B373" t="s">
        <v>150</v>
      </c>
      <c r="C373">
        <v>3</v>
      </c>
      <c r="D373" t="s">
        <v>83</v>
      </c>
      <c r="E373">
        <v>2815</v>
      </c>
      <c r="F373">
        <v>4047</v>
      </c>
      <c r="G373">
        <v>1133</v>
      </c>
      <c r="H373" t="s">
        <v>71</v>
      </c>
      <c r="I373" t="s">
        <v>162</v>
      </c>
    </row>
    <row r="374" spans="1:9" ht="15" customHeight="1" x14ac:dyDescent="0.35">
      <c r="A374">
        <v>2020</v>
      </c>
      <c r="B374" t="s">
        <v>151</v>
      </c>
      <c r="C374">
        <v>4</v>
      </c>
      <c r="D374" t="s">
        <v>83</v>
      </c>
      <c r="E374">
        <v>3144</v>
      </c>
      <c r="F374">
        <v>4728</v>
      </c>
      <c r="G374">
        <v>1357</v>
      </c>
      <c r="H374" t="s">
        <v>72</v>
      </c>
      <c r="I374" t="s">
        <v>162</v>
      </c>
    </row>
    <row r="375" spans="1:9" ht="15" customHeight="1" x14ac:dyDescent="0.35">
      <c r="A375">
        <v>2020</v>
      </c>
      <c r="B375" t="s">
        <v>152</v>
      </c>
      <c r="C375">
        <v>5</v>
      </c>
      <c r="D375" t="s">
        <v>83</v>
      </c>
      <c r="E375">
        <v>3664</v>
      </c>
      <c r="F375">
        <v>5267</v>
      </c>
      <c r="G375">
        <v>1382</v>
      </c>
      <c r="H375" t="s">
        <v>72</v>
      </c>
      <c r="I375" t="s">
        <v>162</v>
      </c>
    </row>
    <row r="376" spans="1:9" ht="15" customHeight="1" x14ac:dyDescent="0.35">
      <c r="A376">
        <v>2020</v>
      </c>
      <c r="B376" t="s">
        <v>153</v>
      </c>
      <c r="C376">
        <v>6</v>
      </c>
      <c r="D376" t="s">
        <v>83</v>
      </c>
      <c r="E376">
        <v>4099</v>
      </c>
      <c r="F376">
        <v>5574</v>
      </c>
      <c r="G376">
        <v>2200</v>
      </c>
      <c r="H376" t="s">
        <v>72</v>
      </c>
      <c r="I376" t="s">
        <v>162</v>
      </c>
    </row>
    <row r="377" spans="1:9" ht="15" customHeight="1" x14ac:dyDescent="0.35">
      <c r="A377">
        <v>2020</v>
      </c>
      <c r="B377" t="s">
        <v>154</v>
      </c>
      <c r="C377">
        <v>7</v>
      </c>
      <c r="D377" t="s">
        <v>83</v>
      </c>
      <c r="E377">
        <v>4350</v>
      </c>
      <c r="F377">
        <v>5730</v>
      </c>
      <c r="G377">
        <v>2408</v>
      </c>
      <c r="H377" t="s">
        <v>72</v>
      </c>
      <c r="I377" t="s">
        <v>162</v>
      </c>
    </row>
    <row r="378" spans="1:9" ht="15" customHeight="1" x14ac:dyDescent="0.35">
      <c r="A378">
        <v>2020</v>
      </c>
      <c r="B378" t="s">
        <v>155</v>
      </c>
      <c r="C378">
        <v>8</v>
      </c>
      <c r="D378" t="s">
        <v>83</v>
      </c>
      <c r="E378">
        <v>4469</v>
      </c>
      <c r="F378">
        <v>5818</v>
      </c>
      <c r="G378">
        <v>2204</v>
      </c>
      <c r="H378" t="s">
        <v>72</v>
      </c>
      <c r="I378" t="s">
        <v>162</v>
      </c>
    </row>
    <row r="379" spans="1:9" ht="15" customHeight="1" x14ac:dyDescent="0.35">
      <c r="A379">
        <v>2020</v>
      </c>
      <c r="B379" t="s">
        <v>156</v>
      </c>
      <c r="C379">
        <v>9</v>
      </c>
      <c r="D379" t="s">
        <v>83</v>
      </c>
      <c r="E379">
        <v>4486</v>
      </c>
      <c r="F379">
        <v>5801</v>
      </c>
      <c r="G379">
        <v>2661</v>
      </c>
      <c r="H379" t="s">
        <v>72</v>
      </c>
      <c r="I379" t="s">
        <v>162</v>
      </c>
    </row>
    <row r="380" spans="1:9" ht="15" customHeight="1" x14ac:dyDescent="0.35">
      <c r="A380">
        <v>2020</v>
      </c>
      <c r="B380" t="s">
        <v>157</v>
      </c>
      <c r="C380">
        <v>10</v>
      </c>
      <c r="D380" t="s">
        <v>83</v>
      </c>
      <c r="E380">
        <v>4390</v>
      </c>
      <c r="F380">
        <v>5738</v>
      </c>
      <c r="G380">
        <v>2770</v>
      </c>
      <c r="H380" t="s">
        <v>72</v>
      </c>
      <c r="I380" t="s">
        <v>162</v>
      </c>
    </row>
    <row r="381" spans="1:9" ht="15" customHeight="1" x14ac:dyDescent="0.35">
      <c r="A381">
        <v>2020</v>
      </c>
      <c r="B381" t="s">
        <v>158</v>
      </c>
      <c r="C381">
        <v>11</v>
      </c>
      <c r="D381" t="s">
        <v>83</v>
      </c>
      <c r="E381">
        <v>3095</v>
      </c>
      <c r="F381">
        <v>4616</v>
      </c>
      <c r="G381">
        <v>2071</v>
      </c>
      <c r="H381" t="s">
        <v>72</v>
      </c>
      <c r="I381" t="s">
        <v>162</v>
      </c>
    </row>
    <row r="382" spans="1:9" ht="15" customHeight="1" x14ac:dyDescent="0.35">
      <c r="A382">
        <v>2020</v>
      </c>
      <c r="B382" t="s">
        <v>159</v>
      </c>
      <c r="C382">
        <v>12</v>
      </c>
      <c r="D382" t="s">
        <v>83</v>
      </c>
      <c r="E382">
        <v>3261</v>
      </c>
      <c r="F382">
        <v>4803</v>
      </c>
      <c r="G382">
        <v>2321</v>
      </c>
      <c r="H382" t="s">
        <v>72</v>
      </c>
      <c r="I382" t="s">
        <v>162</v>
      </c>
    </row>
    <row r="383" spans="1:9" ht="15" customHeight="1" x14ac:dyDescent="0.35">
      <c r="A383">
        <v>2021</v>
      </c>
      <c r="B383" t="s">
        <v>147</v>
      </c>
      <c r="C383">
        <v>1</v>
      </c>
      <c r="D383" t="s">
        <v>83</v>
      </c>
      <c r="E383">
        <v>3563</v>
      </c>
      <c r="F383">
        <v>4963</v>
      </c>
      <c r="G383">
        <v>2586</v>
      </c>
      <c r="H383" t="s">
        <v>72</v>
      </c>
      <c r="I383" t="s">
        <v>162</v>
      </c>
    </row>
    <row r="384" spans="1:9" ht="15" customHeight="1" x14ac:dyDescent="0.35">
      <c r="A384">
        <v>2021</v>
      </c>
      <c r="B384" t="s">
        <v>149</v>
      </c>
      <c r="C384">
        <v>2</v>
      </c>
      <c r="D384" t="s">
        <v>83</v>
      </c>
      <c r="E384">
        <v>3502</v>
      </c>
      <c r="F384">
        <v>4990</v>
      </c>
      <c r="G384">
        <v>2407</v>
      </c>
      <c r="H384" t="s">
        <v>72</v>
      </c>
      <c r="I384" t="s">
        <v>162</v>
      </c>
    </row>
    <row r="385" spans="1:9" ht="15" customHeight="1" x14ac:dyDescent="0.35">
      <c r="A385">
        <v>2021</v>
      </c>
      <c r="B385" t="s">
        <v>150</v>
      </c>
      <c r="C385">
        <v>3</v>
      </c>
      <c r="D385" t="s">
        <v>83</v>
      </c>
      <c r="E385">
        <v>3815</v>
      </c>
      <c r="F385">
        <v>5371</v>
      </c>
      <c r="G385">
        <v>2381</v>
      </c>
      <c r="H385" t="s">
        <v>72</v>
      </c>
      <c r="I385" t="s">
        <v>162</v>
      </c>
    </row>
    <row r="386" spans="1:9" ht="15" customHeight="1" x14ac:dyDescent="0.35">
      <c r="A386">
        <v>2021</v>
      </c>
      <c r="B386" t="s">
        <v>151</v>
      </c>
      <c r="C386">
        <v>4</v>
      </c>
      <c r="D386" t="s">
        <v>83</v>
      </c>
      <c r="E386">
        <v>4420</v>
      </c>
      <c r="F386">
        <v>5716</v>
      </c>
      <c r="G386">
        <v>2073</v>
      </c>
      <c r="H386" t="s">
        <v>73</v>
      </c>
      <c r="I386" t="s">
        <v>162</v>
      </c>
    </row>
    <row r="387" spans="1:9" ht="15" customHeight="1" x14ac:dyDescent="0.35">
      <c r="A387">
        <v>2021</v>
      </c>
      <c r="B387" t="s">
        <v>152</v>
      </c>
      <c r="C387">
        <v>5</v>
      </c>
      <c r="D387" t="s">
        <v>83</v>
      </c>
      <c r="E387">
        <v>3941</v>
      </c>
      <c r="F387">
        <v>5824</v>
      </c>
      <c r="G387">
        <v>843</v>
      </c>
      <c r="H387" t="s">
        <v>73</v>
      </c>
      <c r="I387" t="s">
        <v>162</v>
      </c>
    </row>
    <row r="388" spans="1:9" ht="15" customHeight="1" x14ac:dyDescent="0.35">
      <c r="A388">
        <v>2021</v>
      </c>
      <c r="B388" t="s">
        <v>153</v>
      </c>
      <c r="C388">
        <v>6</v>
      </c>
      <c r="D388" t="s">
        <v>83</v>
      </c>
      <c r="E388">
        <v>4404</v>
      </c>
      <c r="F388">
        <v>6018</v>
      </c>
      <c r="G388">
        <v>1633</v>
      </c>
      <c r="H388" t="s">
        <v>73</v>
      </c>
      <c r="I388" t="s">
        <v>162</v>
      </c>
    </row>
    <row r="389" spans="1:9" ht="15" customHeight="1" x14ac:dyDescent="0.35">
      <c r="A389">
        <v>2021</v>
      </c>
      <c r="B389" t="s">
        <v>154</v>
      </c>
      <c r="C389">
        <v>7</v>
      </c>
      <c r="D389" t="s">
        <v>83</v>
      </c>
      <c r="E389">
        <v>5007</v>
      </c>
      <c r="F389">
        <v>6485</v>
      </c>
      <c r="G389">
        <v>2369</v>
      </c>
      <c r="H389" t="s">
        <v>73</v>
      </c>
      <c r="I389" t="s">
        <v>162</v>
      </c>
    </row>
    <row r="390" spans="1:9" ht="15" customHeight="1" x14ac:dyDescent="0.35">
      <c r="A390">
        <v>2021</v>
      </c>
      <c r="B390" t="s">
        <v>155</v>
      </c>
      <c r="C390">
        <v>8</v>
      </c>
      <c r="D390" t="s">
        <v>83</v>
      </c>
      <c r="E390">
        <v>4845</v>
      </c>
      <c r="F390">
        <v>6046</v>
      </c>
      <c r="G390">
        <v>3586</v>
      </c>
      <c r="H390" t="s">
        <v>73</v>
      </c>
      <c r="I390" t="s">
        <v>162</v>
      </c>
    </row>
    <row r="391" spans="1:9" ht="15" customHeight="1" x14ac:dyDescent="0.35">
      <c r="A391">
        <v>2021</v>
      </c>
      <c r="B391" t="s">
        <v>156</v>
      </c>
      <c r="C391">
        <v>9</v>
      </c>
      <c r="D391" t="s">
        <v>83</v>
      </c>
      <c r="E391">
        <v>4798</v>
      </c>
      <c r="F391">
        <v>6303</v>
      </c>
      <c r="G391">
        <v>2452</v>
      </c>
      <c r="H391" t="s">
        <v>73</v>
      </c>
      <c r="I391" t="s">
        <v>162</v>
      </c>
    </row>
    <row r="392" spans="1:9" ht="15" customHeight="1" x14ac:dyDescent="0.35">
      <c r="A392">
        <v>2021</v>
      </c>
      <c r="B392" t="s">
        <v>157</v>
      </c>
      <c r="C392">
        <v>10</v>
      </c>
      <c r="D392" t="s">
        <v>83</v>
      </c>
      <c r="E392">
        <v>3939</v>
      </c>
      <c r="F392">
        <v>5744</v>
      </c>
      <c r="G392">
        <v>2460</v>
      </c>
      <c r="H392" t="s">
        <v>73</v>
      </c>
      <c r="I392" t="s">
        <v>162</v>
      </c>
    </row>
    <row r="393" spans="1:9" ht="15" customHeight="1" x14ac:dyDescent="0.35">
      <c r="A393">
        <v>2021</v>
      </c>
      <c r="B393" t="s">
        <v>158</v>
      </c>
      <c r="C393">
        <v>11</v>
      </c>
      <c r="D393" t="s">
        <v>83</v>
      </c>
      <c r="E393">
        <v>3037</v>
      </c>
      <c r="F393">
        <v>4347</v>
      </c>
      <c r="G393">
        <v>2019</v>
      </c>
      <c r="H393" t="s">
        <v>73</v>
      </c>
      <c r="I393" t="s">
        <v>162</v>
      </c>
    </row>
    <row r="394" spans="1:9" ht="15" customHeight="1" x14ac:dyDescent="0.35">
      <c r="A394">
        <v>2021</v>
      </c>
      <c r="B394" t="s">
        <v>159</v>
      </c>
      <c r="C394">
        <v>12</v>
      </c>
      <c r="D394" t="s">
        <v>83</v>
      </c>
      <c r="E394">
        <v>3114</v>
      </c>
      <c r="F394">
        <v>4702</v>
      </c>
      <c r="G394">
        <v>1723</v>
      </c>
      <c r="H394" t="s">
        <v>73</v>
      </c>
      <c r="I394" t="s">
        <v>162</v>
      </c>
    </row>
    <row r="395" spans="1:9" ht="15" customHeight="1" x14ac:dyDescent="0.35">
      <c r="A395">
        <v>2022</v>
      </c>
      <c r="B395" t="s">
        <v>147</v>
      </c>
      <c r="C395">
        <v>1</v>
      </c>
      <c r="D395" t="s">
        <v>83</v>
      </c>
      <c r="E395">
        <v>3528</v>
      </c>
      <c r="F395">
        <v>5139</v>
      </c>
      <c r="G395">
        <v>2324</v>
      </c>
      <c r="H395" t="s">
        <v>73</v>
      </c>
      <c r="I395" t="s">
        <v>162</v>
      </c>
    </row>
    <row r="396" spans="1:9" ht="15" customHeight="1" x14ac:dyDescent="0.35">
      <c r="A396">
        <v>2022</v>
      </c>
      <c r="B396" t="s">
        <v>149</v>
      </c>
      <c r="C396">
        <v>2</v>
      </c>
      <c r="D396" t="s">
        <v>83</v>
      </c>
      <c r="E396">
        <v>3416</v>
      </c>
      <c r="F396">
        <v>5733</v>
      </c>
      <c r="G396">
        <v>1309</v>
      </c>
      <c r="H396" t="s">
        <v>73</v>
      </c>
      <c r="I396" t="s">
        <v>162</v>
      </c>
    </row>
    <row r="397" spans="1:9" ht="15" customHeight="1" x14ac:dyDescent="0.35">
      <c r="A397">
        <v>2022</v>
      </c>
      <c r="B397" t="s">
        <v>150</v>
      </c>
      <c r="C397">
        <v>3</v>
      </c>
      <c r="D397" t="s">
        <v>83</v>
      </c>
      <c r="E397">
        <v>4083</v>
      </c>
      <c r="F397">
        <v>5578</v>
      </c>
      <c r="G397">
        <v>2692</v>
      </c>
      <c r="H397" t="s">
        <v>73</v>
      </c>
      <c r="I397" t="s">
        <v>162</v>
      </c>
    </row>
    <row r="398" spans="1:9" ht="15" customHeight="1" x14ac:dyDescent="0.35">
      <c r="A398">
        <v>2022</v>
      </c>
      <c r="B398" t="s">
        <v>151</v>
      </c>
      <c r="C398">
        <v>4</v>
      </c>
      <c r="D398" t="s">
        <v>83</v>
      </c>
      <c r="E398">
        <v>4800</v>
      </c>
      <c r="F398">
        <v>6150</v>
      </c>
      <c r="G398">
        <v>2851</v>
      </c>
      <c r="H398" t="s">
        <v>74</v>
      </c>
      <c r="I398" t="s">
        <v>162</v>
      </c>
    </row>
    <row r="399" spans="1:9" ht="15" customHeight="1" x14ac:dyDescent="0.35">
      <c r="A399">
        <v>2022</v>
      </c>
      <c r="B399" t="s">
        <v>152</v>
      </c>
      <c r="C399">
        <v>5</v>
      </c>
      <c r="D399" t="s">
        <v>83</v>
      </c>
      <c r="E399">
        <v>4600</v>
      </c>
      <c r="F399">
        <v>5993</v>
      </c>
      <c r="G399">
        <v>2632</v>
      </c>
      <c r="H399" t="s">
        <v>74</v>
      </c>
      <c r="I399" t="s">
        <v>162</v>
      </c>
    </row>
    <row r="400" spans="1:9" ht="15" customHeight="1" x14ac:dyDescent="0.35">
      <c r="A400">
        <v>2022</v>
      </c>
      <c r="B400" t="s">
        <v>153</v>
      </c>
      <c r="C400">
        <v>6</v>
      </c>
      <c r="D400" t="s">
        <v>83</v>
      </c>
      <c r="E400">
        <v>5081</v>
      </c>
      <c r="F400">
        <v>6300</v>
      </c>
      <c r="G400">
        <v>2587</v>
      </c>
      <c r="H400" t="s">
        <v>74</v>
      </c>
      <c r="I400" t="s">
        <v>162</v>
      </c>
    </row>
    <row r="401" spans="1:9" ht="15" customHeight="1" x14ac:dyDescent="0.35">
      <c r="A401">
        <v>2022</v>
      </c>
      <c r="B401" t="s">
        <v>154</v>
      </c>
      <c r="C401">
        <v>7</v>
      </c>
      <c r="D401" t="s">
        <v>83</v>
      </c>
      <c r="E401">
        <v>5335</v>
      </c>
      <c r="F401">
        <v>6406</v>
      </c>
      <c r="G401">
        <v>3512</v>
      </c>
      <c r="H401" t="s">
        <v>74</v>
      </c>
      <c r="I401" t="s">
        <v>162</v>
      </c>
    </row>
    <row r="402" spans="1:9" ht="15" customHeight="1" x14ac:dyDescent="0.35">
      <c r="A402">
        <v>2022</v>
      </c>
      <c r="B402" t="s">
        <v>155</v>
      </c>
      <c r="C402">
        <v>8</v>
      </c>
      <c r="D402" t="s">
        <v>83</v>
      </c>
      <c r="E402">
        <v>5312</v>
      </c>
      <c r="F402">
        <v>6644</v>
      </c>
      <c r="G402">
        <v>3095</v>
      </c>
      <c r="H402" t="s">
        <v>74</v>
      </c>
      <c r="I402" t="s">
        <v>162</v>
      </c>
    </row>
    <row r="403" spans="1:9" ht="15" customHeight="1" x14ac:dyDescent="0.35">
      <c r="A403">
        <v>2022</v>
      </c>
      <c r="B403" t="s">
        <v>156</v>
      </c>
      <c r="C403">
        <v>9</v>
      </c>
      <c r="D403" t="s">
        <v>83</v>
      </c>
      <c r="E403">
        <v>5011</v>
      </c>
      <c r="F403">
        <v>6400</v>
      </c>
      <c r="G403">
        <v>3271</v>
      </c>
      <c r="H403" t="s">
        <v>74</v>
      </c>
      <c r="I403" t="s">
        <v>162</v>
      </c>
    </row>
    <row r="404" spans="1:9" ht="15" customHeight="1" x14ac:dyDescent="0.35">
      <c r="A404">
        <v>2022</v>
      </c>
      <c r="B404" t="s">
        <v>157</v>
      </c>
      <c r="C404">
        <v>10</v>
      </c>
      <c r="D404" t="s">
        <v>83</v>
      </c>
      <c r="E404">
        <v>4330</v>
      </c>
      <c r="F404">
        <v>6544</v>
      </c>
      <c r="G404">
        <v>2412</v>
      </c>
      <c r="H404" t="s">
        <v>74</v>
      </c>
      <c r="I404" t="s">
        <v>162</v>
      </c>
    </row>
    <row r="405" spans="1:9" ht="15" customHeight="1" x14ac:dyDescent="0.35">
      <c r="A405">
        <v>2022</v>
      </c>
      <c r="B405" t="s">
        <v>158</v>
      </c>
      <c r="C405">
        <v>11</v>
      </c>
      <c r="D405" t="s">
        <v>83</v>
      </c>
      <c r="E405">
        <v>3290</v>
      </c>
      <c r="F405">
        <v>4766</v>
      </c>
      <c r="G405">
        <v>2407</v>
      </c>
      <c r="H405" t="s">
        <v>74</v>
      </c>
      <c r="I405" t="s">
        <v>162</v>
      </c>
    </row>
    <row r="406" spans="1:9" ht="15" customHeight="1" x14ac:dyDescent="0.35">
      <c r="A406">
        <v>2022</v>
      </c>
      <c r="B406" t="s">
        <v>159</v>
      </c>
      <c r="C406">
        <v>12</v>
      </c>
      <c r="D406" t="s">
        <v>83</v>
      </c>
      <c r="E406">
        <v>3325</v>
      </c>
      <c r="F406">
        <v>4910</v>
      </c>
      <c r="G406">
        <v>2364</v>
      </c>
      <c r="H406" t="s">
        <v>74</v>
      </c>
      <c r="I406" t="s">
        <v>162</v>
      </c>
    </row>
    <row r="407" spans="1:9" ht="15" customHeight="1" x14ac:dyDescent="0.35">
      <c r="A407">
        <v>2023</v>
      </c>
      <c r="B407" t="s">
        <v>147</v>
      </c>
      <c r="C407">
        <v>1</v>
      </c>
      <c r="D407" t="s">
        <v>83</v>
      </c>
      <c r="E407">
        <v>3851</v>
      </c>
      <c r="F407">
        <v>5510</v>
      </c>
      <c r="G407">
        <v>2381</v>
      </c>
      <c r="H407" t="s">
        <v>74</v>
      </c>
      <c r="I407" t="s">
        <v>162</v>
      </c>
    </row>
    <row r="408" spans="1:9" ht="15" customHeight="1" x14ac:dyDescent="0.35">
      <c r="A408">
        <v>2023</v>
      </c>
      <c r="B408" t="s">
        <v>149</v>
      </c>
      <c r="C408">
        <v>2</v>
      </c>
      <c r="D408" t="s">
        <v>83</v>
      </c>
      <c r="E408">
        <v>3617</v>
      </c>
      <c r="F408">
        <v>4967</v>
      </c>
      <c r="G408">
        <v>1838</v>
      </c>
      <c r="H408" t="s">
        <v>74</v>
      </c>
      <c r="I408" t="s">
        <v>162</v>
      </c>
    </row>
    <row r="409" spans="1:9" ht="15" customHeight="1" x14ac:dyDescent="0.35">
      <c r="A409">
        <v>2023</v>
      </c>
      <c r="B409" t="s">
        <v>150</v>
      </c>
      <c r="C409">
        <v>3</v>
      </c>
      <c r="D409" t="s">
        <v>83</v>
      </c>
      <c r="E409">
        <v>3803</v>
      </c>
      <c r="F409">
        <v>5225</v>
      </c>
      <c r="G409">
        <v>2334</v>
      </c>
      <c r="H409" t="s">
        <v>74</v>
      </c>
      <c r="I409" t="s">
        <v>162</v>
      </c>
    </row>
    <row r="410" spans="1:9" ht="15" customHeight="1" x14ac:dyDescent="0.35">
      <c r="A410">
        <v>2023</v>
      </c>
      <c r="B410" t="s">
        <v>151</v>
      </c>
      <c r="C410">
        <v>4</v>
      </c>
      <c r="D410" t="s">
        <v>83</v>
      </c>
      <c r="E410">
        <v>4623</v>
      </c>
      <c r="F410">
        <v>6286</v>
      </c>
      <c r="G410">
        <v>2608</v>
      </c>
      <c r="H410" t="s">
        <v>75</v>
      </c>
      <c r="I410" t="s">
        <v>162</v>
      </c>
    </row>
    <row r="411" spans="1:9" ht="15" customHeight="1" x14ac:dyDescent="0.35">
      <c r="A411">
        <v>2023</v>
      </c>
      <c r="B411" t="s">
        <v>152</v>
      </c>
      <c r="C411">
        <v>5</v>
      </c>
      <c r="D411" t="s">
        <v>83</v>
      </c>
      <c r="E411">
        <v>4992</v>
      </c>
      <c r="F411">
        <v>6517</v>
      </c>
      <c r="G411">
        <v>3121</v>
      </c>
      <c r="H411" t="s">
        <v>75</v>
      </c>
      <c r="I411" t="s">
        <v>162</v>
      </c>
    </row>
    <row r="412" spans="1:9" ht="15" customHeight="1" x14ac:dyDescent="0.35">
      <c r="A412">
        <v>2023</v>
      </c>
      <c r="B412" t="s">
        <v>153</v>
      </c>
      <c r="C412">
        <v>6</v>
      </c>
      <c r="D412" t="s">
        <v>83</v>
      </c>
      <c r="E412">
        <v>5640</v>
      </c>
      <c r="F412">
        <v>6869</v>
      </c>
      <c r="G412">
        <v>2983</v>
      </c>
      <c r="H412" t="s">
        <v>75</v>
      </c>
      <c r="I412" t="s">
        <v>162</v>
      </c>
    </row>
    <row r="413" spans="1:9" ht="15" customHeight="1" x14ac:dyDescent="0.35">
      <c r="A413">
        <v>2023</v>
      </c>
      <c r="B413" t="s">
        <v>154</v>
      </c>
      <c r="C413">
        <v>7</v>
      </c>
      <c r="D413" t="s">
        <v>83</v>
      </c>
      <c r="E413">
        <v>5836</v>
      </c>
      <c r="F413">
        <v>7494</v>
      </c>
      <c r="G413">
        <v>3742</v>
      </c>
      <c r="H413" t="s">
        <v>75</v>
      </c>
      <c r="I413" t="s">
        <v>162</v>
      </c>
    </row>
    <row r="414" spans="1:9" ht="15" customHeight="1" x14ac:dyDescent="0.35">
      <c r="A414">
        <v>2023</v>
      </c>
      <c r="B414" t="s">
        <v>155</v>
      </c>
      <c r="C414">
        <v>8</v>
      </c>
      <c r="D414" t="s">
        <v>83</v>
      </c>
      <c r="E414">
        <v>5747</v>
      </c>
      <c r="F414">
        <v>7107</v>
      </c>
      <c r="G414">
        <v>3403</v>
      </c>
      <c r="H414" t="s">
        <v>75</v>
      </c>
      <c r="I414" t="s">
        <v>162</v>
      </c>
    </row>
    <row r="415" spans="1:9" ht="15" customHeight="1" x14ac:dyDescent="0.35">
      <c r="A415">
        <v>2023</v>
      </c>
      <c r="B415" t="s">
        <v>156</v>
      </c>
      <c r="C415">
        <v>9</v>
      </c>
      <c r="D415" t="s">
        <v>83</v>
      </c>
      <c r="E415">
        <v>5715</v>
      </c>
      <c r="F415">
        <v>7279</v>
      </c>
      <c r="G415">
        <v>2534</v>
      </c>
      <c r="H415" t="s">
        <v>75</v>
      </c>
      <c r="I415" t="s">
        <v>162</v>
      </c>
    </row>
    <row r="416" spans="1:9" ht="15" customHeight="1" x14ac:dyDescent="0.35">
      <c r="A416">
        <v>2023</v>
      </c>
      <c r="B416" t="s">
        <v>157</v>
      </c>
      <c r="C416">
        <v>10</v>
      </c>
      <c r="D416" t="s">
        <v>83</v>
      </c>
      <c r="E416">
        <v>4653</v>
      </c>
      <c r="F416">
        <v>6379</v>
      </c>
      <c r="G416">
        <v>3250</v>
      </c>
      <c r="H416" t="s">
        <v>75</v>
      </c>
      <c r="I416" t="s">
        <v>162</v>
      </c>
    </row>
    <row r="417" spans="1:9" ht="15" customHeight="1" x14ac:dyDescent="0.35">
      <c r="A417">
        <v>2023</v>
      </c>
      <c r="B417" t="s">
        <v>158</v>
      </c>
      <c r="C417">
        <v>11</v>
      </c>
      <c r="D417" t="s">
        <v>83</v>
      </c>
      <c r="E417">
        <v>3611</v>
      </c>
      <c r="F417">
        <v>5126</v>
      </c>
      <c r="G417">
        <v>2447</v>
      </c>
      <c r="H417" t="s">
        <v>75</v>
      </c>
      <c r="I417" t="s">
        <v>162</v>
      </c>
    </row>
    <row r="418" spans="1:9" ht="15" customHeight="1" x14ac:dyDescent="0.35">
      <c r="A418">
        <v>2023</v>
      </c>
      <c r="B418" t="s">
        <v>159</v>
      </c>
      <c r="C418">
        <v>12</v>
      </c>
      <c r="D418" t="s">
        <v>83</v>
      </c>
      <c r="E418">
        <v>3391</v>
      </c>
      <c r="F418">
        <v>4901</v>
      </c>
      <c r="G418">
        <v>2011</v>
      </c>
      <c r="H418" t="s">
        <v>75</v>
      </c>
      <c r="I418" t="s">
        <v>162</v>
      </c>
    </row>
    <row r="419" spans="1:9" ht="15" customHeight="1" x14ac:dyDescent="0.35">
      <c r="A419">
        <v>2024</v>
      </c>
      <c r="B419" t="s">
        <v>147</v>
      </c>
      <c r="C419">
        <v>1</v>
      </c>
      <c r="D419" t="s">
        <v>83</v>
      </c>
      <c r="E419">
        <v>3979</v>
      </c>
      <c r="F419">
        <v>5440</v>
      </c>
      <c r="G419">
        <v>2317</v>
      </c>
      <c r="H419" t="s">
        <v>75</v>
      </c>
      <c r="I419" t="s">
        <v>162</v>
      </c>
    </row>
    <row r="420" spans="1:9" ht="15" customHeight="1" x14ac:dyDescent="0.35">
      <c r="A420">
        <v>2024</v>
      </c>
      <c r="B420" t="s">
        <v>149</v>
      </c>
      <c r="C420">
        <v>2</v>
      </c>
      <c r="D420" t="s">
        <v>83</v>
      </c>
      <c r="E420">
        <v>3606</v>
      </c>
      <c r="F420">
        <v>5068</v>
      </c>
      <c r="G420">
        <v>2201</v>
      </c>
      <c r="H420" t="s">
        <v>75</v>
      </c>
      <c r="I420" t="s">
        <v>162</v>
      </c>
    </row>
    <row r="421" spans="1:9" ht="15" customHeight="1" x14ac:dyDescent="0.35">
      <c r="A421">
        <v>2024</v>
      </c>
      <c r="B421" t="s">
        <v>150</v>
      </c>
      <c r="C421">
        <v>3</v>
      </c>
      <c r="D421" t="s">
        <v>83</v>
      </c>
      <c r="E421">
        <v>3790</v>
      </c>
      <c r="F421">
        <v>5687</v>
      </c>
      <c r="G421">
        <v>2017</v>
      </c>
      <c r="H421" t="s">
        <v>75</v>
      </c>
      <c r="I421" t="s">
        <v>162</v>
      </c>
    </row>
    <row r="422" spans="1:9" ht="15" customHeight="1" x14ac:dyDescent="0.35">
      <c r="A422">
        <v>2024</v>
      </c>
      <c r="B422" t="s">
        <v>151</v>
      </c>
      <c r="C422">
        <v>4</v>
      </c>
      <c r="D422" t="s">
        <v>83</v>
      </c>
      <c r="E422">
        <v>3766</v>
      </c>
      <c r="F422">
        <v>5687</v>
      </c>
      <c r="G422">
        <v>2017</v>
      </c>
      <c r="H422" t="s">
        <v>77</v>
      </c>
      <c r="I422" t="s">
        <v>162</v>
      </c>
    </row>
    <row r="423" spans="1:9" ht="15" customHeight="1" x14ac:dyDescent="0.35">
      <c r="A423">
        <v>2024</v>
      </c>
      <c r="B423" t="s">
        <v>152</v>
      </c>
      <c r="C423">
        <v>5</v>
      </c>
      <c r="D423" t="s">
        <v>83</v>
      </c>
      <c r="E423">
        <v>5625</v>
      </c>
      <c r="F423">
        <v>7508</v>
      </c>
      <c r="G423">
        <v>2800</v>
      </c>
      <c r="H423" t="s">
        <v>77</v>
      </c>
      <c r="I423" t="s">
        <v>162</v>
      </c>
    </row>
    <row r="424" spans="1:9" ht="15" customHeight="1" x14ac:dyDescent="0.35">
      <c r="A424">
        <v>2024</v>
      </c>
      <c r="B424" t="s">
        <v>153</v>
      </c>
      <c r="C424">
        <v>6</v>
      </c>
      <c r="D424" t="s">
        <v>83</v>
      </c>
      <c r="E424">
        <v>6257</v>
      </c>
      <c r="F424">
        <v>7504</v>
      </c>
      <c r="G424">
        <v>3546</v>
      </c>
      <c r="H424" t="s">
        <v>77</v>
      </c>
      <c r="I424" t="s">
        <v>162</v>
      </c>
    </row>
    <row r="425" spans="1:9" ht="15" customHeight="1" x14ac:dyDescent="0.35">
      <c r="A425">
        <v>2024</v>
      </c>
      <c r="B425" t="s">
        <v>154</v>
      </c>
      <c r="C425">
        <v>7</v>
      </c>
      <c r="D425" t="s">
        <v>83</v>
      </c>
      <c r="E425">
        <v>6134</v>
      </c>
      <c r="F425">
        <v>7764</v>
      </c>
      <c r="G425">
        <v>3618</v>
      </c>
      <c r="H425" t="s">
        <v>77</v>
      </c>
      <c r="I425" t="s">
        <v>162</v>
      </c>
    </row>
    <row r="426" spans="1:9" ht="15" customHeight="1" x14ac:dyDescent="0.35">
      <c r="A426">
        <v>2024</v>
      </c>
      <c r="B426" t="s">
        <v>155</v>
      </c>
      <c r="C426">
        <v>8</v>
      </c>
      <c r="D426" t="s">
        <v>83</v>
      </c>
      <c r="E426">
        <v>5795</v>
      </c>
      <c r="F426">
        <v>7536</v>
      </c>
      <c r="G426">
        <v>2287</v>
      </c>
      <c r="H426" t="s">
        <v>77</v>
      </c>
      <c r="I426" t="s">
        <v>162</v>
      </c>
    </row>
    <row r="427" spans="1:9" ht="15" customHeight="1" x14ac:dyDescent="0.35">
      <c r="A427">
        <v>2024</v>
      </c>
      <c r="B427" t="s">
        <v>156</v>
      </c>
      <c r="C427">
        <v>9</v>
      </c>
      <c r="D427" t="s">
        <v>83</v>
      </c>
      <c r="E427">
        <v>5919</v>
      </c>
      <c r="F427">
        <v>7873</v>
      </c>
      <c r="G427">
        <v>3197</v>
      </c>
      <c r="H427" t="s">
        <v>77</v>
      </c>
      <c r="I427" t="s">
        <v>162</v>
      </c>
    </row>
    <row r="428" spans="1:9" ht="15" customHeight="1" x14ac:dyDescent="0.35">
      <c r="A428">
        <v>2024</v>
      </c>
      <c r="B428" t="s">
        <v>157</v>
      </c>
      <c r="C428">
        <v>10</v>
      </c>
      <c r="D428" t="s">
        <v>83</v>
      </c>
      <c r="E428">
        <v>5373</v>
      </c>
      <c r="F428">
        <v>7082</v>
      </c>
      <c r="G428">
        <v>3288</v>
      </c>
      <c r="H428" t="s">
        <v>77</v>
      </c>
      <c r="I428" t="s">
        <v>162</v>
      </c>
    </row>
    <row r="429" spans="1:9" ht="15" customHeight="1" x14ac:dyDescent="0.35">
      <c r="A429">
        <v>2024</v>
      </c>
      <c r="B429" t="s">
        <v>158</v>
      </c>
      <c r="C429">
        <v>11</v>
      </c>
      <c r="D429" t="s">
        <v>83</v>
      </c>
      <c r="E429">
        <v>3847</v>
      </c>
      <c r="F429">
        <v>6061</v>
      </c>
      <c r="G429">
        <v>2462</v>
      </c>
      <c r="H429" t="s">
        <v>77</v>
      </c>
      <c r="I429" t="s">
        <v>162</v>
      </c>
    </row>
    <row r="430" spans="1:9" ht="15" customHeight="1" x14ac:dyDescent="0.35">
      <c r="A430">
        <v>2024</v>
      </c>
      <c r="B430" t="s">
        <v>159</v>
      </c>
      <c r="C430">
        <v>12</v>
      </c>
      <c r="D430" t="s">
        <v>83</v>
      </c>
      <c r="E430">
        <v>3669</v>
      </c>
      <c r="F430">
        <v>5318</v>
      </c>
      <c r="G430">
        <v>2440</v>
      </c>
      <c r="H430" t="s">
        <v>77</v>
      </c>
      <c r="I430" t="s">
        <v>162</v>
      </c>
    </row>
    <row r="431" spans="1:9" ht="15" customHeight="1" x14ac:dyDescent="0.35">
      <c r="A431">
        <v>2025</v>
      </c>
      <c r="B431" t="s">
        <v>147</v>
      </c>
      <c r="C431">
        <v>1</v>
      </c>
      <c r="D431" t="s">
        <v>83</v>
      </c>
      <c r="E431">
        <v>4232</v>
      </c>
      <c r="F431">
        <v>5663</v>
      </c>
      <c r="G431">
        <v>2955</v>
      </c>
      <c r="H431" t="s">
        <v>77</v>
      </c>
      <c r="I431" t="s">
        <v>162</v>
      </c>
    </row>
    <row r="432" spans="1:9" ht="15" customHeight="1" x14ac:dyDescent="0.35">
      <c r="A432">
        <v>2025</v>
      </c>
      <c r="B432" t="s">
        <v>149</v>
      </c>
      <c r="C432">
        <v>2</v>
      </c>
      <c r="D432" t="s">
        <v>83</v>
      </c>
      <c r="E432">
        <v>4046</v>
      </c>
      <c r="F432">
        <v>5321</v>
      </c>
      <c r="G432">
        <v>3044</v>
      </c>
      <c r="H432" t="s">
        <v>77</v>
      </c>
      <c r="I432" t="s">
        <v>162</v>
      </c>
    </row>
    <row r="433" spans="1:9" ht="15" customHeight="1" x14ac:dyDescent="0.35">
      <c r="A433">
        <v>2025</v>
      </c>
      <c r="B433" t="s">
        <v>150</v>
      </c>
      <c r="C433">
        <v>3</v>
      </c>
      <c r="D433" t="s">
        <v>83</v>
      </c>
      <c r="E433">
        <v>4269</v>
      </c>
      <c r="F433">
        <v>6154</v>
      </c>
      <c r="G433">
        <v>2491</v>
      </c>
      <c r="H433" t="s">
        <v>77</v>
      </c>
      <c r="I433" t="s">
        <v>162</v>
      </c>
    </row>
    <row r="434" spans="1:9" ht="15" customHeight="1" x14ac:dyDescent="0.35">
      <c r="A434">
        <v>2025</v>
      </c>
      <c r="B434" t="s">
        <v>151</v>
      </c>
      <c r="C434">
        <v>4</v>
      </c>
      <c r="D434" t="s">
        <v>83</v>
      </c>
      <c r="E434">
        <v>5061</v>
      </c>
      <c r="F434">
        <v>7320</v>
      </c>
      <c r="G434">
        <v>1343</v>
      </c>
      <c r="H434" t="s">
        <v>78</v>
      </c>
      <c r="I434" t="s">
        <v>162</v>
      </c>
    </row>
    <row r="435" spans="1:9" ht="15" customHeight="1" x14ac:dyDescent="0.35">
      <c r="A435">
        <v>2025</v>
      </c>
      <c r="B435" t="s">
        <v>152</v>
      </c>
      <c r="C435">
        <v>5</v>
      </c>
      <c r="D435" t="s">
        <v>83</v>
      </c>
      <c r="E435">
        <v>5943</v>
      </c>
      <c r="F435">
        <v>7664</v>
      </c>
      <c r="G435">
        <v>3039</v>
      </c>
      <c r="H435" t="s">
        <v>78</v>
      </c>
      <c r="I435" t="s">
        <v>162</v>
      </c>
    </row>
    <row r="436" spans="1:9" ht="15" customHeight="1" x14ac:dyDescent="0.35">
      <c r="A436">
        <v>2025</v>
      </c>
      <c r="B436" t="s">
        <v>153</v>
      </c>
      <c r="C436">
        <v>6</v>
      </c>
      <c r="D436" t="s">
        <v>83</v>
      </c>
      <c r="E436">
        <v>6501</v>
      </c>
      <c r="F436">
        <v>8255</v>
      </c>
      <c r="G436">
        <v>4660</v>
      </c>
      <c r="H436" t="s">
        <v>78</v>
      </c>
      <c r="I436" t="s">
        <v>162</v>
      </c>
    </row>
    <row r="437" spans="1:9" ht="15" customHeight="1" x14ac:dyDescent="0.35">
      <c r="A437">
        <v>2025</v>
      </c>
      <c r="B437" t="s">
        <v>154</v>
      </c>
      <c r="C437">
        <v>7</v>
      </c>
      <c r="D437" t="s">
        <v>83</v>
      </c>
      <c r="E437">
        <v>6716</v>
      </c>
      <c r="F437">
        <v>8657</v>
      </c>
      <c r="G437">
        <v>3525</v>
      </c>
      <c r="H437" t="s">
        <v>78</v>
      </c>
      <c r="I437" t="s">
        <v>162</v>
      </c>
    </row>
    <row r="438" spans="1:9" ht="15" customHeight="1" x14ac:dyDescent="0.35">
      <c r="A438">
        <v>2025</v>
      </c>
      <c r="B438" t="s">
        <v>155</v>
      </c>
      <c r="C438">
        <v>8</v>
      </c>
      <c r="D438" t="s">
        <v>83</v>
      </c>
      <c r="E438">
        <v>6531</v>
      </c>
      <c r="F438">
        <v>8291</v>
      </c>
      <c r="G438">
        <v>4621</v>
      </c>
      <c r="H438" t="s">
        <v>78</v>
      </c>
      <c r="I438" t="s">
        <v>162</v>
      </c>
    </row>
    <row r="439" spans="1:9" ht="15" customHeight="1" x14ac:dyDescent="0.35">
      <c r="A439">
        <v>2025</v>
      </c>
      <c r="B439" t="s">
        <v>156</v>
      </c>
      <c r="C439">
        <v>9</v>
      </c>
      <c r="D439" t="s">
        <v>83</v>
      </c>
      <c r="E439">
        <v>6752</v>
      </c>
      <c r="F439">
        <v>8676</v>
      </c>
      <c r="G439">
        <v>4724</v>
      </c>
      <c r="H439" t="s">
        <v>78</v>
      </c>
      <c r="I439" t="s">
        <v>162</v>
      </c>
    </row>
    <row r="440" spans="1:9" ht="15" customHeight="1" x14ac:dyDescent="0.35">
      <c r="A440">
        <v>2025</v>
      </c>
      <c r="B440" t="s">
        <v>157</v>
      </c>
      <c r="C440">
        <v>10</v>
      </c>
      <c r="D440" t="s">
        <v>83</v>
      </c>
      <c r="E440">
        <v>5276</v>
      </c>
      <c r="F440">
        <v>7667</v>
      </c>
      <c r="G440">
        <v>2852</v>
      </c>
      <c r="H440" t="s">
        <v>78</v>
      </c>
      <c r="I440" t="s">
        <v>162</v>
      </c>
    </row>
    <row r="441" spans="1:9" ht="15" customHeight="1" x14ac:dyDescent="0.35">
      <c r="A441">
        <v>2025</v>
      </c>
      <c r="B441" t="s">
        <v>158</v>
      </c>
      <c r="C441">
        <v>11</v>
      </c>
      <c r="D441" t="s">
        <v>83</v>
      </c>
      <c r="E441">
        <v>3788</v>
      </c>
      <c r="F441">
        <v>5469</v>
      </c>
      <c r="G441">
        <v>2793</v>
      </c>
      <c r="H441" t="s">
        <v>78</v>
      </c>
      <c r="I441" t="s">
        <v>162</v>
      </c>
    </row>
    <row r="442" spans="1:9" ht="15" customHeight="1" x14ac:dyDescent="0.35">
      <c r="A442">
        <v>2025</v>
      </c>
      <c r="B442" t="s">
        <v>159</v>
      </c>
      <c r="C442">
        <v>12</v>
      </c>
      <c r="D442" t="s">
        <v>83</v>
      </c>
      <c r="E442">
        <v>4225</v>
      </c>
      <c r="F442">
        <v>6331</v>
      </c>
      <c r="G442">
        <v>2763</v>
      </c>
      <c r="H442" t="s">
        <v>78</v>
      </c>
      <c r="I442" t="s">
        <v>162</v>
      </c>
    </row>
    <row r="443" spans="1:9" ht="15" customHeight="1" x14ac:dyDescent="0.35">
      <c r="A443">
        <v>2026</v>
      </c>
      <c r="B443" t="s">
        <v>147</v>
      </c>
      <c r="C443">
        <v>1</v>
      </c>
      <c r="D443" t="s">
        <v>83</v>
      </c>
      <c r="E443">
        <v>4622</v>
      </c>
      <c r="F443">
        <v>6600</v>
      </c>
      <c r="G443">
        <v>3012</v>
      </c>
      <c r="H443" t="s">
        <v>78</v>
      </c>
      <c r="I443" t="s">
        <v>162</v>
      </c>
    </row>
    <row r="444" spans="1:9" ht="15" customHeight="1" x14ac:dyDescent="0.35">
      <c r="A444">
        <v>2026</v>
      </c>
      <c r="B444" t="s">
        <v>149</v>
      </c>
      <c r="C444">
        <v>2</v>
      </c>
      <c r="D444" t="s">
        <v>83</v>
      </c>
      <c r="E444">
        <v>4411</v>
      </c>
      <c r="F444">
        <v>5946</v>
      </c>
      <c r="G444">
        <v>3125</v>
      </c>
      <c r="H444" t="s">
        <v>78</v>
      </c>
      <c r="I444" t="s">
        <v>162</v>
      </c>
    </row>
    <row r="445" spans="1:9" ht="15" customHeight="1" x14ac:dyDescent="0.35">
      <c r="A445">
        <v>2026</v>
      </c>
      <c r="B445" t="s">
        <v>150</v>
      </c>
      <c r="C445">
        <v>3</v>
      </c>
      <c r="D445" t="s">
        <v>83</v>
      </c>
      <c r="E445">
        <v>4622</v>
      </c>
      <c r="F445">
        <v>6600</v>
      </c>
      <c r="G445">
        <v>3012</v>
      </c>
      <c r="H445" t="s">
        <v>78</v>
      </c>
      <c r="I445" t="s">
        <v>162</v>
      </c>
    </row>
    <row r="446" spans="1:9" ht="15" customHeight="1" x14ac:dyDescent="0.35">
      <c r="A446">
        <v>2017</v>
      </c>
      <c r="B446" t="s">
        <v>147</v>
      </c>
      <c r="C446">
        <v>1</v>
      </c>
      <c r="D446" t="s">
        <v>84</v>
      </c>
      <c r="E446">
        <v>165</v>
      </c>
      <c r="F446">
        <v>270</v>
      </c>
      <c r="G446">
        <v>81</v>
      </c>
      <c r="H446" t="s">
        <v>122</v>
      </c>
      <c r="I446" t="s">
        <v>163</v>
      </c>
    </row>
    <row r="447" spans="1:9" ht="15" customHeight="1" x14ac:dyDescent="0.35">
      <c r="A447">
        <v>2017</v>
      </c>
      <c r="B447" t="s">
        <v>149</v>
      </c>
      <c r="C447">
        <v>2</v>
      </c>
      <c r="D447" t="s">
        <v>84</v>
      </c>
      <c r="E447">
        <v>150</v>
      </c>
      <c r="F447">
        <v>240</v>
      </c>
      <c r="G447">
        <v>79</v>
      </c>
      <c r="H447" t="s">
        <v>122</v>
      </c>
      <c r="I447" t="s">
        <v>163</v>
      </c>
    </row>
    <row r="448" spans="1:9" ht="15" customHeight="1" x14ac:dyDescent="0.35">
      <c r="A448">
        <v>2017</v>
      </c>
      <c r="B448" t="s">
        <v>150</v>
      </c>
      <c r="C448">
        <v>3</v>
      </c>
      <c r="D448" t="s">
        <v>84</v>
      </c>
      <c r="E448">
        <v>151</v>
      </c>
      <c r="F448">
        <v>237</v>
      </c>
      <c r="G448">
        <v>71</v>
      </c>
      <c r="H448" t="s">
        <v>122</v>
      </c>
      <c r="I448" t="s">
        <v>163</v>
      </c>
    </row>
    <row r="449" spans="1:9" ht="15" customHeight="1" x14ac:dyDescent="0.35">
      <c r="A449">
        <v>2017</v>
      </c>
      <c r="B449" t="s">
        <v>151</v>
      </c>
      <c r="C449">
        <v>4</v>
      </c>
      <c r="D449" t="s">
        <v>84</v>
      </c>
      <c r="E449">
        <v>203</v>
      </c>
      <c r="F449">
        <v>326</v>
      </c>
      <c r="G449">
        <v>114</v>
      </c>
      <c r="H449" t="s">
        <v>123</v>
      </c>
      <c r="I449" t="s">
        <v>163</v>
      </c>
    </row>
    <row r="450" spans="1:9" ht="15" customHeight="1" x14ac:dyDescent="0.35">
      <c r="A450">
        <v>2017</v>
      </c>
      <c r="B450" t="s">
        <v>152</v>
      </c>
      <c r="C450">
        <v>5</v>
      </c>
      <c r="D450" t="s">
        <v>84</v>
      </c>
      <c r="E450">
        <v>262</v>
      </c>
      <c r="F450">
        <v>380</v>
      </c>
      <c r="G450">
        <v>175</v>
      </c>
      <c r="H450" t="s">
        <v>123</v>
      </c>
      <c r="I450" t="s">
        <v>163</v>
      </c>
    </row>
    <row r="451" spans="1:9" ht="15" customHeight="1" x14ac:dyDescent="0.35">
      <c r="A451">
        <v>2017</v>
      </c>
      <c r="B451" t="s">
        <v>153</v>
      </c>
      <c r="C451">
        <v>6</v>
      </c>
      <c r="D451" t="s">
        <v>84</v>
      </c>
      <c r="E451">
        <v>262</v>
      </c>
      <c r="F451">
        <v>389</v>
      </c>
      <c r="G451">
        <v>127</v>
      </c>
      <c r="H451" t="s">
        <v>123</v>
      </c>
      <c r="I451" t="s">
        <v>163</v>
      </c>
    </row>
    <row r="452" spans="1:9" ht="15" customHeight="1" x14ac:dyDescent="0.35">
      <c r="A452">
        <v>2017</v>
      </c>
      <c r="B452" t="s">
        <v>154</v>
      </c>
      <c r="C452">
        <v>7</v>
      </c>
      <c r="D452" t="s">
        <v>84</v>
      </c>
      <c r="E452">
        <v>278</v>
      </c>
      <c r="F452">
        <v>390</v>
      </c>
      <c r="G452">
        <v>191</v>
      </c>
      <c r="H452" t="s">
        <v>123</v>
      </c>
      <c r="I452" t="s">
        <v>163</v>
      </c>
    </row>
    <row r="453" spans="1:9" ht="15" customHeight="1" x14ac:dyDescent="0.35">
      <c r="A453">
        <v>2017</v>
      </c>
      <c r="B453" t="s">
        <v>155</v>
      </c>
      <c r="C453">
        <v>8</v>
      </c>
      <c r="D453" t="s">
        <v>84</v>
      </c>
      <c r="E453">
        <v>258</v>
      </c>
      <c r="F453">
        <v>365</v>
      </c>
      <c r="G453">
        <v>180</v>
      </c>
      <c r="H453" t="s">
        <v>123</v>
      </c>
      <c r="I453" t="s">
        <v>163</v>
      </c>
    </row>
    <row r="454" spans="1:9" ht="15" customHeight="1" x14ac:dyDescent="0.35">
      <c r="A454">
        <v>2017</v>
      </c>
      <c r="B454" t="s">
        <v>156</v>
      </c>
      <c r="C454">
        <v>9</v>
      </c>
      <c r="D454" t="s">
        <v>84</v>
      </c>
      <c r="E454">
        <v>234</v>
      </c>
      <c r="F454">
        <v>316</v>
      </c>
      <c r="G454">
        <v>138</v>
      </c>
      <c r="H454" t="s">
        <v>123</v>
      </c>
      <c r="I454" t="s">
        <v>163</v>
      </c>
    </row>
    <row r="455" spans="1:9" ht="15" customHeight="1" x14ac:dyDescent="0.35">
      <c r="A455">
        <v>2017</v>
      </c>
      <c r="B455" t="s">
        <v>157</v>
      </c>
      <c r="C455">
        <v>10</v>
      </c>
      <c r="D455" t="s">
        <v>84</v>
      </c>
      <c r="E455">
        <v>191</v>
      </c>
      <c r="F455">
        <v>254</v>
      </c>
      <c r="G455">
        <v>126</v>
      </c>
      <c r="H455" t="s">
        <v>123</v>
      </c>
      <c r="I455" t="s">
        <v>163</v>
      </c>
    </row>
    <row r="456" spans="1:9" ht="15" customHeight="1" x14ac:dyDescent="0.35">
      <c r="A456">
        <v>2017</v>
      </c>
      <c r="B456" t="s">
        <v>158</v>
      </c>
      <c r="C456">
        <v>11</v>
      </c>
      <c r="D456" t="s">
        <v>84</v>
      </c>
      <c r="E456">
        <v>144</v>
      </c>
      <c r="F456">
        <v>214</v>
      </c>
      <c r="G456">
        <v>77</v>
      </c>
      <c r="H456" t="s">
        <v>123</v>
      </c>
      <c r="I456" t="s">
        <v>163</v>
      </c>
    </row>
    <row r="457" spans="1:9" ht="15" customHeight="1" x14ac:dyDescent="0.35">
      <c r="A457">
        <v>2017</v>
      </c>
      <c r="B457" t="s">
        <v>159</v>
      </c>
      <c r="C457">
        <v>12</v>
      </c>
      <c r="D457" t="s">
        <v>84</v>
      </c>
      <c r="E457">
        <v>153</v>
      </c>
      <c r="F457">
        <v>241</v>
      </c>
      <c r="G457">
        <v>76</v>
      </c>
      <c r="H457" t="s">
        <v>123</v>
      </c>
      <c r="I457" t="s">
        <v>163</v>
      </c>
    </row>
    <row r="458" spans="1:9" ht="15" customHeight="1" x14ac:dyDescent="0.35">
      <c r="A458">
        <v>2018</v>
      </c>
      <c r="B458" t="s">
        <v>147</v>
      </c>
      <c r="C458">
        <v>1</v>
      </c>
      <c r="D458" t="s">
        <v>84</v>
      </c>
      <c r="E458">
        <v>163</v>
      </c>
      <c r="F458">
        <v>264</v>
      </c>
      <c r="G458">
        <v>80</v>
      </c>
      <c r="H458" t="s">
        <v>123</v>
      </c>
      <c r="I458" t="s">
        <v>163</v>
      </c>
    </row>
    <row r="459" spans="1:9" ht="15" customHeight="1" x14ac:dyDescent="0.35">
      <c r="A459">
        <v>2018</v>
      </c>
      <c r="B459" t="s">
        <v>149</v>
      </c>
      <c r="C459">
        <v>2</v>
      </c>
      <c r="D459" t="s">
        <v>84</v>
      </c>
      <c r="E459">
        <v>144</v>
      </c>
      <c r="F459">
        <v>242</v>
      </c>
      <c r="G459">
        <v>72</v>
      </c>
      <c r="H459" t="s">
        <v>123</v>
      </c>
      <c r="I459" t="s">
        <v>163</v>
      </c>
    </row>
    <row r="460" spans="1:9" ht="15" customHeight="1" x14ac:dyDescent="0.35">
      <c r="A460">
        <v>2018</v>
      </c>
      <c r="B460" t="s">
        <v>150</v>
      </c>
      <c r="C460">
        <v>3</v>
      </c>
      <c r="D460" t="s">
        <v>84</v>
      </c>
      <c r="E460">
        <v>138</v>
      </c>
      <c r="F460">
        <v>203</v>
      </c>
      <c r="G460">
        <v>71</v>
      </c>
      <c r="H460" t="s">
        <v>123</v>
      </c>
      <c r="I460" t="s">
        <v>163</v>
      </c>
    </row>
    <row r="461" spans="1:9" ht="15" customHeight="1" x14ac:dyDescent="0.35">
      <c r="A461">
        <v>2018</v>
      </c>
      <c r="B461" t="s">
        <v>151</v>
      </c>
      <c r="C461">
        <v>4</v>
      </c>
      <c r="D461" t="s">
        <v>84</v>
      </c>
      <c r="E461">
        <v>187</v>
      </c>
      <c r="F461">
        <v>275</v>
      </c>
      <c r="G461">
        <v>115</v>
      </c>
      <c r="H461" t="s">
        <v>124</v>
      </c>
      <c r="I461" t="s">
        <v>163</v>
      </c>
    </row>
    <row r="462" spans="1:9" ht="15" customHeight="1" x14ac:dyDescent="0.35">
      <c r="A462">
        <v>2018</v>
      </c>
      <c r="B462" t="s">
        <v>152</v>
      </c>
      <c r="C462">
        <v>5</v>
      </c>
      <c r="D462" t="s">
        <v>84</v>
      </c>
      <c r="E462">
        <v>243</v>
      </c>
      <c r="F462">
        <v>378</v>
      </c>
      <c r="G462">
        <v>148</v>
      </c>
      <c r="H462" t="s">
        <v>124</v>
      </c>
      <c r="I462" t="s">
        <v>163</v>
      </c>
    </row>
    <row r="463" spans="1:9" ht="15" customHeight="1" x14ac:dyDescent="0.35">
      <c r="A463">
        <v>2018</v>
      </c>
      <c r="B463" t="s">
        <v>153</v>
      </c>
      <c r="C463">
        <v>6</v>
      </c>
      <c r="D463" t="s">
        <v>84</v>
      </c>
      <c r="E463">
        <v>276</v>
      </c>
      <c r="F463">
        <v>401</v>
      </c>
      <c r="G463">
        <v>113</v>
      </c>
      <c r="H463" t="s">
        <v>124</v>
      </c>
      <c r="I463" t="s">
        <v>163</v>
      </c>
    </row>
    <row r="464" spans="1:9" ht="15" customHeight="1" x14ac:dyDescent="0.35">
      <c r="A464">
        <v>2018</v>
      </c>
      <c r="B464" t="s">
        <v>154</v>
      </c>
      <c r="C464">
        <v>7</v>
      </c>
      <c r="D464" t="s">
        <v>84</v>
      </c>
      <c r="E464">
        <v>267</v>
      </c>
      <c r="F464">
        <v>398</v>
      </c>
      <c r="G464">
        <v>171</v>
      </c>
      <c r="H464" t="s">
        <v>124</v>
      </c>
      <c r="I464" t="s">
        <v>163</v>
      </c>
    </row>
    <row r="465" spans="1:9" ht="15" customHeight="1" x14ac:dyDescent="0.35">
      <c r="A465">
        <v>2018</v>
      </c>
      <c r="B465" t="s">
        <v>155</v>
      </c>
      <c r="C465">
        <v>8</v>
      </c>
      <c r="D465" t="s">
        <v>84</v>
      </c>
      <c r="E465">
        <v>260</v>
      </c>
      <c r="F465">
        <v>369</v>
      </c>
      <c r="G465">
        <v>172</v>
      </c>
      <c r="H465" t="s">
        <v>124</v>
      </c>
      <c r="I465" t="s">
        <v>163</v>
      </c>
    </row>
    <row r="466" spans="1:9" ht="15" customHeight="1" x14ac:dyDescent="0.35">
      <c r="A466">
        <v>2018</v>
      </c>
      <c r="B466" t="s">
        <v>156</v>
      </c>
      <c r="C466">
        <v>9</v>
      </c>
      <c r="D466" t="s">
        <v>84</v>
      </c>
      <c r="E466">
        <v>218</v>
      </c>
      <c r="F466">
        <v>321</v>
      </c>
      <c r="G466">
        <v>107</v>
      </c>
      <c r="H466" t="s">
        <v>124</v>
      </c>
      <c r="I466" t="s">
        <v>163</v>
      </c>
    </row>
    <row r="467" spans="1:9" ht="15" customHeight="1" x14ac:dyDescent="0.35">
      <c r="A467">
        <v>2018</v>
      </c>
      <c r="B467" t="s">
        <v>157</v>
      </c>
      <c r="C467">
        <v>10</v>
      </c>
      <c r="D467" t="s">
        <v>84</v>
      </c>
      <c r="E467">
        <v>157</v>
      </c>
      <c r="F467">
        <v>241</v>
      </c>
      <c r="G467">
        <v>84</v>
      </c>
      <c r="H467" t="s">
        <v>124</v>
      </c>
      <c r="I467" t="s">
        <v>163</v>
      </c>
    </row>
    <row r="468" spans="1:9" ht="15" customHeight="1" x14ac:dyDescent="0.35">
      <c r="A468">
        <v>2018</v>
      </c>
      <c r="B468" t="s">
        <v>158</v>
      </c>
      <c r="C468">
        <v>11</v>
      </c>
      <c r="D468" t="s">
        <v>84</v>
      </c>
      <c r="E468">
        <v>128</v>
      </c>
      <c r="F468">
        <v>214</v>
      </c>
      <c r="G468">
        <v>63</v>
      </c>
      <c r="H468" t="s">
        <v>124</v>
      </c>
      <c r="I468" t="s">
        <v>163</v>
      </c>
    </row>
    <row r="469" spans="1:9" ht="15" customHeight="1" x14ac:dyDescent="0.35">
      <c r="A469">
        <v>2018</v>
      </c>
      <c r="B469" t="s">
        <v>159</v>
      </c>
      <c r="C469">
        <v>12</v>
      </c>
      <c r="D469" t="s">
        <v>84</v>
      </c>
      <c r="E469">
        <v>140</v>
      </c>
      <c r="F469">
        <v>224</v>
      </c>
      <c r="G469">
        <v>71</v>
      </c>
      <c r="H469" t="s">
        <v>124</v>
      </c>
      <c r="I469" t="s">
        <v>163</v>
      </c>
    </row>
    <row r="470" spans="1:9" ht="15" customHeight="1" x14ac:dyDescent="0.35">
      <c r="A470">
        <v>2019</v>
      </c>
      <c r="B470" t="s">
        <v>147</v>
      </c>
      <c r="C470">
        <v>1</v>
      </c>
      <c r="D470" t="s">
        <v>84</v>
      </c>
      <c r="E470">
        <v>170</v>
      </c>
      <c r="F470">
        <v>271</v>
      </c>
      <c r="G470">
        <v>85</v>
      </c>
      <c r="H470" t="s">
        <v>124</v>
      </c>
      <c r="I470" t="s">
        <v>163</v>
      </c>
    </row>
    <row r="471" spans="1:9" ht="15" customHeight="1" x14ac:dyDescent="0.35">
      <c r="A471">
        <v>2019</v>
      </c>
      <c r="B471" t="s">
        <v>149</v>
      </c>
      <c r="C471">
        <v>2</v>
      </c>
      <c r="D471" t="s">
        <v>84</v>
      </c>
      <c r="E471">
        <v>159</v>
      </c>
      <c r="F471">
        <v>266</v>
      </c>
      <c r="G471">
        <v>79</v>
      </c>
      <c r="H471" t="s">
        <v>124</v>
      </c>
      <c r="I471" t="s">
        <v>163</v>
      </c>
    </row>
    <row r="472" spans="1:9" ht="15" customHeight="1" x14ac:dyDescent="0.35">
      <c r="A472">
        <v>2019</v>
      </c>
      <c r="B472" t="s">
        <v>150</v>
      </c>
      <c r="C472">
        <v>3</v>
      </c>
      <c r="D472" t="s">
        <v>84</v>
      </c>
      <c r="E472">
        <v>142</v>
      </c>
      <c r="F472">
        <v>246</v>
      </c>
      <c r="G472">
        <v>74</v>
      </c>
      <c r="H472" t="s">
        <v>124</v>
      </c>
      <c r="I472" t="s">
        <v>163</v>
      </c>
    </row>
    <row r="473" spans="1:9" ht="15" customHeight="1" x14ac:dyDescent="0.35">
      <c r="A473">
        <v>2019</v>
      </c>
      <c r="B473" t="s">
        <v>151</v>
      </c>
      <c r="C473">
        <v>4</v>
      </c>
      <c r="D473" t="s">
        <v>84</v>
      </c>
      <c r="E473">
        <v>185</v>
      </c>
      <c r="F473">
        <v>292</v>
      </c>
      <c r="G473">
        <v>100</v>
      </c>
      <c r="H473" t="s">
        <v>71</v>
      </c>
      <c r="I473" t="s">
        <v>163</v>
      </c>
    </row>
    <row r="474" spans="1:9" ht="15" customHeight="1" x14ac:dyDescent="0.35">
      <c r="A474">
        <v>2019</v>
      </c>
      <c r="B474" t="s">
        <v>152</v>
      </c>
      <c r="C474">
        <v>5</v>
      </c>
      <c r="D474" t="s">
        <v>84</v>
      </c>
      <c r="E474">
        <v>243</v>
      </c>
      <c r="F474">
        <v>373</v>
      </c>
      <c r="G474">
        <v>157</v>
      </c>
      <c r="H474" t="s">
        <v>71</v>
      </c>
      <c r="I474" t="s">
        <v>163</v>
      </c>
    </row>
    <row r="475" spans="1:9" ht="15" customHeight="1" x14ac:dyDescent="0.35">
      <c r="A475">
        <v>2019</v>
      </c>
      <c r="B475" t="s">
        <v>153</v>
      </c>
      <c r="C475">
        <v>6</v>
      </c>
      <c r="D475" t="s">
        <v>84</v>
      </c>
      <c r="E475">
        <v>292</v>
      </c>
      <c r="F475">
        <v>406</v>
      </c>
      <c r="G475">
        <v>131</v>
      </c>
      <c r="H475" t="s">
        <v>71</v>
      </c>
      <c r="I475" t="s">
        <v>163</v>
      </c>
    </row>
    <row r="476" spans="1:9" ht="15" customHeight="1" x14ac:dyDescent="0.35">
      <c r="A476">
        <v>2019</v>
      </c>
      <c r="B476" t="s">
        <v>154</v>
      </c>
      <c r="C476">
        <v>7</v>
      </c>
      <c r="D476" t="s">
        <v>84</v>
      </c>
      <c r="E476">
        <v>272</v>
      </c>
      <c r="F476">
        <v>426</v>
      </c>
      <c r="G476">
        <v>154</v>
      </c>
      <c r="H476" t="s">
        <v>71</v>
      </c>
      <c r="I476" t="s">
        <v>163</v>
      </c>
    </row>
    <row r="477" spans="1:9" ht="15" customHeight="1" x14ac:dyDescent="0.35">
      <c r="A477">
        <v>2019</v>
      </c>
      <c r="B477" t="s">
        <v>155</v>
      </c>
      <c r="C477">
        <v>8</v>
      </c>
      <c r="D477" t="s">
        <v>84</v>
      </c>
      <c r="E477">
        <v>260</v>
      </c>
      <c r="F477">
        <v>370</v>
      </c>
      <c r="G477">
        <v>114</v>
      </c>
      <c r="H477" t="s">
        <v>71</v>
      </c>
      <c r="I477" t="s">
        <v>163</v>
      </c>
    </row>
    <row r="478" spans="1:9" ht="15" customHeight="1" x14ac:dyDescent="0.35">
      <c r="A478">
        <v>2019</v>
      </c>
      <c r="B478" t="s">
        <v>156</v>
      </c>
      <c r="C478">
        <v>9</v>
      </c>
      <c r="D478" t="s">
        <v>84</v>
      </c>
      <c r="E478">
        <v>261</v>
      </c>
      <c r="F478">
        <v>377</v>
      </c>
      <c r="G478">
        <v>147</v>
      </c>
      <c r="H478" t="s">
        <v>71</v>
      </c>
      <c r="I478" t="s">
        <v>163</v>
      </c>
    </row>
    <row r="479" spans="1:9" ht="15" customHeight="1" x14ac:dyDescent="0.35">
      <c r="A479">
        <v>2019</v>
      </c>
      <c r="B479" t="s">
        <v>157</v>
      </c>
      <c r="C479">
        <v>10</v>
      </c>
      <c r="D479" t="s">
        <v>84</v>
      </c>
      <c r="E479">
        <v>158</v>
      </c>
      <c r="F479">
        <v>228</v>
      </c>
      <c r="G479">
        <v>85</v>
      </c>
      <c r="H479" t="s">
        <v>71</v>
      </c>
      <c r="I479" t="s">
        <v>163</v>
      </c>
    </row>
    <row r="480" spans="1:9" ht="15" customHeight="1" x14ac:dyDescent="0.35">
      <c r="A480">
        <v>2019</v>
      </c>
      <c r="B480" t="s">
        <v>158</v>
      </c>
      <c r="C480">
        <v>11</v>
      </c>
      <c r="D480" t="s">
        <v>84</v>
      </c>
      <c r="E480">
        <v>139</v>
      </c>
      <c r="F480">
        <v>212</v>
      </c>
      <c r="G480">
        <v>73</v>
      </c>
      <c r="H480" t="s">
        <v>71</v>
      </c>
      <c r="I480" t="s">
        <v>163</v>
      </c>
    </row>
    <row r="481" spans="1:9" ht="15" customHeight="1" x14ac:dyDescent="0.35">
      <c r="A481">
        <v>2019</v>
      </c>
      <c r="B481" t="s">
        <v>159</v>
      </c>
      <c r="C481">
        <v>12</v>
      </c>
      <c r="D481" t="s">
        <v>84</v>
      </c>
      <c r="E481">
        <v>168</v>
      </c>
      <c r="F481">
        <v>304</v>
      </c>
      <c r="G481">
        <v>73</v>
      </c>
      <c r="H481" t="s">
        <v>71</v>
      </c>
      <c r="I481" t="s">
        <v>163</v>
      </c>
    </row>
    <row r="482" spans="1:9" ht="15" customHeight="1" x14ac:dyDescent="0.35">
      <c r="A482">
        <v>2020</v>
      </c>
      <c r="B482" t="s">
        <v>147</v>
      </c>
      <c r="C482">
        <v>1</v>
      </c>
      <c r="D482" t="s">
        <v>84</v>
      </c>
      <c r="E482">
        <v>182</v>
      </c>
      <c r="F482">
        <v>292</v>
      </c>
      <c r="G482">
        <v>89</v>
      </c>
      <c r="H482" t="s">
        <v>71</v>
      </c>
      <c r="I482" t="s">
        <v>163</v>
      </c>
    </row>
    <row r="483" spans="1:9" ht="15" customHeight="1" x14ac:dyDescent="0.35">
      <c r="A483">
        <v>2020</v>
      </c>
      <c r="B483" t="s">
        <v>149</v>
      </c>
      <c r="C483">
        <v>2</v>
      </c>
      <c r="D483" t="s">
        <v>84</v>
      </c>
      <c r="E483">
        <v>153</v>
      </c>
      <c r="F483">
        <v>270</v>
      </c>
      <c r="G483">
        <v>76</v>
      </c>
      <c r="H483" t="s">
        <v>71</v>
      </c>
      <c r="I483" t="s">
        <v>163</v>
      </c>
    </row>
    <row r="484" spans="1:9" ht="15" customHeight="1" x14ac:dyDescent="0.35">
      <c r="A484">
        <v>2020</v>
      </c>
      <c r="B484" t="s">
        <v>150</v>
      </c>
      <c r="C484">
        <v>3</v>
      </c>
      <c r="D484" t="s">
        <v>84</v>
      </c>
      <c r="E484">
        <v>122</v>
      </c>
      <c r="F484">
        <v>219</v>
      </c>
      <c r="G484">
        <v>61</v>
      </c>
      <c r="H484" t="s">
        <v>71</v>
      </c>
      <c r="I484" t="s">
        <v>163</v>
      </c>
    </row>
    <row r="485" spans="1:9" ht="15" customHeight="1" x14ac:dyDescent="0.35">
      <c r="A485">
        <v>2020</v>
      </c>
      <c r="B485" t="s">
        <v>151</v>
      </c>
      <c r="C485">
        <v>4</v>
      </c>
      <c r="D485" t="s">
        <v>84</v>
      </c>
      <c r="E485">
        <v>105</v>
      </c>
      <c r="F485">
        <v>152</v>
      </c>
      <c r="G485">
        <v>61</v>
      </c>
      <c r="H485" t="s">
        <v>72</v>
      </c>
      <c r="I485" t="s">
        <v>163</v>
      </c>
    </row>
    <row r="486" spans="1:9" ht="15" customHeight="1" x14ac:dyDescent="0.35">
      <c r="A486">
        <v>2020</v>
      </c>
      <c r="B486" t="s">
        <v>152</v>
      </c>
      <c r="C486">
        <v>5</v>
      </c>
      <c r="D486" t="s">
        <v>84</v>
      </c>
      <c r="E486">
        <v>157</v>
      </c>
      <c r="F486">
        <v>297</v>
      </c>
      <c r="G486">
        <v>96</v>
      </c>
      <c r="H486" t="s">
        <v>72</v>
      </c>
      <c r="I486" t="s">
        <v>163</v>
      </c>
    </row>
    <row r="487" spans="1:9" ht="15" customHeight="1" x14ac:dyDescent="0.35">
      <c r="A487">
        <v>2020</v>
      </c>
      <c r="B487" t="s">
        <v>153</v>
      </c>
      <c r="C487">
        <v>6</v>
      </c>
      <c r="D487" t="s">
        <v>84</v>
      </c>
      <c r="E487">
        <v>226</v>
      </c>
      <c r="F487">
        <v>358</v>
      </c>
      <c r="G487">
        <v>119</v>
      </c>
      <c r="H487" t="s">
        <v>72</v>
      </c>
      <c r="I487" t="s">
        <v>163</v>
      </c>
    </row>
    <row r="488" spans="1:9" ht="15" customHeight="1" x14ac:dyDescent="0.35">
      <c r="A488">
        <v>2020</v>
      </c>
      <c r="B488" t="s">
        <v>154</v>
      </c>
      <c r="C488">
        <v>7</v>
      </c>
      <c r="D488" t="s">
        <v>84</v>
      </c>
      <c r="E488">
        <v>244</v>
      </c>
      <c r="F488">
        <v>376</v>
      </c>
      <c r="G488">
        <v>147</v>
      </c>
      <c r="H488" t="s">
        <v>72</v>
      </c>
      <c r="I488" t="s">
        <v>163</v>
      </c>
    </row>
    <row r="489" spans="1:9" ht="15" customHeight="1" x14ac:dyDescent="0.35">
      <c r="A489">
        <v>2020</v>
      </c>
      <c r="B489" t="s">
        <v>155</v>
      </c>
      <c r="C489">
        <v>8</v>
      </c>
      <c r="D489" t="s">
        <v>84</v>
      </c>
      <c r="E489">
        <v>232</v>
      </c>
      <c r="F489">
        <v>345</v>
      </c>
      <c r="G489">
        <v>134</v>
      </c>
      <c r="H489" t="s">
        <v>72</v>
      </c>
      <c r="I489" t="s">
        <v>163</v>
      </c>
    </row>
    <row r="490" spans="1:9" ht="15" customHeight="1" x14ac:dyDescent="0.35">
      <c r="A490">
        <v>2020</v>
      </c>
      <c r="B490" t="s">
        <v>156</v>
      </c>
      <c r="C490">
        <v>9</v>
      </c>
      <c r="D490" t="s">
        <v>84</v>
      </c>
      <c r="E490">
        <v>235</v>
      </c>
      <c r="F490">
        <v>320</v>
      </c>
      <c r="G490">
        <v>150</v>
      </c>
      <c r="H490" t="s">
        <v>72</v>
      </c>
      <c r="I490" t="s">
        <v>163</v>
      </c>
    </row>
    <row r="491" spans="1:9" ht="15" customHeight="1" x14ac:dyDescent="0.35">
      <c r="A491">
        <v>2020</v>
      </c>
      <c r="B491" t="s">
        <v>157</v>
      </c>
      <c r="C491">
        <v>10</v>
      </c>
      <c r="D491" t="s">
        <v>84</v>
      </c>
      <c r="E491">
        <v>152</v>
      </c>
      <c r="F491">
        <v>226</v>
      </c>
      <c r="G491">
        <v>77</v>
      </c>
      <c r="H491" t="s">
        <v>72</v>
      </c>
      <c r="I491" t="s">
        <v>163</v>
      </c>
    </row>
    <row r="492" spans="1:9" ht="15" customHeight="1" x14ac:dyDescent="0.35">
      <c r="A492">
        <v>2020</v>
      </c>
      <c r="B492" t="s">
        <v>158</v>
      </c>
      <c r="C492">
        <v>11</v>
      </c>
      <c r="D492" t="s">
        <v>84</v>
      </c>
      <c r="E492">
        <v>126</v>
      </c>
      <c r="F492">
        <v>206</v>
      </c>
      <c r="G492">
        <v>65</v>
      </c>
      <c r="H492" t="s">
        <v>72</v>
      </c>
      <c r="I492" t="s">
        <v>163</v>
      </c>
    </row>
    <row r="493" spans="1:9" ht="15" customHeight="1" x14ac:dyDescent="0.35">
      <c r="A493">
        <v>2020</v>
      </c>
      <c r="B493" t="s">
        <v>159</v>
      </c>
      <c r="C493">
        <v>12</v>
      </c>
      <c r="D493" t="s">
        <v>84</v>
      </c>
      <c r="E493">
        <v>151</v>
      </c>
      <c r="F493">
        <v>273</v>
      </c>
      <c r="G493">
        <v>72</v>
      </c>
      <c r="H493" t="s">
        <v>72</v>
      </c>
      <c r="I493" t="s">
        <v>163</v>
      </c>
    </row>
    <row r="494" spans="1:9" ht="15" customHeight="1" x14ac:dyDescent="0.35">
      <c r="A494">
        <v>2021</v>
      </c>
      <c r="B494" t="s">
        <v>147</v>
      </c>
      <c r="C494">
        <v>1</v>
      </c>
      <c r="D494" t="s">
        <v>84</v>
      </c>
      <c r="E494">
        <v>166</v>
      </c>
      <c r="F494">
        <v>280</v>
      </c>
      <c r="G494">
        <v>80</v>
      </c>
      <c r="H494" t="s">
        <v>72</v>
      </c>
      <c r="I494" t="s">
        <v>163</v>
      </c>
    </row>
    <row r="495" spans="1:9" ht="15" customHeight="1" x14ac:dyDescent="0.35">
      <c r="A495">
        <v>2021</v>
      </c>
      <c r="B495" t="s">
        <v>149</v>
      </c>
      <c r="C495">
        <v>2</v>
      </c>
      <c r="D495" t="s">
        <v>84</v>
      </c>
      <c r="E495">
        <v>141</v>
      </c>
      <c r="F495">
        <v>258</v>
      </c>
      <c r="G495">
        <v>69</v>
      </c>
      <c r="H495" t="s">
        <v>72</v>
      </c>
      <c r="I495" t="s">
        <v>163</v>
      </c>
    </row>
    <row r="496" spans="1:9" ht="15" customHeight="1" x14ac:dyDescent="0.35">
      <c r="A496">
        <v>2021</v>
      </c>
      <c r="B496" t="s">
        <v>150</v>
      </c>
      <c r="C496">
        <v>3</v>
      </c>
      <c r="D496" t="s">
        <v>84</v>
      </c>
      <c r="E496">
        <v>133</v>
      </c>
      <c r="F496">
        <v>197</v>
      </c>
      <c r="G496">
        <v>74</v>
      </c>
      <c r="H496" t="s">
        <v>72</v>
      </c>
      <c r="I496" t="s">
        <v>163</v>
      </c>
    </row>
    <row r="497" spans="1:9" ht="15" customHeight="1" x14ac:dyDescent="0.35">
      <c r="A497">
        <v>2021</v>
      </c>
      <c r="B497" t="s">
        <v>151</v>
      </c>
      <c r="C497">
        <v>4</v>
      </c>
      <c r="D497" t="s">
        <v>84</v>
      </c>
      <c r="E497">
        <v>146</v>
      </c>
      <c r="F497">
        <v>225</v>
      </c>
      <c r="G497">
        <v>51</v>
      </c>
      <c r="H497" t="s">
        <v>73</v>
      </c>
      <c r="I497" t="s">
        <v>163</v>
      </c>
    </row>
    <row r="498" spans="1:9" ht="15" customHeight="1" x14ac:dyDescent="0.35">
      <c r="A498">
        <v>2021</v>
      </c>
      <c r="B498" t="s">
        <v>152</v>
      </c>
      <c r="C498">
        <v>5</v>
      </c>
      <c r="D498" t="s">
        <v>84</v>
      </c>
      <c r="E498">
        <v>171</v>
      </c>
      <c r="F498">
        <v>278</v>
      </c>
      <c r="G498">
        <v>40</v>
      </c>
      <c r="H498" t="s">
        <v>73</v>
      </c>
      <c r="I498" t="s">
        <v>163</v>
      </c>
    </row>
    <row r="499" spans="1:9" ht="15" customHeight="1" x14ac:dyDescent="0.35">
      <c r="A499">
        <v>2021</v>
      </c>
      <c r="B499" t="s">
        <v>153</v>
      </c>
      <c r="C499">
        <v>6</v>
      </c>
      <c r="D499" t="s">
        <v>84</v>
      </c>
      <c r="E499">
        <v>232</v>
      </c>
      <c r="F499">
        <v>377</v>
      </c>
      <c r="G499">
        <v>142</v>
      </c>
      <c r="H499" t="s">
        <v>73</v>
      </c>
      <c r="I499" t="s">
        <v>163</v>
      </c>
    </row>
    <row r="500" spans="1:9" ht="15" customHeight="1" x14ac:dyDescent="0.35">
      <c r="A500">
        <v>2021</v>
      </c>
      <c r="B500" t="s">
        <v>154</v>
      </c>
      <c r="C500">
        <v>7</v>
      </c>
      <c r="D500" t="s">
        <v>84</v>
      </c>
      <c r="E500">
        <v>270</v>
      </c>
      <c r="F500">
        <v>420</v>
      </c>
      <c r="G500">
        <v>164</v>
      </c>
      <c r="H500" t="s">
        <v>73</v>
      </c>
      <c r="I500" t="s">
        <v>163</v>
      </c>
    </row>
    <row r="501" spans="1:9" ht="15" customHeight="1" x14ac:dyDescent="0.35">
      <c r="A501">
        <v>2021</v>
      </c>
      <c r="B501" t="s">
        <v>155</v>
      </c>
      <c r="C501">
        <v>8</v>
      </c>
      <c r="D501" t="s">
        <v>84</v>
      </c>
      <c r="E501">
        <v>250</v>
      </c>
      <c r="F501">
        <v>350</v>
      </c>
      <c r="G501">
        <v>167</v>
      </c>
      <c r="H501" t="s">
        <v>73</v>
      </c>
      <c r="I501" t="s">
        <v>163</v>
      </c>
    </row>
    <row r="502" spans="1:9" ht="15" customHeight="1" x14ac:dyDescent="0.35">
      <c r="A502">
        <v>2021</v>
      </c>
      <c r="B502" t="s">
        <v>156</v>
      </c>
      <c r="C502">
        <v>9</v>
      </c>
      <c r="D502" t="s">
        <v>84</v>
      </c>
      <c r="E502">
        <v>230</v>
      </c>
      <c r="F502">
        <v>334</v>
      </c>
      <c r="G502">
        <v>125</v>
      </c>
      <c r="H502" t="s">
        <v>73</v>
      </c>
      <c r="I502" t="s">
        <v>163</v>
      </c>
    </row>
    <row r="503" spans="1:9" ht="15" customHeight="1" x14ac:dyDescent="0.35">
      <c r="A503">
        <v>2021</v>
      </c>
      <c r="B503" t="s">
        <v>157</v>
      </c>
      <c r="C503">
        <v>10</v>
      </c>
      <c r="D503" t="s">
        <v>84</v>
      </c>
      <c r="E503">
        <v>170</v>
      </c>
      <c r="F503">
        <v>269</v>
      </c>
      <c r="G503">
        <v>74</v>
      </c>
      <c r="H503" t="s">
        <v>73</v>
      </c>
      <c r="I503" t="s">
        <v>163</v>
      </c>
    </row>
    <row r="504" spans="1:9" ht="15" customHeight="1" x14ac:dyDescent="0.35">
      <c r="A504">
        <v>2021</v>
      </c>
      <c r="B504" t="s">
        <v>158</v>
      </c>
      <c r="C504">
        <v>11</v>
      </c>
      <c r="D504" t="s">
        <v>84</v>
      </c>
      <c r="E504">
        <v>124</v>
      </c>
      <c r="F504">
        <v>194</v>
      </c>
      <c r="G504">
        <v>68</v>
      </c>
      <c r="H504" t="s">
        <v>73</v>
      </c>
      <c r="I504" t="s">
        <v>163</v>
      </c>
    </row>
    <row r="505" spans="1:9" ht="15" customHeight="1" x14ac:dyDescent="0.35">
      <c r="A505">
        <v>2021</v>
      </c>
      <c r="B505" t="s">
        <v>159</v>
      </c>
      <c r="C505">
        <v>12</v>
      </c>
      <c r="D505" t="s">
        <v>84</v>
      </c>
      <c r="E505">
        <v>147</v>
      </c>
      <c r="F505">
        <v>248</v>
      </c>
      <c r="G505">
        <v>46</v>
      </c>
      <c r="H505" t="s">
        <v>73</v>
      </c>
      <c r="I505" t="s">
        <v>163</v>
      </c>
    </row>
    <row r="506" spans="1:9" ht="15" customHeight="1" x14ac:dyDescent="0.35">
      <c r="A506">
        <v>2022</v>
      </c>
      <c r="B506" t="s">
        <v>147</v>
      </c>
      <c r="C506">
        <v>1</v>
      </c>
      <c r="D506" t="s">
        <v>84</v>
      </c>
      <c r="E506">
        <v>167</v>
      </c>
      <c r="F506">
        <v>269</v>
      </c>
      <c r="G506">
        <v>81</v>
      </c>
      <c r="H506" t="s">
        <v>73</v>
      </c>
      <c r="I506" t="s">
        <v>163</v>
      </c>
    </row>
    <row r="507" spans="1:9" ht="15" customHeight="1" x14ac:dyDescent="0.35">
      <c r="A507">
        <v>2022</v>
      </c>
      <c r="B507" t="s">
        <v>149</v>
      </c>
      <c r="C507">
        <v>2</v>
      </c>
      <c r="D507" t="s">
        <v>84</v>
      </c>
      <c r="E507">
        <v>144</v>
      </c>
      <c r="F507">
        <v>260</v>
      </c>
      <c r="G507">
        <v>26</v>
      </c>
      <c r="H507" t="s">
        <v>73</v>
      </c>
      <c r="I507" t="s">
        <v>163</v>
      </c>
    </row>
    <row r="508" spans="1:9" ht="15" customHeight="1" x14ac:dyDescent="0.35">
      <c r="A508">
        <v>2022</v>
      </c>
      <c r="B508" t="s">
        <v>150</v>
      </c>
      <c r="C508">
        <v>3</v>
      </c>
      <c r="D508" t="s">
        <v>84</v>
      </c>
      <c r="E508">
        <v>145</v>
      </c>
      <c r="F508">
        <v>223</v>
      </c>
      <c r="G508">
        <v>70</v>
      </c>
      <c r="H508" t="s">
        <v>73</v>
      </c>
      <c r="I508" t="s">
        <v>163</v>
      </c>
    </row>
    <row r="509" spans="1:9" ht="15" customHeight="1" x14ac:dyDescent="0.35">
      <c r="A509">
        <v>2022</v>
      </c>
      <c r="B509" t="s">
        <v>151</v>
      </c>
      <c r="C509">
        <v>4</v>
      </c>
      <c r="D509" t="s">
        <v>84</v>
      </c>
      <c r="E509">
        <v>203</v>
      </c>
      <c r="F509">
        <v>310</v>
      </c>
      <c r="G509">
        <v>137</v>
      </c>
      <c r="H509" t="s">
        <v>74</v>
      </c>
      <c r="I509" t="s">
        <v>163</v>
      </c>
    </row>
    <row r="510" spans="1:9" ht="15" customHeight="1" x14ac:dyDescent="0.35">
      <c r="A510">
        <v>2022</v>
      </c>
      <c r="B510" t="s">
        <v>152</v>
      </c>
      <c r="C510">
        <v>5</v>
      </c>
      <c r="D510" t="s">
        <v>84</v>
      </c>
      <c r="E510">
        <v>246</v>
      </c>
      <c r="F510">
        <v>367</v>
      </c>
      <c r="G510">
        <v>137</v>
      </c>
      <c r="H510" t="s">
        <v>74</v>
      </c>
      <c r="I510" t="s">
        <v>163</v>
      </c>
    </row>
    <row r="511" spans="1:9" ht="15" customHeight="1" x14ac:dyDescent="0.35">
      <c r="A511">
        <v>2022</v>
      </c>
      <c r="B511" t="s">
        <v>153</v>
      </c>
      <c r="C511">
        <v>6</v>
      </c>
      <c r="D511" t="s">
        <v>84</v>
      </c>
      <c r="E511">
        <v>275</v>
      </c>
      <c r="F511">
        <v>403</v>
      </c>
      <c r="G511">
        <v>156</v>
      </c>
      <c r="H511" t="s">
        <v>74</v>
      </c>
      <c r="I511" t="s">
        <v>163</v>
      </c>
    </row>
    <row r="512" spans="1:9" ht="15" customHeight="1" x14ac:dyDescent="0.35">
      <c r="A512">
        <v>2022</v>
      </c>
      <c r="B512" t="s">
        <v>154</v>
      </c>
      <c r="C512">
        <v>7</v>
      </c>
      <c r="D512" t="s">
        <v>84</v>
      </c>
      <c r="E512">
        <v>273</v>
      </c>
      <c r="F512">
        <v>399</v>
      </c>
      <c r="G512">
        <v>174</v>
      </c>
      <c r="H512" t="s">
        <v>74</v>
      </c>
      <c r="I512" t="s">
        <v>163</v>
      </c>
    </row>
    <row r="513" spans="1:9" ht="15" customHeight="1" x14ac:dyDescent="0.35">
      <c r="A513">
        <v>2022</v>
      </c>
      <c r="B513" t="s">
        <v>155</v>
      </c>
      <c r="C513">
        <v>8</v>
      </c>
      <c r="D513" t="s">
        <v>84</v>
      </c>
      <c r="E513">
        <v>274</v>
      </c>
      <c r="F513">
        <v>377</v>
      </c>
      <c r="G513">
        <v>174</v>
      </c>
      <c r="H513" t="s">
        <v>74</v>
      </c>
      <c r="I513" t="s">
        <v>163</v>
      </c>
    </row>
    <row r="514" spans="1:9" ht="15" customHeight="1" x14ac:dyDescent="0.35">
      <c r="A514">
        <v>2022</v>
      </c>
      <c r="B514" t="s">
        <v>156</v>
      </c>
      <c r="C514">
        <v>9</v>
      </c>
      <c r="D514" t="s">
        <v>84</v>
      </c>
      <c r="E514">
        <v>245</v>
      </c>
      <c r="F514">
        <v>377</v>
      </c>
      <c r="G514">
        <v>120</v>
      </c>
      <c r="H514" t="s">
        <v>74</v>
      </c>
      <c r="I514" t="s">
        <v>163</v>
      </c>
    </row>
    <row r="515" spans="1:9" ht="15" customHeight="1" x14ac:dyDescent="0.35">
      <c r="A515">
        <v>2022</v>
      </c>
      <c r="B515" t="s">
        <v>157</v>
      </c>
      <c r="C515">
        <v>10</v>
      </c>
      <c r="D515" t="s">
        <v>84</v>
      </c>
      <c r="E515">
        <v>162</v>
      </c>
      <c r="F515">
        <v>259</v>
      </c>
      <c r="G515">
        <v>87</v>
      </c>
      <c r="H515" t="s">
        <v>74</v>
      </c>
      <c r="I515" t="s">
        <v>163</v>
      </c>
    </row>
    <row r="516" spans="1:9" ht="15" customHeight="1" x14ac:dyDescent="0.35">
      <c r="A516">
        <v>2022</v>
      </c>
      <c r="B516" t="s">
        <v>158</v>
      </c>
      <c r="C516">
        <v>11</v>
      </c>
      <c r="D516" t="s">
        <v>84</v>
      </c>
      <c r="E516">
        <v>138</v>
      </c>
      <c r="F516">
        <v>205</v>
      </c>
      <c r="G516">
        <v>73</v>
      </c>
      <c r="H516" t="s">
        <v>74</v>
      </c>
      <c r="I516" t="s">
        <v>163</v>
      </c>
    </row>
    <row r="517" spans="1:9" ht="15" customHeight="1" x14ac:dyDescent="0.35">
      <c r="A517">
        <v>2022</v>
      </c>
      <c r="B517" t="s">
        <v>159</v>
      </c>
      <c r="C517">
        <v>12</v>
      </c>
      <c r="D517" t="s">
        <v>84</v>
      </c>
      <c r="E517">
        <v>157</v>
      </c>
      <c r="F517">
        <v>274</v>
      </c>
      <c r="G517">
        <v>74</v>
      </c>
      <c r="H517" t="s">
        <v>74</v>
      </c>
      <c r="I517" t="s">
        <v>163</v>
      </c>
    </row>
    <row r="518" spans="1:9" ht="15" customHeight="1" x14ac:dyDescent="0.35">
      <c r="A518">
        <v>2023</v>
      </c>
      <c r="B518" t="s">
        <v>147</v>
      </c>
      <c r="C518">
        <v>1</v>
      </c>
      <c r="D518" t="s">
        <v>84</v>
      </c>
      <c r="E518">
        <v>192</v>
      </c>
      <c r="F518">
        <v>321</v>
      </c>
      <c r="G518">
        <v>90</v>
      </c>
      <c r="H518" t="s">
        <v>74</v>
      </c>
      <c r="I518" t="s">
        <v>163</v>
      </c>
    </row>
    <row r="519" spans="1:9" ht="15" customHeight="1" x14ac:dyDescent="0.35">
      <c r="A519">
        <v>2023</v>
      </c>
      <c r="B519" t="s">
        <v>149</v>
      </c>
      <c r="C519">
        <v>2</v>
      </c>
      <c r="D519" t="s">
        <v>84</v>
      </c>
      <c r="E519">
        <v>145</v>
      </c>
      <c r="F519">
        <v>261</v>
      </c>
      <c r="G519">
        <v>77</v>
      </c>
      <c r="H519" t="s">
        <v>74</v>
      </c>
      <c r="I519" t="s">
        <v>163</v>
      </c>
    </row>
    <row r="520" spans="1:9" ht="15" customHeight="1" x14ac:dyDescent="0.35">
      <c r="A520">
        <v>2023</v>
      </c>
      <c r="B520" t="s">
        <v>150</v>
      </c>
      <c r="C520">
        <v>3</v>
      </c>
      <c r="D520" t="s">
        <v>84</v>
      </c>
      <c r="E520">
        <v>136</v>
      </c>
      <c r="F520">
        <v>206</v>
      </c>
      <c r="G520">
        <v>77</v>
      </c>
      <c r="H520" t="s">
        <v>74</v>
      </c>
      <c r="I520" t="s">
        <v>163</v>
      </c>
    </row>
    <row r="521" spans="1:9" ht="15" customHeight="1" x14ac:dyDescent="0.35">
      <c r="A521">
        <v>2023</v>
      </c>
      <c r="B521" t="s">
        <v>151</v>
      </c>
      <c r="C521">
        <v>4</v>
      </c>
      <c r="D521" t="s">
        <v>84</v>
      </c>
      <c r="E521">
        <v>168</v>
      </c>
      <c r="F521">
        <v>271</v>
      </c>
      <c r="G521">
        <v>79</v>
      </c>
      <c r="H521" t="s">
        <v>75</v>
      </c>
      <c r="I521" t="s">
        <v>163</v>
      </c>
    </row>
    <row r="522" spans="1:9" ht="15" customHeight="1" x14ac:dyDescent="0.35">
      <c r="A522">
        <v>2023</v>
      </c>
      <c r="B522" t="s">
        <v>152</v>
      </c>
      <c r="C522">
        <v>5</v>
      </c>
      <c r="D522" t="s">
        <v>84</v>
      </c>
      <c r="E522">
        <v>206</v>
      </c>
      <c r="F522">
        <v>358</v>
      </c>
      <c r="G522">
        <v>97</v>
      </c>
      <c r="H522" t="s">
        <v>75</v>
      </c>
      <c r="I522" t="s">
        <v>163</v>
      </c>
    </row>
    <row r="523" spans="1:9" ht="15" customHeight="1" x14ac:dyDescent="0.35">
      <c r="A523">
        <v>2023</v>
      </c>
      <c r="B523" t="s">
        <v>153</v>
      </c>
      <c r="C523">
        <v>6</v>
      </c>
      <c r="D523" t="s">
        <v>84</v>
      </c>
      <c r="E523">
        <v>252</v>
      </c>
      <c r="F523">
        <v>394</v>
      </c>
      <c r="G523">
        <v>128</v>
      </c>
      <c r="H523" t="s">
        <v>75</v>
      </c>
      <c r="I523" t="s">
        <v>163</v>
      </c>
    </row>
    <row r="524" spans="1:9" ht="15" customHeight="1" x14ac:dyDescent="0.35">
      <c r="A524">
        <v>2023</v>
      </c>
      <c r="B524" t="s">
        <v>154</v>
      </c>
      <c r="C524">
        <v>7</v>
      </c>
      <c r="D524" t="s">
        <v>84</v>
      </c>
      <c r="E524">
        <v>262</v>
      </c>
      <c r="F524">
        <v>381</v>
      </c>
      <c r="G524">
        <v>134</v>
      </c>
      <c r="H524" t="s">
        <v>75</v>
      </c>
      <c r="I524" t="s">
        <v>163</v>
      </c>
    </row>
    <row r="525" spans="1:9" ht="15" customHeight="1" x14ac:dyDescent="0.35">
      <c r="A525">
        <v>2023</v>
      </c>
      <c r="B525" t="s">
        <v>155</v>
      </c>
      <c r="C525">
        <v>8</v>
      </c>
      <c r="D525" t="s">
        <v>84</v>
      </c>
      <c r="E525">
        <v>284</v>
      </c>
      <c r="F525">
        <v>408</v>
      </c>
      <c r="G525">
        <v>174</v>
      </c>
      <c r="H525" t="s">
        <v>75</v>
      </c>
      <c r="I525" t="s">
        <v>163</v>
      </c>
    </row>
    <row r="526" spans="1:9" ht="15" customHeight="1" x14ac:dyDescent="0.35">
      <c r="A526">
        <v>2023</v>
      </c>
      <c r="B526" t="s">
        <v>156</v>
      </c>
      <c r="C526">
        <v>9</v>
      </c>
      <c r="D526" t="s">
        <v>84</v>
      </c>
      <c r="E526">
        <v>268</v>
      </c>
      <c r="F526">
        <v>381</v>
      </c>
      <c r="G526">
        <v>169</v>
      </c>
      <c r="H526" t="s">
        <v>75</v>
      </c>
      <c r="I526" t="s">
        <v>163</v>
      </c>
    </row>
    <row r="527" spans="1:9" ht="15" customHeight="1" x14ac:dyDescent="0.35">
      <c r="A527">
        <v>2023</v>
      </c>
      <c r="B527" t="s">
        <v>157</v>
      </c>
      <c r="C527">
        <v>10</v>
      </c>
      <c r="D527" t="s">
        <v>84</v>
      </c>
      <c r="E527">
        <v>170</v>
      </c>
      <c r="F527">
        <v>262</v>
      </c>
      <c r="G527">
        <v>87</v>
      </c>
      <c r="H527" t="s">
        <v>75</v>
      </c>
      <c r="I527" t="s">
        <v>163</v>
      </c>
    </row>
    <row r="528" spans="1:9" ht="15" customHeight="1" x14ac:dyDescent="0.35">
      <c r="A528">
        <v>2023</v>
      </c>
      <c r="B528" t="s">
        <v>158</v>
      </c>
      <c r="C528">
        <v>11</v>
      </c>
      <c r="D528" t="s">
        <v>84</v>
      </c>
      <c r="E528">
        <v>140</v>
      </c>
      <c r="F528">
        <v>204</v>
      </c>
      <c r="G528">
        <v>76</v>
      </c>
      <c r="H528" t="s">
        <v>75</v>
      </c>
      <c r="I528" t="s">
        <v>163</v>
      </c>
    </row>
    <row r="529" spans="1:9" ht="15" customHeight="1" x14ac:dyDescent="0.35">
      <c r="A529">
        <v>2023</v>
      </c>
      <c r="B529" t="s">
        <v>159</v>
      </c>
      <c r="C529">
        <v>12</v>
      </c>
      <c r="D529" t="s">
        <v>84</v>
      </c>
      <c r="E529">
        <v>158</v>
      </c>
      <c r="F529">
        <v>260</v>
      </c>
      <c r="G529">
        <v>78</v>
      </c>
      <c r="H529" t="s">
        <v>75</v>
      </c>
      <c r="I529" t="s">
        <v>163</v>
      </c>
    </row>
    <row r="530" spans="1:9" ht="15" customHeight="1" x14ac:dyDescent="0.35">
      <c r="A530">
        <v>2024</v>
      </c>
      <c r="B530" t="s">
        <v>147</v>
      </c>
      <c r="C530">
        <v>1</v>
      </c>
      <c r="D530" t="s">
        <v>84</v>
      </c>
      <c r="E530">
        <v>211</v>
      </c>
      <c r="F530">
        <v>345</v>
      </c>
      <c r="G530">
        <v>97</v>
      </c>
      <c r="H530" t="s">
        <v>75</v>
      </c>
      <c r="I530" t="s">
        <v>163</v>
      </c>
    </row>
    <row r="531" spans="1:9" ht="15" customHeight="1" x14ac:dyDescent="0.35">
      <c r="A531">
        <v>2024</v>
      </c>
      <c r="B531" t="s">
        <v>149</v>
      </c>
      <c r="C531">
        <v>2</v>
      </c>
      <c r="D531" t="s">
        <v>84</v>
      </c>
      <c r="E531">
        <v>166</v>
      </c>
      <c r="F531">
        <v>299</v>
      </c>
      <c r="G531">
        <v>81</v>
      </c>
      <c r="H531" t="s">
        <v>75</v>
      </c>
      <c r="I531" t="s">
        <v>163</v>
      </c>
    </row>
    <row r="532" spans="1:9" ht="15" customHeight="1" x14ac:dyDescent="0.35">
      <c r="A532">
        <v>2024</v>
      </c>
      <c r="B532" t="s">
        <v>150</v>
      </c>
      <c r="C532">
        <v>3</v>
      </c>
      <c r="D532" t="s">
        <v>84</v>
      </c>
      <c r="E532">
        <v>146</v>
      </c>
      <c r="F532">
        <v>237</v>
      </c>
      <c r="G532">
        <v>77</v>
      </c>
      <c r="H532" t="s">
        <v>75</v>
      </c>
      <c r="I532" t="s">
        <v>163</v>
      </c>
    </row>
    <row r="533" spans="1:9" ht="15" customHeight="1" x14ac:dyDescent="0.35">
      <c r="A533">
        <v>2024</v>
      </c>
      <c r="B533" t="s">
        <v>151</v>
      </c>
      <c r="C533">
        <v>4</v>
      </c>
      <c r="D533" t="s">
        <v>84</v>
      </c>
      <c r="E533">
        <v>145</v>
      </c>
      <c r="F533">
        <v>237</v>
      </c>
      <c r="G533">
        <v>77</v>
      </c>
      <c r="H533" t="s">
        <v>77</v>
      </c>
      <c r="I533" t="s">
        <v>163</v>
      </c>
    </row>
    <row r="534" spans="1:9" ht="15" customHeight="1" x14ac:dyDescent="0.35">
      <c r="A534">
        <v>2024</v>
      </c>
      <c r="B534" t="s">
        <v>152</v>
      </c>
      <c r="C534">
        <v>5</v>
      </c>
      <c r="D534" t="s">
        <v>84</v>
      </c>
      <c r="E534">
        <v>281</v>
      </c>
      <c r="F534">
        <v>431</v>
      </c>
      <c r="G534">
        <v>137</v>
      </c>
      <c r="H534" t="s">
        <v>77</v>
      </c>
      <c r="I534" t="s">
        <v>163</v>
      </c>
    </row>
    <row r="535" spans="1:9" ht="15" customHeight="1" x14ac:dyDescent="0.35">
      <c r="A535">
        <v>2024</v>
      </c>
      <c r="B535" t="s">
        <v>153</v>
      </c>
      <c r="C535">
        <v>6</v>
      </c>
      <c r="D535" t="s">
        <v>84</v>
      </c>
      <c r="E535">
        <v>329</v>
      </c>
      <c r="F535">
        <v>443</v>
      </c>
      <c r="G535">
        <v>172</v>
      </c>
      <c r="H535" t="s">
        <v>77</v>
      </c>
      <c r="I535" t="s">
        <v>163</v>
      </c>
    </row>
    <row r="536" spans="1:9" ht="15" customHeight="1" x14ac:dyDescent="0.35">
      <c r="A536">
        <v>2024</v>
      </c>
      <c r="B536" t="s">
        <v>154</v>
      </c>
      <c r="C536">
        <v>7</v>
      </c>
      <c r="D536" t="s">
        <v>84</v>
      </c>
      <c r="E536">
        <v>321</v>
      </c>
      <c r="F536">
        <v>434</v>
      </c>
      <c r="G536">
        <v>197</v>
      </c>
      <c r="H536" t="s">
        <v>77</v>
      </c>
      <c r="I536" t="s">
        <v>163</v>
      </c>
    </row>
    <row r="537" spans="1:9" ht="15" customHeight="1" x14ac:dyDescent="0.35">
      <c r="A537">
        <v>2024</v>
      </c>
      <c r="B537" t="s">
        <v>155</v>
      </c>
      <c r="C537">
        <v>8</v>
      </c>
      <c r="D537" t="s">
        <v>84</v>
      </c>
      <c r="E537">
        <v>287</v>
      </c>
      <c r="F537">
        <v>413</v>
      </c>
      <c r="G537">
        <v>168</v>
      </c>
      <c r="H537" t="s">
        <v>77</v>
      </c>
      <c r="I537" t="s">
        <v>163</v>
      </c>
    </row>
    <row r="538" spans="1:9" ht="15" customHeight="1" x14ac:dyDescent="0.35">
      <c r="A538">
        <v>2024</v>
      </c>
      <c r="B538" t="s">
        <v>156</v>
      </c>
      <c r="C538">
        <v>9</v>
      </c>
      <c r="D538" t="s">
        <v>84</v>
      </c>
      <c r="E538">
        <v>261</v>
      </c>
      <c r="F538">
        <v>399</v>
      </c>
      <c r="G538">
        <v>159</v>
      </c>
      <c r="H538" t="s">
        <v>77</v>
      </c>
      <c r="I538" t="s">
        <v>163</v>
      </c>
    </row>
    <row r="539" spans="1:9" ht="15" customHeight="1" x14ac:dyDescent="0.35">
      <c r="A539">
        <v>2024</v>
      </c>
      <c r="B539" t="s">
        <v>157</v>
      </c>
      <c r="C539">
        <v>10</v>
      </c>
      <c r="D539" t="s">
        <v>84</v>
      </c>
      <c r="E539">
        <v>195</v>
      </c>
      <c r="F539">
        <v>296</v>
      </c>
      <c r="G539">
        <v>119</v>
      </c>
      <c r="H539" t="s">
        <v>77</v>
      </c>
      <c r="I539" t="s">
        <v>163</v>
      </c>
    </row>
    <row r="540" spans="1:9" ht="15" customHeight="1" x14ac:dyDescent="0.35">
      <c r="A540">
        <v>2024</v>
      </c>
      <c r="B540" t="s">
        <v>158</v>
      </c>
      <c r="C540">
        <v>11</v>
      </c>
      <c r="D540" t="s">
        <v>84</v>
      </c>
      <c r="E540">
        <v>151</v>
      </c>
      <c r="F540">
        <v>219</v>
      </c>
      <c r="G540">
        <v>79</v>
      </c>
      <c r="H540" t="s">
        <v>77</v>
      </c>
      <c r="I540" t="s">
        <v>163</v>
      </c>
    </row>
    <row r="541" spans="1:9" ht="15" customHeight="1" x14ac:dyDescent="0.35">
      <c r="A541">
        <v>2024</v>
      </c>
      <c r="B541" t="s">
        <v>159</v>
      </c>
      <c r="C541">
        <v>12</v>
      </c>
      <c r="D541" t="s">
        <v>84</v>
      </c>
      <c r="E541">
        <v>172</v>
      </c>
      <c r="F541">
        <v>285</v>
      </c>
      <c r="G541">
        <v>83</v>
      </c>
      <c r="H541" t="s">
        <v>77</v>
      </c>
      <c r="I541" t="s">
        <v>163</v>
      </c>
    </row>
    <row r="542" spans="1:9" ht="15" customHeight="1" x14ac:dyDescent="0.35">
      <c r="A542">
        <v>2025</v>
      </c>
      <c r="B542" t="s">
        <v>147</v>
      </c>
      <c r="C542">
        <v>1</v>
      </c>
      <c r="D542" t="s">
        <v>84</v>
      </c>
      <c r="E542">
        <v>185</v>
      </c>
      <c r="F542">
        <v>312</v>
      </c>
      <c r="G542">
        <v>96</v>
      </c>
      <c r="H542" t="s">
        <v>77</v>
      </c>
      <c r="I542" t="s">
        <v>163</v>
      </c>
    </row>
    <row r="543" spans="1:9" ht="15" customHeight="1" x14ac:dyDescent="0.35">
      <c r="A543">
        <v>2025</v>
      </c>
      <c r="B543" t="s">
        <v>149</v>
      </c>
      <c r="C543">
        <v>2</v>
      </c>
      <c r="D543" t="s">
        <v>84</v>
      </c>
      <c r="E543">
        <v>160</v>
      </c>
      <c r="F543">
        <v>265</v>
      </c>
      <c r="G543">
        <v>84</v>
      </c>
      <c r="H543" t="s">
        <v>77</v>
      </c>
      <c r="I543" t="s">
        <v>163</v>
      </c>
    </row>
    <row r="544" spans="1:9" ht="15" customHeight="1" x14ac:dyDescent="0.35">
      <c r="A544">
        <v>2025</v>
      </c>
      <c r="B544" t="s">
        <v>150</v>
      </c>
      <c r="C544">
        <v>3</v>
      </c>
      <c r="D544" t="s">
        <v>84</v>
      </c>
      <c r="E544">
        <v>147</v>
      </c>
      <c r="F544">
        <v>229</v>
      </c>
      <c r="G544">
        <v>84</v>
      </c>
      <c r="H544" t="s">
        <v>77</v>
      </c>
      <c r="I544" t="s">
        <v>163</v>
      </c>
    </row>
    <row r="545" spans="1:9" ht="15" customHeight="1" x14ac:dyDescent="0.35">
      <c r="A545">
        <v>2025</v>
      </c>
      <c r="B545" t="s">
        <v>151</v>
      </c>
      <c r="C545">
        <v>4</v>
      </c>
      <c r="D545" t="s">
        <v>84</v>
      </c>
      <c r="E545">
        <v>208</v>
      </c>
      <c r="F545">
        <v>322</v>
      </c>
      <c r="G545">
        <v>107</v>
      </c>
      <c r="H545" t="s">
        <v>78</v>
      </c>
      <c r="I545" t="s">
        <v>163</v>
      </c>
    </row>
    <row r="546" spans="1:9" ht="15" customHeight="1" x14ac:dyDescent="0.35">
      <c r="A546">
        <v>2025</v>
      </c>
      <c r="B546" t="s">
        <v>152</v>
      </c>
      <c r="C546">
        <v>5</v>
      </c>
      <c r="D546" t="s">
        <v>84</v>
      </c>
      <c r="E546">
        <v>258</v>
      </c>
      <c r="F546">
        <v>431</v>
      </c>
      <c r="G546">
        <v>146</v>
      </c>
      <c r="H546" t="s">
        <v>78</v>
      </c>
      <c r="I546" t="s">
        <v>163</v>
      </c>
    </row>
    <row r="547" spans="1:9" ht="15" customHeight="1" x14ac:dyDescent="0.35">
      <c r="A547">
        <v>2025</v>
      </c>
      <c r="B547" t="s">
        <v>153</v>
      </c>
      <c r="C547">
        <v>6</v>
      </c>
      <c r="D547" t="s">
        <v>84</v>
      </c>
      <c r="E547">
        <v>298</v>
      </c>
      <c r="F547">
        <v>462</v>
      </c>
      <c r="G547">
        <v>179</v>
      </c>
      <c r="H547" t="s">
        <v>78</v>
      </c>
      <c r="I547" t="s">
        <v>163</v>
      </c>
    </row>
    <row r="548" spans="1:9" ht="15" customHeight="1" x14ac:dyDescent="0.35">
      <c r="A548">
        <v>2025</v>
      </c>
      <c r="B548" t="s">
        <v>154</v>
      </c>
      <c r="C548">
        <v>7</v>
      </c>
      <c r="D548" t="s">
        <v>84</v>
      </c>
      <c r="E548">
        <v>284</v>
      </c>
      <c r="F548">
        <v>400</v>
      </c>
      <c r="G548">
        <v>190</v>
      </c>
      <c r="H548" t="s">
        <v>78</v>
      </c>
      <c r="I548" t="s">
        <v>163</v>
      </c>
    </row>
    <row r="549" spans="1:9" ht="15" customHeight="1" x14ac:dyDescent="0.35">
      <c r="A549">
        <v>2025</v>
      </c>
      <c r="B549" t="s">
        <v>155</v>
      </c>
      <c r="C549">
        <v>8</v>
      </c>
      <c r="D549" t="s">
        <v>84</v>
      </c>
      <c r="E549">
        <v>265</v>
      </c>
      <c r="F549">
        <v>379</v>
      </c>
      <c r="G549">
        <v>186</v>
      </c>
      <c r="H549" t="s">
        <v>78</v>
      </c>
      <c r="I549" t="s">
        <v>163</v>
      </c>
    </row>
    <row r="550" spans="1:9" ht="15" customHeight="1" x14ac:dyDescent="0.35">
      <c r="A550">
        <v>2025</v>
      </c>
      <c r="B550" t="s">
        <v>156</v>
      </c>
      <c r="C550">
        <v>9</v>
      </c>
      <c r="D550" t="s">
        <v>84</v>
      </c>
      <c r="E550">
        <v>253</v>
      </c>
      <c r="F550">
        <v>347</v>
      </c>
      <c r="G550">
        <v>145</v>
      </c>
      <c r="H550" t="s">
        <v>78</v>
      </c>
      <c r="I550" t="s">
        <v>163</v>
      </c>
    </row>
    <row r="551" spans="1:9" ht="15" customHeight="1" x14ac:dyDescent="0.35">
      <c r="A551">
        <v>2025</v>
      </c>
      <c r="B551" t="s">
        <v>157</v>
      </c>
      <c r="C551">
        <v>10</v>
      </c>
      <c r="D551" t="s">
        <v>84</v>
      </c>
      <c r="E551">
        <v>177</v>
      </c>
      <c r="F551">
        <v>322</v>
      </c>
      <c r="G551">
        <v>105</v>
      </c>
      <c r="H551" t="s">
        <v>78</v>
      </c>
      <c r="I551" t="s">
        <v>163</v>
      </c>
    </row>
    <row r="552" spans="1:9" ht="15" customHeight="1" x14ac:dyDescent="0.35">
      <c r="A552">
        <v>2025</v>
      </c>
      <c r="B552" t="s">
        <v>158</v>
      </c>
      <c r="C552">
        <v>11</v>
      </c>
      <c r="D552" t="s">
        <v>84</v>
      </c>
      <c r="E552">
        <v>148</v>
      </c>
      <c r="F552">
        <v>224</v>
      </c>
      <c r="G552">
        <v>81</v>
      </c>
      <c r="H552" t="s">
        <v>78</v>
      </c>
      <c r="I552" t="s">
        <v>163</v>
      </c>
    </row>
    <row r="553" spans="1:9" ht="15" customHeight="1" x14ac:dyDescent="0.35">
      <c r="A553">
        <v>2025</v>
      </c>
      <c r="B553" t="s">
        <v>159</v>
      </c>
      <c r="C553">
        <v>12</v>
      </c>
      <c r="D553" t="s">
        <v>84</v>
      </c>
      <c r="E553">
        <v>170</v>
      </c>
      <c r="F553">
        <v>286</v>
      </c>
      <c r="G553">
        <v>83</v>
      </c>
      <c r="H553" t="s">
        <v>78</v>
      </c>
      <c r="I553" t="s">
        <v>163</v>
      </c>
    </row>
    <row r="554" spans="1:9" ht="15" customHeight="1" x14ac:dyDescent="0.35">
      <c r="A554">
        <v>2026</v>
      </c>
      <c r="B554" t="s">
        <v>147</v>
      </c>
      <c r="C554">
        <v>1</v>
      </c>
      <c r="D554" t="s">
        <v>84</v>
      </c>
      <c r="E554">
        <v>200</v>
      </c>
      <c r="F554">
        <v>342</v>
      </c>
      <c r="G554">
        <v>92</v>
      </c>
      <c r="H554" t="s">
        <v>78</v>
      </c>
      <c r="I554" t="s">
        <v>163</v>
      </c>
    </row>
    <row r="555" spans="1:9" ht="15" customHeight="1" x14ac:dyDescent="0.35">
      <c r="A555">
        <v>2026</v>
      </c>
      <c r="B555" t="s">
        <v>149</v>
      </c>
      <c r="C555">
        <v>2</v>
      </c>
      <c r="D555" t="s">
        <v>84</v>
      </c>
      <c r="E555">
        <v>158</v>
      </c>
      <c r="F555">
        <v>273</v>
      </c>
      <c r="G555">
        <v>83</v>
      </c>
      <c r="H555" t="s">
        <v>78</v>
      </c>
      <c r="I555" t="s">
        <v>163</v>
      </c>
    </row>
    <row r="556" spans="1:9" ht="15" customHeight="1" x14ac:dyDescent="0.35">
      <c r="A556">
        <v>2026</v>
      </c>
      <c r="B556" t="s">
        <v>150</v>
      </c>
      <c r="C556">
        <v>3</v>
      </c>
      <c r="D556" t="s">
        <v>84</v>
      </c>
      <c r="E556">
        <v>200</v>
      </c>
      <c r="F556">
        <v>342</v>
      </c>
      <c r="G556">
        <v>92</v>
      </c>
      <c r="H556" t="s">
        <v>78</v>
      </c>
      <c r="I556" t="s">
        <v>163</v>
      </c>
    </row>
    <row r="557" spans="1:9" ht="15" customHeight="1" x14ac:dyDescent="0.35">
      <c r="A557">
        <v>2017</v>
      </c>
      <c r="B557" t="s">
        <v>147</v>
      </c>
      <c r="C557">
        <v>1</v>
      </c>
      <c r="D557" t="s">
        <v>85</v>
      </c>
      <c r="E557">
        <v>2842</v>
      </c>
      <c r="F557">
        <v>3351</v>
      </c>
      <c r="G557">
        <v>2208</v>
      </c>
      <c r="H557" t="s">
        <v>122</v>
      </c>
      <c r="I557" t="s">
        <v>164</v>
      </c>
    </row>
    <row r="558" spans="1:9" ht="15" customHeight="1" x14ac:dyDescent="0.35">
      <c r="A558">
        <v>2017</v>
      </c>
      <c r="B558" t="s">
        <v>149</v>
      </c>
      <c r="C558">
        <v>2</v>
      </c>
      <c r="D558" t="s">
        <v>85</v>
      </c>
      <c r="E558">
        <v>3093</v>
      </c>
      <c r="F558">
        <v>3611</v>
      </c>
      <c r="G558">
        <v>2541</v>
      </c>
      <c r="H558" t="s">
        <v>122</v>
      </c>
      <c r="I558" t="s">
        <v>164</v>
      </c>
    </row>
    <row r="559" spans="1:9" ht="15" customHeight="1" x14ac:dyDescent="0.35">
      <c r="A559">
        <v>2017</v>
      </c>
      <c r="B559" t="s">
        <v>150</v>
      </c>
      <c r="C559">
        <v>3</v>
      </c>
      <c r="D559" t="s">
        <v>85</v>
      </c>
      <c r="E559">
        <v>3324</v>
      </c>
      <c r="F559">
        <v>3851</v>
      </c>
      <c r="G559">
        <v>2421</v>
      </c>
      <c r="H559" t="s">
        <v>122</v>
      </c>
      <c r="I559" t="s">
        <v>164</v>
      </c>
    </row>
    <row r="560" spans="1:9" ht="15" customHeight="1" x14ac:dyDescent="0.35">
      <c r="A560">
        <v>2017</v>
      </c>
      <c r="B560" t="s">
        <v>151</v>
      </c>
      <c r="C560">
        <v>4</v>
      </c>
      <c r="D560" t="s">
        <v>85</v>
      </c>
      <c r="E560">
        <v>3679</v>
      </c>
      <c r="F560">
        <v>4049</v>
      </c>
      <c r="G560">
        <v>3325</v>
      </c>
      <c r="H560" t="s">
        <v>123</v>
      </c>
      <c r="I560" t="s">
        <v>164</v>
      </c>
    </row>
    <row r="561" spans="1:9" ht="15" customHeight="1" x14ac:dyDescent="0.35">
      <c r="A561">
        <v>2017</v>
      </c>
      <c r="B561" t="s">
        <v>152</v>
      </c>
      <c r="C561">
        <v>5</v>
      </c>
      <c r="D561" t="s">
        <v>85</v>
      </c>
      <c r="E561">
        <v>3212</v>
      </c>
      <c r="F561">
        <v>3847</v>
      </c>
      <c r="G561">
        <v>1728</v>
      </c>
      <c r="H561" t="s">
        <v>123</v>
      </c>
      <c r="I561" t="s">
        <v>164</v>
      </c>
    </row>
    <row r="562" spans="1:9" ht="15" customHeight="1" x14ac:dyDescent="0.35">
      <c r="A562">
        <v>2017</v>
      </c>
      <c r="B562" t="s">
        <v>153</v>
      </c>
      <c r="C562">
        <v>6</v>
      </c>
      <c r="D562" t="s">
        <v>85</v>
      </c>
      <c r="E562">
        <v>2904</v>
      </c>
      <c r="F562">
        <v>3363</v>
      </c>
      <c r="G562">
        <v>2409</v>
      </c>
      <c r="H562" t="s">
        <v>123</v>
      </c>
      <c r="I562" t="s">
        <v>164</v>
      </c>
    </row>
    <row r="563" spans="1:9" ht="15" customHeight="1" x14ac:dyDescent="0.35">
      <c r="A563">
        <v>2017</v>
      </c>
      <c r="B563" t="s">
        <v>154</v>
      </c>
      <c r="C563">
        <v>7</v>
      </c>
      <c r="D563" t="s">
        <v>85</v>
      </c>
      <c r="E563">
        <v>3056</v>
      </c>
      <c r="F563">
        <v>3625</v>
      </c>
      <c r="G563">
        <v>2267</v>
      </c>
      <c r="H563" t="s">
        <v>123</v>
      </c>
      <c r="I563" t="s">
        <v>164</v>
      </c>
    </row>
    <row r="564" spans="1:9" ht="15" customHeight="1" x14ac:dyDescent="0.35">
      <c r="A564">
        <v>2017</v>
      </c>
      <c r="B564" t="s">
        <v>155</v>
      </c>
      <c r="C564">
        <v>8</v>
      </c>
      <c r="D564" t="s">
        <v>85</v>
      </c>
      <c r="E564">
        <v>3402</v>
      </c>
      <c r="F564">
        <v>3848</v>
      </c>
      <c r="G564">
        <v>2700</v>
      </c>
      <c r="H564" t="s">
        <v>123</v>
      </c>
      <c r="I564" t="s">
        <v>164</v>
      </c>
    </row>
    <row r="565" spans="1:9" ht="15" customHeight="1" x14ac:dyDescent="0.35">
      <c r="A565">
        <v>2017</v>
      </c>
      <c r="B565" t="s">
        <v>156</v>
      </c>
      <c r="C565">
        <v>9</v>
      </c>
      <c r="D565" t="s">
        <v>85</v>
      </c>
      <c r="E565">
        <v>3428</v>
      </c>
      <c r="F565">
        <v>3984</v>
      </c>
      <c r="G565">
        <v>2358</v>
      </c>
      <c r="H565" t="s">
        <v>123</v>
      </c>
      <c r="I565" t="s">
        <v>164</v>
      </c>
    </row>
    <row r="566" spans="1:9" ht="15" customHeight="1" x14ac:dyDescent="0.35">
      <c r="A566">
        <v>2017</v>
      </c>
      <c r="B566" t="s">
        <v>157</v>
      </c>
      <c r="C566">
        <v>10</v>
      </c>
      <c r="D566" t="s">
        <v>85</v>
      </c>
      <c r="E566">
        <v>3107</v>
      </c>
      <c r="F566">
        <v>3683</v>
      </c>
      <c r="G566">
        <v>2553</v>
      </c>
      <c r="H566" t="s">
        <v>123</v>
      </c>
      <c r="I566" t="s">
        <v>164</v>
      </c>
    </row>
    <row r="567" spans="1:9" ht="15" customHeight="1" x14ac:dyDescent="0.35">
      <c r="A567">
        <v>2017</v>
      </c>
      <c r="B567" t="s">
        <v>158</v>
      </c>
      <c r="C567">
        <v>11</v>
      </c>
      <c r="D567" t="s">
        <v>85</v>
      </c>
      <c r="E567">
        <v>2668</v>
      </c>
      <c r="F567">
        <v>3325</v>
      </c>
      <c r="G567">
        <v>2215</v>
      </c>
      <c r="H567" t="s">
        <v>123</v>
      </c>
      <c r="I567" t="s">
        <v>164</v>
      </c>
    </row>
    <row r="568" spans="1:9" ht="15" customHeight="1" x14ac:dyDescent="0.35">
      <c r="A568">
        <v>2017</v>
      </c>
      <c r="B568" t="s">
        <v>159</v>
      </c>
      <c r="C568">
        <v>12</v>
      </c>
      <c r="D568" t="s">
        <v>85</v>
      </c>
      <c r="E568">
        <v>2736</v>
      </c>
      <c r="F568">
        <v>3453</v>
      </c>
      <c r="G568">
        <v>2239</v>
      </c>
      <c r="H568" t="s">
        <v>123</v>
      </c>
      <c r="I568" t="s">
        <v>164</v>
      </c>
    </row>
    <row r="569" spans="1:9" ht="15" customHeight="1" x14ac:dyDescent="0.35">
      <c r="A569">
        <v>2018</v>
      </c>
      <c r="B569" t="s">
        <v>147</v>
      </c>
      <c r="C569">
        <v>1</v>
      </c>
      <c r="D569" t="s">
        <v>85</v>
      </c>
      <c r="E569">
        <v>2829</v>
      </c>
      <c r="F569">
        <v>3372</v>
      </c>
      <c r="G569">
        <v>2407</v>
      </c>
      <c r="H569" t="s">
        <v>123</v>
      </c>
      <c r="I569" t="s">
        <v>164</v>
      </c>
    </row>
    <row r="570" spans="1:9" ht="15" customHeight="1" x14ac:dyDescent="0.35">
      <c r="A570">
        <v>2018</v>
      </c>
      <c r="B570" t="s">
        <v>149</v>
      </c>
      <c r="C570">
        <v>2</v>
      </c>
      <c r="D570" t="s">
        <v>85</v>
      </c>
      <c r="E570">
        <v>2865</v>
      </c>
      <c r="F570">
        <v>3533</v>
      </c>
      <c r="G570">
        <v>1651</v>
      </c>
      <c r="H570" t="s">
        <v>123</v>
      </c>
      <c r="I570" t="s">
        <v>164</v>
      </c>
    </row>
    <row r="571" spans="1:9" ht="15" customHeight="1" x14ac:dyDescent="0.35">
      <c r="A571">
        <v>2018</v>
      </c>
      <c r="B571" t="s">
        <v>150</v>
      </c>
      <c r="C571">
        <v>3</v>
      </c>
      <c r="D571" t="s">
        <v>85</v>
      </c>
      <c r="E571">
        <v>3292</v>
      </c>
      <c r="F571">
        <v>3822</v>
      </c>
      <c r="G571">
        <v>2339</v>
      </c>
      <c r="H571" t="s">
        <v>123</v>
      </c>
      <c r="I571" t="s">
        <v>164</v>
      </c>
    </row>
    <row r="572" spans="1:9" ht="15" customHeight="1" x14ac:dyDescent="0.35">
      <c r="A572">
        <v>2018</v>
      </c>
      <c r="B572" t="s">
        <v>151</v>
      </c>
      <c r="C572">
        <v>4</v>
      </c>
      <c r="D572" t="s">
        <v>85</v>
      </c>
      <c r="E572">
        <v>3319</v>
      </c>
      <c r="F572">
        <v>3788</v>
      </c>
      <c r="G572">
        <v>1908</v>
      </c>
      <c r="H572" t="s">
        <v>124</v>
      </c>
      <c r="I572" t="s">
        <v>164</v>
      </c>
    </row>
    <row r="573" spans="1:9" ht="15" customHeight="1" x14ac:dyDescent="0.35">
      <c r="A573">
        <v>2018</v>
      </c>
      <c r="B573" t="s">
        <v>152</v>
      </c>
      <c r="C573">
        <v>5</v>
      </c>
      <c r="D573" t="s">
        <v>85</v>
      </c>
      <c r="E573">
        <v>3323</v>
      </c>
      <c r="F573">
        <v>3871</v>
      </c>
      <c r="G573">
        <v>2207</v>
      </c>
      <c r="H573" t="s">
        <v>124</v>
      </c>
      <c r="I573" t="s">
        <v>164</v>
      </c>
    </row>
    <row r="574" spans="1:9" ht="15" customHeight="1" x14ac:dyDescent="0.35">
      <c r="A574">
        <v>2018</v>
      </c>
      <c r="B574" t="s">
        <v>153</v>
      </c>
      <c r="C574">
        <v>6</v>
      </c>
      <c r="D574" t="s">
        <v>85</v>
      </c>
      <c r="E574">
        <v>3185</v>
      </c>
      <c r="F574">
        <v>3747</v>
      </c>
      <c r="G574">
        <v>2535</v>
      </c>
      <c r="H574" t="s">
        <v>124</v>
      </c>
      <c r="I574" t="s">
        <v>164</v>
      </c>
    </row>
    <row r="575" spans="1:9" ht="15" customHeight="1" x14ac:dyDescent="0.35">
      <c r="A575">
        <v>2018</v>
      </c>
      <c r="B575" t="s">
        <v>154</v>
      </c>
      <c r="C575">
        <v>7</v>
      </c>
      <c r="D575" t="s">
        <v>85</v>
      </c>
      <c r="E575">
        <v>3231</v>
      </c>
      <c r="F575">
        <v>3894</v>
      </c>
      <c r="G575">
        <v>2424</v>
      </c>
      <c r="H575" t="s">
        <v>124</v>
      </c>
      <c r="I575" t="s">
        <v>164</v>
      </c>
    </row>
    <row r="576" spans="1:9" ht="15" customHeight="1" x14ac:dyDescent="0.35">
      <c r="A576">
        <v>2018</v>
      </c>
      <c r="B576" t="s">
        <v>155</v>
      </c>
      <c r="C576">
        <v>8</v>
      </c>
      <c r="D576" t="s">
        <v>85</v>
      </c>
      <c r="E576">
        <v>3396</v>
      </c>
      <c r="F576">
        <v>4170</v>
      </c>
      <c r="G576">
        <v>2454</v>
      </c>
      <c r="H576" t="s">
        <v>124</v>
      </c>
      <c r="I576" t="s">
        <v>164</v>
      </c>
    </row>
    <row r="577" spans="1:9" ht="15" customHeight="1" x14ac:dyDescent="0.35">
      <c r="A577">
        <v>2018</v>
      </c>
      <c r="B577" t="s">
        <v>156</v>
      </c>
      <c r="C577">
        <v>9</v>
      </c>
      <c r="D577" t="s">
        <v>85</v>
      </c>
      <c r="E577">
        <v>3607</v>
      </c>
      <c r="F577">
        <v>4397</v>
      </c>
      <c r="G577">
        <v>2335</v>
      </c>
      <c r="H577" t="s">
        <v>124</v>
      </c>
      <c r="I577" t="s">
        <v>164</v>
      </c>
    </row>
    <row r="578" spans="1:9" ht="15" customHeight="1" x14ac:dyDescent="0.35">
      <c r="A578">
        <v>2018</v>
      </c>
      <c r="B578" t="s">
        <v>157</v>
      </c>
      <c r="C578">
        <v>10</v>
      </c>
      <c r="D578" t="s">
        <v>85</v>
      </c>
      <c r="E578">
        <v>3943</v>
      </c>
      <c r="F578">
        <v>4519</v>
      </c>
      <c r="G578">
        <v>3036</v>
      </c>
      <c r="H578" t="s">
        <v>124</v>
      </c>
      <c r="I578" t="s">
        <v>164</v>
      </c>
    </row>
    <row r="579" spans="1:9" ht="15" customHeight="1" x14ac:dyDescent="0.35">
      <c r="A579">
        <v>2018</v>
      </c>
      <c r="B579" t="s">
        <v>158</v>
      </c>
      <c r="C579">
        <v>11</v>
      </c>
      <c r="D579" t="s">
        <v>85</v>
      </c>
      <c r="E579">
        <v>3131</v>
      </c>
      <c r="F579">
        <v>4060</v>
      </c>
      <c r="G579">
        <v>2552</v>
      </c>
      <c r="H579" t="s">
        <v>124</v>
      </c>
      <c r="I579" t="s">
        <v>164</v>
      </c>
    </row>
    <row r="580" spans="1:9" ht="15" customHeight="1" x14ac:dyDescent="0.35">
      <c r="A580">
        <v>2018</v>
      </c>
      <c r="B580" t="s">
        <v>159</v>
      </c>
      <c r="C580">
        <v>12</v>
      </c>
      <c r="D580" t="s">
        <v>85</v>
      </c>
      <c r="E580">
        <v>2951</v>
      </c>
      <c r="F580">
        <v>3596</v>
      </c>
      <c r="G580">
        <v>1791</v>
      </c>
      <c r="H580" t="s">
        <v>124</v>
      </c>
      <c r="I580" t="s">
        <v>164</v>
      </c>
    </row>
    <row r="581" spans="1:9" ht="15" customHeight="1" x14ac:dyDescent="0.35">
      <c r="A581">
        <v>2019</v>
      </c>
      <c r="B581" t="s">
        <v>147</v>
      </c>
      <c r="C581">
        <v>1</v>
      </c>
      <c r="D581" t="s">
        <v>85</v>
      </c>
      <c r="E581">
        <v>3164</v>
      </c>
      <c r="F581">
        <v>3828</v>
      </c>
      <c r="G581">
        <v>2151</v>
      </c>
      <c r="H581" t="s">
        <v>124</v>
      </c>
      <c r="I581" t="s">
        <v>164</v>
      </c>
    </row>
    <row r="582" spans="1:9" ht="15" customHeight="1" x14ac:dyDescent="0.35">
      <c r="A582">
        <v>2019</v>
      </c>
      <c r="B582" t="s">
        <v>149</v>
      </c>
      <c r="C582">
        <v>2</v>
      </c>
      <c r="D582" t="s">
        <v>85</v>
      </c>
      <c r="E582">
        <v>3402</v>
      </c>
      <c r="F582">
        <v>4036</v>
      </c>
      <c r="G582">
        <v>2241</v>
      </c>
      <c r="H582" t="s">
        <v>124</v>
      </c>
      <c r="I582" t="s">
        <v>164</v>
      </c>
    </row>
    <row r="583" spans="1:9" ht="15" customHeight="1" x14ac:dyDescent="0.35">
      <c r="A583">
        <v>2019</v>
      </c>
      <c r="B583" t="s">
        <v>150</v>
      </c>
      <c r="C583">
        <v>3</v>
      </c>
      <c r="D583" t="s">
        <v>85</v>
      </c>
      <c r="E583">
        <v>3715</v>
      </c>
      <c r="F583">
        <v>4360</v>
      </c>
      <c r="G583">
        <v>2669</v>
      </c>
      <c r="H583" t="s">
        <v>124</v>
      </c>
      <c r="I583" t="s">
        <v>164</v>
      </c>
    </row>
    <row r="584" spans="1:9" ht="15" customHeight="1" x14ac:dyDescent="0.35">
      <c r="A584">
        <v>2019</v>
      </c>
      <c r="B584" t="s">
        <v>151</v>
      </c>
      <c r="C584">
        <v>4</v>
      </c>
      <c r="D584" t="s">
        <v>85</v>
      </c>
      <c r="E584">
        <v>4137</v>
      </c>
      <c r="F584">
        <v>4545</v>
      </c>
      <c r="G584">
        <v>3420</v>
      </c>
      <c r="H584" t="s">
        <v>71</v>
      </c>
      <c r="I584" t="s">
        <v>164</v>
      </c>
    </row>
    <row r="585" spans="1:9" ht="15" customHeight="1" x14ac:dyDescent="0.35">
      <c r="A585">
        <v>2019</v>
      </c>
      <c r="B585" t="s">
        <v>152</v>
      </c>
      <c r="C585">
        <v>5</v>
      </c>
      <c r="D585" t="s">
        <v>85</v>
      </c>
      <c r="E585">
        <v>3812</v>
      </c>
      <c r="F585">
        <v>4510</v>
      </c>
      <c r="G585">
        <v>2934</v>
      </c>
      <c r="H585" t="s">
        <v>71</v>
      </c>
      <c r="I585" t="s">
        <v>164</v>
      </c>
    </row>
    <row r="586" spans="1:9" ht="15" customHeight="1" x14ac:dyDescent="0.35">
      <c r="A586">
        <v>2019</v>
      </c>
      <c r="B586" t="s">
        <v>153</v>
      </c>
      <c r="C586">
        <v>6</v>
      </c>
      <c r="D586" t="s">
        <v>85</v>
      </c>
      <c r="E586">
        <v>3540</v>
      </c>
      <c r="F586">
        <v>4042</v>
      </c>
      <c r="G586">
        <v>2613</v>
      </c>
      <c r="H586" t="s">
        <v>71</v>
      </c>
      <c r="I586" t="s">
        <v>164</v>
      </c>
    </row>
    <row r="587" spans="1:9" ht="15" customHeight="1" x14ac:dyDescent="0.35">
      <c r="A587">
        <v>2019</v>
      </c>
      <c r="B587" t="s">
        <v>154</v>
      </c>
      <c r="C587">
        <v>7</v>
      </c>
      <c r="D587" t="s">
        <v>85</v>
      </c>
      <c r="E587">
        <v>3718</v>
      </c>
      <c r="F587">
        <v>4671</v>
      </c>
      <c r="G587">
        <v>2664</v>
      </c>
      <c r="H587" t="s">
        <v>71</v>
      </c>
      <c r="I587" t="s">
        <v>164</v>
      </c>
    </row>
    <row r="588" spans="1:9" ht="15" customHeight="1" x14ac:dyDescent="0.35">
      <c r="A588">
        <v>2019</v>
      </c>
      <c r="B588" t="s">
        <v>155</v>
      </c>
      <c r="C588">
        <v>8</v>
      </c>
      <c r="D588" t="s">
        <v>85</v>
      </c>
      <c r="E588">
        <v>3624</v>
      </c>
      <c r="F588">
        <v>4243</v>
      </c>
      <c r="G588">
        <v>2547</v>
      </c>
      <c r="H588" t="s">
        <v>71</v>
      </c>
      <c r="I588" t="s">
        <v>164</v>
      </c>
    </row>
    <row r="589" spans="1:9" ht="15" customHeight="1" x14ac:dyDescent="0.35">
      <c r="A589">
        <v>2019</v>
      </c>
      <c r="B589" t="s">
        <v>156</v>
      </c>
      <c r="C589">
        <v>9</v>
      </c>
      <c r="D589" t="s">
        <v>85</v>
      </c>
      <c r="E589">
        <v>3526</v>
      </c>
      <c r="F589">
        <v>4354</v>
      </c>
      <c r="G589">
        <v>2696</v>
      </c>
      <c r="H589" t="s">
        <v>71</v>
      </c>
      <c r="I589" t="s">
        <v>164</v>
      </c>
    </row>
    <row r="590" spans="1:9" ht="15" customHeight="1" x14ac:dyDescent="0.35">
      <c r="A590">
        <v>2019</v>
      </c>
      <c r="B590" t="s">
        <v>157</v>
      </c>
      <c r="C590">
        <v>10</v>
      </c>
      <c r="D590" t="s">
        <v>85</v>
      </c>
      <c r="E590">
        <v>3217</v>
      </c>
      <c r="F590">
        <v>4034</v>
      </c>
      <c r="G590">
        <v>2273</v>
      </c>
      <c r="H590" t="s">
        <v>71</v>
      </c>
      <c r="I590" t="s">
        <v>164</v>
      </c>
    </row>
    <row r="591" spans="1:9" ht="15" customHeight="1" x14ac:dyDescent="0.35">
      <c r="A591">
        <v>2019</v>
      </c>
      <c r="B591" t="s">
        <v>158</v>
      </c>
      <c r="C591">
        <v>11</v>
      </c>
      <c r="D591" t="s">
        <v>85</v>
      </c>
      <c r="E591">
        <v>2896</v>
      </c>
      <c r="F591">
        <v>3498</v>
      </c>
      <c r="G591">
        <v>2471</v>
      </c>
      <c r="H591" t="s">
        <v>71</v>
      </c>
      <c r="I591" t="s">
        <v>164</v>
      </c>
    </row>
    <row r="592" spans="1:9" ht="15" customHeight="1" x14ac:dyDescent="0.35">
      <c r="A592">
        <v>2019</v>
      </c>
      <c r="B592" t="s">
        <v>159</v>
      </c>
      <c r="C592">
        <v>12</v>
      </c>
      <c r="D592" t="s">
        <v>85</v>
      </c>
      <c r="E592">
        <v>3011</v>
      </c>
      <c r="F592">
        <v>3756</v>
      </c>
      <c r="G592">
        <v>2475</v>
      </c>
      <c r="H592" t="s">
        <v>71</v>
      </c>
      <c r="I592" t="s">
        <v>164</v>
      </c>
    </row>
    <row r="593" spans="1:9" ht="15" customHeight="1" x14ac:dyDescent="0.35">
      <c r="A593">
        <v>2020</v>
      </c>
      <c r="B593" t="s">
        <v>147</v>
      </c>
      <c r="C593">
        <v>1</v>
      </c>
      <c r="D593" t="s">
        <v>85</v>
      </c>
      <c r="E593">
        <v>3123</v>
      </c>
      <c r="F593">
        <v>3838</v>
      </c>
      <c r="G593">
        <v>2139</v>
      </c>
      <c r="H593" t="s">
        <v>71</v>
      </c>
      <c r="I593" t="s">
        <v>164</v>
      </c>
    </row>
    <row r="594" spans="1:9" ht="15" customHeight="1" x14ac:dyDescent="0.35">
      <c r="A594">
        <v>2020</v>
      </c>
      <c r="B594" t="s">
        <v>149</v>
      </c>
      <c r="C594">
        <v>2</v>
      </c>
      <c r="D594" t="s">
        <v>85</v>
      </c>
      <c r="E594">
        <v>3241</v>
      </c>
      <c r="F594">
        <v>4049</v>
      </c>
      <c r="G594">
        <v>2456</v>
      </c>
      <c r="H594" t="s">
        <v>71</v>
      </c>
      <c r="I594" t="s">
        <v>164</v>
      </c>
    </row>
    <row r="595" spans="1:9" ht="15" customHeight="1" x14ac:dyDescent="0.35">
      <c r="A595">
        <v>2020</v>
      </c>
      <c r="B595" t="s">
        <v>150</v>
      </c>
      <c r="C595">
        <v>3</v>
      </c>
      <c r="D595" t="s">
        <v>85</v>
      </c>
      <c r="E595">
        <v>3231</v>
      </c>
      <c r="F595">
        <v>3969</v>
      </c>
      <c r="G595">
        <v>2380</v>
      </c>
      <c r="H595" t="s">
        <v>71</v>
      </c>
      <c r="I595" t="s">
        <v>164</v>
      </c>
    </row>
    <row r="596" spans="1:9" ht="15" customHeight="1" x14ac:dyDescent="0.35">
      <c r="A596">
        <v>2020</v>
      </c>
      <c r="B596" t="s">
        <v>151</v>
      </c>
      <c r="C596">
        <v>4</v>
      </c>
      <c r="D596" t="s">
        <v>85</v>
      </c>
      <c r="E596">
        <v>2982</v>
      </c>
      <c r="F596">
        <v>3593</v>
      </c>
      <c r="G596">
        <v>2373</v>
      </c>
      <c r="H596" t="s">
        <v>72</v>
      </c>
      <c r="I596" t="s">
        <v>164</v>
      </c>
    </row>
    <row r="597" spans="1:9" ht="15" customHeight="1" x14ac:dyDescent="0.35">
      <c r="A597">
        <v>2020</v>
      </c>
      <c r="B597" t="s">
        <v>152</v>
      </c>
      <c r="C597">
        <v>5</v>
      </c>
      <c r="D597" t="s">
        <v>85</v>
      </c>
      <c r="E597">
        <v>3054</v>
      </c>
      <c r="F597">
        <v>3764</v>
      </c>
      <c r="G597">
        <v>1859</v>
      </c>
      <c r="H597" t="s">
        <v>72</v>
      </c>
      <c r="I597" t="s">
        <v>164</v>
      </c>
    </row>
    <row r="598" spans="1:9" ht="15" customHeight="1" x14ac:dyDescent="0.35">
      <c r="A598">
        <v>2020</v>
      </c>
      <c r="B598" t="s">
        <v>153</v>
      </c>
      <c r="C598">
        <v>6</v>
      </c>
      <c r="D598" t="s">
        <v>85</v>
      </c>
      <c r="E598">
        <v>3099</v>
      </c>
      <c r="F598">
        <v>3700</v>
      </c>
      <c r="G598">
        <v>2283</v>
      </c>
      <c r="H598" t="s">
        <v>72</v>
      </c>
      <c r="I598" t="s">
        <v>164</v>
      </c>
    </row>
    <row r="599" spans="1:9" ht="15" customHeight="1" x14ac:dyDescent="0.35">
      <c r="A599">
        <v>2020</v>
      </c>
      <c r="B599" t="s">
        <v>154</v>
      </c>
      <c r="C599">
        <v>7</v>
      </c>
      <c r="D599" t="s">
        <v>85</v>
      </c>
      <c r="E599">
        <v>3730</v>
      </c>
      <c r="F599">
        <v>4568</v>
      </c>
      <c r="G599">
        <v>2889</v>
      </c>
      <c r="H599" t="s">
        <v>72</v>
      </c>
      <c r="I599" t="s">
        <v>164</v>
      </c>
    </row>
    <row r="600" spans="1:9" ht="15" customHeight="1" x14ac:dyDescent="0.35">
      <c r="A600">
        <v>2020</v>
      </c>
      <c r="B600" t="s">
        <v>155</v>
      </c>
      <c r="C600">
        <v>8</v>
      </c>
      <c r="D600" t="s">
        <v>85</v>
      </c>
      <c r="E600">
        <v>3452</v>
      </c>
      <c r="F600">
        <v>4497</v>
      </c>
      <c r="G600">
        <v>1951</v>
      </c>
      <c r="H600" t="s">
        <v>72</v>
      </c>
      <c r="I600" t="s">
        <v>164</v>
      </c>
    </row>
    <row r="601" spans="1:9" ht="15" customHeight="1" x14ac:dyDescent="0.35">
      <c r="A601">
        <v>2020</v>
      </c>
      <c r="B601" t="s">
        <v>156</v>
      </c>
      <c r="C601">
        <v>9</v>
      </c>
      <c r="D601" t="s">
        <v>85</v>
      </c>
      <c r="E601">
        <v>3653</v>
      </c>
      <c r="F601">
        <v>4351</v>
      </c>
      <c r="G601">
        <v>2783</v>
      </c>
      <c r="H601" t="s">
        <v>72</v>
      </c>
      <c r="I601" t="s">
        <v>164</v>
      </c>
    </row>
    <row r="602" spans="1:9" ht="15" customHeight="1" x14ac:dyDescent="0.35">
      <c r="A602">
        <v>2020</v>
      </c>
      <c r="B602" t="s">
        <v>157</v>
      </c>
      <c r="C602">
        <v>10</v>
      </c>
      <c r="D602" t="s">
        <v>85</v>
      </c>
      <c r="E602">
        <v>3285</v>
      </c>
      <c r="F602">
        <v>3945</v>
      </c>
      <c r="G602">
        <v>2555</v>
      </c>
      <c r="H602" t="s">
        <v>72</v>
      </c>
      <c r="I602" t="s">
        <v>164</v>
      </c>
    </row>
    <row r="603" spans="1:9" ht="15" customHeight="1" x14ac:dyDescent="0.35">
      <c r="A603">
        <v>2020</v>
      </c>
      <c r="B603" t="s">
        <v>158</v>
      </c>
      <c r="C603">
        <v>11</v>
      </c>
      <c r="D603" t="s">
        <v>85</v>
      </c>
      <c r="E603">
        <v>2857</v>
      </c>
      <c r="F603">
        <v>3512</v>
      </c>
      <c r="G603">
        <v>2168</v>
      </c>
      <c r="H603" t="s">
        <v>72</v>
      </c>
      <c r="I603" t="s">
        <v>164</v>
      </c>
    </row>
    <row r="604" spans="1:9" ht="15" customHeight="1" x14ac:dyDescent="0.35">
      <c r="A604">
        <v>2020</v>
      </c>
      <c r="B604" t="s">
        <v>159</v>
      </c>
      <c r="C604">
        <v>12</v>
      </c>
      <c r="D604" t="s">
        <v>85</v>
      </c>
      <c r="E604">
        <v>3272</v>
      </c>
      <c r="F604">
        <v>4166</v>
      </c>
      <c r="G604">
        <v>2511</v>
      </c>
      <c r="H604" t="s">
        <v>72</v>
      </c>
      <c r="I604" t="s">
        <v>164</v>
      </c>
    </row>
    <row r="605" spans="1:9" ht="15" customHeight="1" x14ac:dyDescent="0.35">
      <c r="A605">
        <v>2021</v>
      </c>
      <c r="B605" t="s">
        <v>147</v>
      </c>
      <c r="C605">
        <v>1</v>
      </c>
      <c r="D605" t="s">
        <v>85</v>
      </c>
      <c r="E605">
        <v>3624</v>
      </c>
      <c r="F605">
        <v>4453</v>
      </c>
      <c r="G605">
        <v>2751</v>
      </c>
      <c r="H605" t="s">
        <v>72</v>
      </c>
      <c r="I605" t="s">
        <v>164</v>
      </c>
    </row>
    <row r="606" spans="1:9" ht="15" customHeight="1" x14ac:dyDescent="0.35">
      <c r="A606">
        <v>2021</v>
      </c>
      <c r="B606" t="s">
        <v>149</v>
      </c>
      <c r="C606">
        <v>2</v>
      </c>
      <c r="D606" t="s">
        <v>85</v>
      </c>
      <c r="E606">
        <v>3831</v>
      </c>
      <c r="F606">
        <v>4525</v>
      </c>
      <c r="G606">
        <v>2887</v>
      </c>
      <c r="H606" t="s">
        <v>72</v>
      </c>
      <c r="I606" t="s">
        <v>164</v>
      </c>
    </row>
    <row r="607" spans="1:9" ht="15" customHeight="1" x14ac:dyDescent="0.35">
      <c r="A607">
        <v>2021</v>
      </c>
      <c r="B607" t="s">
        <v>150</v>
      </c>
      <c r="C607">
        <v>3</v>
      </c>
      <c r="D607" t="s">
        <v>85</v>
      </c>
      <c r="E607">
        <v>4279</v>
      </c>
      <c r="F607">
        <v>4643</v>
      </c>
      <c r="G607">
        <v>2594</v>
      </c>
      <c r="H607" t="s">
        <v>72</v>
      </c>
      <c r="I607" t="s">
        <v>164</v>
      </c>
    </row>
    <row r="608" spans="1:9" ht="15" customHeight="1" x14ac:dyDescent="0.35">
      <c r="A608">
        <v>2021</v>
      </c>
      <c r="B608" t="s">
        <v>151</v>
      </c>
      <c r="C608">
        <v>4</v>
      </c>
      <c r="D608" t="s">
        <v>85</v>
      </c>
      <c r="E608">
        <v>4318</v>
      </c>
      <c r="F608">
        <v>4787</v>
      </c>
      <c r="G608">
        <v>3222</v>
      </c>
      <c r="H608" t="s">
        <v>73</v>
      </c>
      <c r="I608" t="s">
        <v>164</v>
      </c>
    </row>
    <row r="609" spans="1:9" ht="15" customHeight="1" x14ac:dyDescent="0.35">
      <c r="A609">
        <v>2021</v>
      </c>
      <c r="B609" t="s">
        <v>152</v>
      </c>
      <c r="C609">
        <v>5</v>
      </c>
      <c r="D609" t="s">
        <v>85</v>
      </c>
      <c r="E609">
        <v>3388</v>
      </c>
      <c r="F609">
        <v>4094</v>
      </c>
      <c r="G609">
        <v>1788</v>
      </c>
      <c r="H609" t="s">
        <v>73</v>
      </c>
      <c r="I609" t="s">
        <v>164</v>
      </c>
    </row>
    <row r="610" spans="1:9" ht="15" customHeight="1" x14ac:dyDescent="0.35">
      <c r="A610">
        <v>2021</v>
      </c>
      <c r="B610" t="s">
        <v>153</v>
      </c>
      <c r="C610">
        <v>6</v>
      </c>
      <c r="D610" t="s">
        <v>85</v>
      </c>
      <c r="E610">
        <v>3329</v>
      </c>
      <c r="F610">
        <v>4067</v>
      </c>
      <c r="G610">
        <v>2622</v>
      </c>
      <c r="H610" t="s">
        <v>73</v>
      </c>
      <c r="I610" t="s">
        <v>164</v>
      </c>
    </row>
    <row r="611" spans="1:9" ht="15" customHeight="1" x14ac:dyDescent="0.35">
      <c r="A611">
        <v>2021</v>
      </c>
      <c r="B611" t="s">
        <v>154</v>
      </c>
      <c r="C611">
        <v>7</v>
      </c>
      <c r="D611" t="s">
        <v>85</v>
      </c>
      <c r="E611">
        <v>3807</v>
      </c>
      <c r="F611">
        <v>4806</v>
      </c>
      <c r="G611">
        <v>2810</v>
      </c>
      <c r="H611" t="s">
        <v>73</v>
      </c>
      <c r="I611" t="s">
        <v>164</v>
      </c>
    </row>
    <row r="612" spans="1:9" ht="15" customHeight="1" x14ac:dyDescent="0.35">
      <c r="A612">
        <v>2021</v>
      </c>
      <c r="B612" t="s">
        <v>155</v>
      </c>
      <c r="C612">
        <v>8</v>
      </c>
      <c r="D612" t="s">
        <v>85</v>
      </c>
      <c r="E612">
        <v>4237</v>
      </c>
      <c r="F612">
        <v>4855</v>
      </c>
      <c r="G612">
        <v>3035</v>
      </c>
      <c r="H612" t="s">
        <v>73</v>
      </c>
      <c r="I612" t="s">
        <v>164</v>
      </c>
    </row>
    <row r="613" spans="1:9" ht="15" customHeight="1" x14ac:dyDescent="0.35">
      <c r="A613">
        <v>2021</v>
      </c>
      <c r="B613" t="s">
        <v>156</v>
      </c>
      <c r="C613">
        <v>9</v>
      </c>
      <c r="D613" t="s">
        <v>85</v>
      </c>
      <c r="E613">
        <v>3668</v>
      </c>
      <c r="F613">
        <v>4870</v>
      </c>
      <c r="G613">
        <v>2465</v>
      </c>
      <c r="H613" t="s">
        <v>73</v>
      </c>
      <c r="I613" t="s">
        <v>164</v>
      </c>
    </row>
    <row r="614" spans="1:9" ht="15" customHeight="1" x14ac:dyDescent="0.35">
      <c r="A614">
        <v>2021</v>
      </c>
      <c r="B614" t="s">
        <v>157</v>
      </c>
      <c r="C614">
        <v>10</v>
      </c>
      <c r="D614" t="s">
        <v>85</v>
      </c>
      <c r="E614">
        <v>3730</v>
      </c>
      <c r="F614">
        <v>4349</v>
      </c>
      <c r="G614">
        <v>3049</v>
      </c>
      <c r="H614" t="s">
        <v>73</v>
      </c>
      <c r="I614" t="s">
        <v>164</v>
      </c>
    </row>
    <row r="615" spans="1:9" ht="15" customHeight="1" x14ac:dyDescent="0.35">
      <c r="A615">
        <v>2021</v>
      </c>
      <c r="B615" t="s">
        <v>158</v>
      </c>
      <c r="C615">
        <v>11</v>
      </c>
      <c r="D615" t="s">
        <v>85</v>
      </c>
      <c r="E615">
        <v>3005</v>
      </c>
      <c r="F615">
        <v>3767</v>
      </c>
      <c r="G615">
        <v>2459</v>
      </c>
      <c r="H615" t="s">
        <v>73</v>
      </c>
      <c r="I615" t="s">
        <v>164</v>
      </c>
    </row>
    <row r="616" spans="1:9" ht="15" customHeight="1" x14ac:dyDescent="0.35">
      <c r="A616">
        <v>2021</v>
      </c>
      <c r="B616" t="s">
        <v>159</v>
      </c>
      <c r="C616">
        <v>12</v>
      </c>
      <c r="D616" t="s">
        <v>85</v>
      </c>
      <c r="E616">
        <v>3103</v>
      </c>
      <c r="F616">
        <v>4024</v>
      </c>
      <c r="G616">
        <v>1789</v>
      </c>
      <c r="H616" t="s">
        <v>73</v>
      </c>
      <c r="I616" t="s">
        <v>164</v>
      </c>
    </row>
    <row r="617" spans="1:9" ht="15" customHeight="1" x14ac:dyDescent="0.35">
      <c r="A617">
        <v>2022</v>
      </c>
      <c r="B617" t="s">
        <v>147</v>
      </c>
      <c r="C617">
        <v>1</v>
      </c>
      <c r="D617" t="s">
        <v>85</v>
      </c>
      <c r="E617">
        <v>3235</v>
      </c>
      <c r="F617">
        <v>4257</v>
      </c>
      <c r="G617">
        <v>2470</v>
      </c>
      <c r="H617" t="s">
        <v>73</v>
      </c>
      <c r="I617" t="s">
        <v>164</v>
      </c>
    </row>
    <row r="618" spans="1:9" ht="15" customHeight="1" x14ac:dyDescent="0.35">
      <c r="A618">
        <v>2022</v>
      </c>
      <c r="B618" t="s">
        <v>149</v>
      </c>
      <c r="C618">
        <v>2</v>
      </c>
      <c r="D618" t="s">
        <v>85</v>
      </c>
      <c r="E618">
        <v>3814</v>
      </c>
      <c r="F618">
        <v>4706</v>
      </c>
      <c r="G618">
        <v>2823</v>
      </c>
      <c r="H618" t="s">
        <v>73</v>
      </c>
      <c r="I618" t="s">
        <v>164</v>
      </c>
    </row>
    <row r="619" spans="1:9" ht="15" customHeight="1" x14ac:dyDescent="0.35">
      <c r="A619">
        <v>2022</v>
      </c>
      <c r="B619" t="s">
        <v>150</v>
      </c>
      <c r="C619">
        <v>3</v>
      </c>
      <c r="D619" t="s">
        <v>85</v>
      </c>
      <c r="E619">
        <v>4480</v>
      </c>
      <c r="F619">
        <v>4955</v>
      </c>
      <c r="G619">
        <v>3784</v>
      </c>
      <c r="H619" t="s">
        <v>73</v>
      </c>
      <c r="I619" t="s">
        <v>164</v>
      </c>
    </row>
    <row r="620" spans="1:9" ht="15" customHeight="1" x14ac:dyDescent="0.35">
      <c r="A620">
        <v>2022</v>
      </c>
      <c r="B620" t="s">
        <v>151</v>
      </c>
      <c r="C620">
        <v>4</v>
      </c>
      <c r="D620" t="s">
        <v>85</v>
      </c>
      <c r="E620">
        <v>4832</v>
      </c>
      <c r="F620">
        <v>5292</v>
      </c>
      <c r="G620">
        <v>2942</v>
      </c>
      <c r="H620" t="s">
        <v>74</v>
      </c>
      <c r="I620" t="s">
        <v>164</v>
      </c>
    </row>
    <row r="621" spans="1:9" ht="15" customHeight="1" x14ac:dyDescent="0.35">
      <c r="A621">
        <v>2022</v>
      </c>
      <c r="B621" t="s">
        <v>152</v>
      </c>
      <c r="C621">
        <v>5</v>
      </c>
      <c r="D621" t="s">
        <v>85</v>
      </c>
      <c r="E621">
        <v>4244</v>
      </c>
      <c r="F621">
        <v>4950</v>
      </c>
      <c r="G621">
        <v>3215</v>
      </c>
      <c r="H621" t="s">
        <v>74</v>
      </c>
      <c r="I621" t="s">
        <v>164</v>
      </c>
    </row>
    <row r="622" spans="1:9" ht="15" customHeight="1" x14ac:dyDescent="0.35">
      <c r="A622">
        <v>2022</v>
      </c>
      <c r="B622" t="s">
        <v>153</v>
      </c>
      <c r="C622">
        <v>6</v>
      </c>
      <c r="D622" t="s">
        <v>85</v>
      </c>
      <c r="E622">
        <v>4070</v>
      </c>
      <c r="F622">
        <v>4680</v>
      </c>
      <c r="G622">
        <v>2775</v>
      </c>
      <c r="H622" t="s">
        <v>74</v>
      </c>
      <c r="I622" t="s">
        <v>164</v>
      </c>
    </row>
    <row r="623" spans="1:9" ht="15" customHeight="1" x14ac:dyDescent="0.35">
      <c r="A623">
        <v>2022</v>
      </c>
      <c r="B623" t="s">
        <v>154</v>
      </c>
      <c r="C623">
        <v>7</v>
      </c>
      <c r="D623" t="s">
        <v>85</v>
      </c>
      <c r="E623">
        <v>3982</v>
      </c>
      <c r="F623">
        <v>4825</v>
      </c>
      <c r="G623">
        <v>3210</v>
      </c>
      <c r="H623" t="s">
        <v>74</v>
      </c>
      <c r="I623" t="s">
        <v>164</v>
      </c>
    </row>
    <row r="624" spans="1:9" ht="15" customHeight="1" x14ac:dyDescent="0.35">
      <c r="A624">
        <v>2022</v>
      </c>
      <c r="B624" t="s">
        <v>155</v>
      </c>
      <c r="C624">
        <v>8</v>
      </c>
      <c r="D624" t="s">
        <v>85</v>
      </c>
      <c r="E624">
        <v>4053</v>
      </c>
      <c r="F624">
        <v>5055</v>
      </c>
      <c r="G624">
        <v>2392</v>
      </c>
      <c r="H624" t="s">
        <v>74</v>
      </c>
      <c r="I624" t="s">
        <v>164</v>
      </c>
    </row>
    <row r="625" spans="1:9" ht="15" customHeight="1" x14ac:dyDescent="0.35">
      <c r="A625">
        <v>2022</v>
      </c>
      <c r="B625" t="s">
        <v>156</v>
      </c>
      <c r="C625">
        <v>9</v>
      </c>
      <c r="D625" t="s">
        <v>85</v>
      </c>
      <c r="E625">
        <v>4263</v>
      </c>
      <c r="F625">
        <v>4895</v>
      </c>
      <c r="G625">
        <v>3318</v>
      </c>
      <c r="H625" t="s">
        <v>74</v>
      </c>
      <c r="I625" t="s">
        <v>164</v>
      </c>
    </row>
    <row r="626" spans="1:9" ht="15" customHeight="1" x14ac:dyDescent="0.35">
      <c r="A626">
        <v>2022</v>
      </c>
      <c r="B626" t="s">
        <v>157</v>
      </c>
      <c r="C626">
        <v>10</v>
      </c>
      <c r="D626" t="s">
        <v>85</v>
      </c>
      <c r="E626">
        <v>3828</v>
      </c>
      <c r="F626">
        <v>4640</v>
      </c>
      <c r="G626">
        <v>2930</v>
      </c>
      <c r="H626" t="s">
        <v>74</v>
      </c>
      <c r="I626" t="s">
        <v>164</v>
      </c>
    </row>
    <row r="627" spans="1:9" ht="15" customHeight="1" x14ac:dyDescent="0.35">
      <c r="A627">
        <v>2022</v>
      </c>
      <c r="B627" t="s">
        <v>158</v>
      </c>
      <c r="C627">
        <v>11</v>
      </c>
      <c r="D627" t="s">
        <v>85</v>
      </c>
      <c r="E627">
        <v>3449</v>
      </c>
      <c r="F627">
        <v>4135</v>
      </c>
      <c r="G627">
        <v>2885</v>
      </c>
      <c r="H627" t="s">
        <v>74</v>
      </c>
      <c r="I627" t="s">
        <v>164</v>
      </c>
    </row>
    <row r="628" spans="1:9" ht="15" customHeight="1" x14ac:dyDescent="0.35">
      <c r="A628">
        <v>2022</v>
      </c>
      <c r="B628" t="s">
        <v>159</v>
      </c>
      <c r="C628">
        <v>12</v>
      </c>
      <c r="D628" t="s">
        <v>85</v>
      </c>
      <c r="E628">
        <v>3857</v>
      </c>
      <c r="F628">
        <v>4796</v>
      </c>
      <c r="G628">
        <v>2960</v>
      </c>
      <c r="H628" t="s">
        <v>74</v>
      </c>
      <c r="I628" t="s">
        <v>164</v>
      </c>
    </row>
    <row r="629" spans="1:9" ht="15" customHeight="1" x14ac:dyDescent="0.35">
      <c r="A629">
        <v>2023</v>
      </c>
      <c r="B629" t="s">
        <v>147</v>
      </c>
      <c r="C629">
        <v>1</v>
      </c>
      <c r="D629" t="s">
        <v>85</v>
      </c>
      <c r="E629">
        <v>4228</v>
      </c>
      <c r="F629">
        <v>5149</v>
      </c>
      <c r="G629">
        <v>3392</v>
      </c>
      <c r="H629" t="s">
        <v>74</v>
      </c>
      <c r="I629" t="s">
        <v>164</v>
      </c>
    </row>
    <row r="630" spans="1:9" ht="15" customHeight="1" x14ac:dyDescent="0.35">
      <c r="A630">
        <v>2023</v>
      </c>
      <c r="B630" t="s">
        <v>149</v>
      </c>
      <c r="C630">
        <v>2</v>
      </c>
      <c r="D630" t="s">
        <v>85</v>
      </c>
      <c r="E630">
        <v>4660</v>
      </c>
      <c r="F630">
        <v>5301</v>
      </c>
      <c r="G630">
        <v>3919</v>
      </c>
      <c r="H630" t="s">
        <v>74</v>
      </c>
      <c r="I630" t="s">
        <v>164</v>
      </c>
    </row>
    <row r="631" spans="1:9" ht="15" customHeight="1" x14ac:dyDescent="0.35">
      <c r="A631">
        <v>2023</v>
      </c>
      <c r="B631" t="s">
        <v>150</v>
      </c>
      <c r="C631">
        <v>3</v>
      </c>
      <c r="D631" t="s">
        <v>85</v>
      </c>
      <c r="E631">
        <v>4634</v>
      </c>
      <c r="F631">
        <v>5433</v>
      </c>
      <c r="G631">
        <v>2491</v>
      </c>
      <c r="H631" t="s">
        <v>74</v>
      </c>
      <c r="I631" t="s">
        <v>164</v>
      </c>
    </row>
    <row r="632" spans="1:9" ht="15" customHeight="1" x14ac:dyDescent="0.35">
      <c r="A632">
        <v>2023</v>
      </c>
      <c r="B632" t="s">
        <v>151</v>
      </c>
      <c r="C632">
        <v>4</v>
      </c>
      <c r="D632" t="s">
        <v>85</v>
      </c>
      <c r="E632">
        <v>4756</v>
      </c>
      <c r="F632">
        <v>5651</v>
      </c>
      <c r="G632">
        <v>3272</v>
      </c>
      <c r="H632" t="s">
        <v>75</v>
      </c>
      <c r="I632" t="s">
        <v>164</v>
      </c>
    </row>
    <row r="633" spans="1:9" ht="15" customHeight="1" x14ac:dyDescent="0.35">
      <c r="A633">
        <v>2023</v>
      </c>
      <c r="B633" t="s">
        <v>152</v>
      </c>
      <c r="C633">
        <v>5</v>
      </c>
      <c r="D633" t="s">
        <v>85</v>
      </c>
      <c r="E633">
        <v>4333</v>
      </c>
      <c r="F633">
        <v>4897</v>
      </c>
      <c r="G633">
        <v>2526</v>
      </c>
      <c r="H633" t="s">
        <v>75</v>
      </c>
      <c r="I633" t="s">
        <v>164</v>
      </c>
    </row>
    <row r="634" spans="1:9" ht="15" customHeight="1" x14ac:dyDescent="0.35">
      <c r="A634">
        <v>2023</v>
      </c>
      <c r="B634" t="s">
        <v>153</v>
      </c>
      <c r="C634">
        <v>6</v>
      </c>
      <c r="D634" t="s">
        <v>85</v>
      </c>
      <c r="E634">
        <v>4440</v>
      </c>
      <c r="F634">
        <v>5292</v>
      </c>
      <c r="G634">
        <v>3235</v>
      </c>
      <c r="H634" t="s">
        <v>75</v>
      </c>
      <c r="I634" t="s">
        <v>164</v>
      </c>
    </row>
    <row r="635" spans="1:9" ht="15" customHeight="1" x14ac:dyDescent="0.35">
      <c r="A635">
        <v>2023</v>
      </c>
      <c r="B635" t="s">
        <v>154</v>
      </c>
      <c r="C635">
        <v>7</v>
      </c>
      <c r="D635" t="s">
        <v>85</v>
      </c>
      <c r="E635">
        <v>4528</v>
      </c>
      <c r="F635">
        <v>5288</v>
      </c>
      <c r="G635">
        <v>3663</v>
      </c>
      <c r="H635" t="s">
        <v>75</v>
      </c>
      <c r="I635" t="s">
        <v>164</v>
      </c>
    </row>
    <row r="636" spans="1:9" ht="15" customHeight="1" x14ac:dyDescent="0.35">
      <c r="A636">
        <v>2023</v>
      </c>
      <c r="B636" t="s">
        <v>155</v>
      </c>
      <c r="C636">
        <v>8</v>
      </c>
      <c r="D636" t="s">
        <v>85</v>
      </c>
      <c r="E636">
        <v>4843</v>
      </c>
      <c r="F636">
        <v>5805</v>
      </c>
      <c r="G636">
        <v>2816</v>
      </c>
      <c r="H636" t="s">
        <v>75</v>
      </c>
      <c r="I636" t="s">
        <v>164</v>
      </c>
    </row>
    <row r="637" spans="1:9" ht="15" customHeight="1" x14ac:dyDescent="0.35">
      <c r="A637">
        <v>2023</v>
      </c>
      <c r="B637" t="s">
        <v>156</v>
      </c>
      <c r="C637">
        <v>9</v>
      </c>
      <c r="D637" t="s">
        <v>85</v>
      </c>
      <c r="E637">
        <v>4387</v>
      </c>
      <c r="F637">
        <v>5831</v>
      </c>
      <c r="G637">
        <v>2885</v>
      </c>
      <c r="H637" t="s">
        <v>75</v>
      </c>
      <c r="I637" t="s">
        <v>164</v>
      </c>
    </row>
    <row r="638" spans="1:9" ht="15" customHeight="1" x14ac:dyDescent="0.35">
      <c r="A638">
        <v>2023</v>
      </c>
      <c r="B638" t="s">
        <v>157</v>
      </c>
      <c r="C638">
        <v>10</v>
      </c>
      <c r="D638" t="s">
        <v>85</v>
      </c>
      <c r="E638">
        <v>4598</v>
      </c>
      <c r="F638">
        <v>5324</v>
      </c>
      <c r="G638">
        <v>3529</v>
      </c>
      <c r="H638" t="s">
        <v>75</v>
      </c>
      <c r="I638" t="s">
        <v>164</v>
      </c>
    </row>
    <row r="639" spans="1:9" ht="15" customHeight="1" x14ac:dyDescent="0.35">
      <c r="A639">
        <v>2023</v>
      </c>
      <c r="B639" t="s">
        <v>158</v>
      </c>
      <c r="C639">
        <v>11</v>
      </c>
      <c r="D639" t="s">
        <v>85</v>
      </c>
      <c r="E639">
        <v>3763</v>
      </c>
      <c r="F639">
        <v>4679</v>
      </c>
      <c r="G639">
        <v>2952</v>
      </c>
      <c r="H639" t="s">
        <v>75</v>
      </c>
      <c r="I639" t="s">
        <v>164</v>
      </c>
    </row>
    <row r="640" spans="1:9" ht="15" customHeight="1" x14ac:dyDescent="0.35">
      <c r="A640">
        <v>2023</v>
      </c>
      <c r="B640" t="s">
        <v>159</v>
      </c>
      <c r="C640">
        <v>12</v>
      </c>
      <c r="D640" t="s">
        <v>85</v>
      </c>
      <c r="E640">
        <v>3790</v>
      </c>
      <c r="F640">
        <v>4880</v>
      </c>
      <c r="G640">
        <v>2928</v>
      </c>
      <c r="H640" t="s">
        <v>75</v>
      </c>
      <c r="I640" t="s">
        <v>164</v>
      </c>
    </row>
    <row r="641" spans="1:9" ht="15" customHeight="1" x14ac:dyDescent="0.35">
      <c r="A641">
        <v>2024</v>
      </c>
      <c r="B641" t="s">
        <v>147</v>
      </c>
      <c r="C641">
        <v>1</v>
      </c>
      <c r="D641" t="s">
        <v>85</v>
      </c>
      <c r="E641">
        <v>4317</v>
      </c>
      <c r="F641">
        <v>5357</v>
      </c>
      <c r="G641">
        <v>3454</v>
      </c>
      <c r="H641" t="s">
        <v>75</v>
      </c>
      <c r="I641" t="s">
        <v>164</v>
      </c>
    </row>
    <row r="642" spans="1:9" ht="15" customHeight="1" x14ac:dyDescent="0.35">
      <c r="A642">
        <v>2024</v>
      </c>
      <c r="B642" t="s">
        <v>149</v>
      </c>
      <c r="C642">
        <v>2</v>
      </c>
      <c r="D642" t="s">
        <v>85</v>
      </c>
      <c r="E642">
        <v>4993</v>
      </c>
      <c r="F642">
        <v>5840</v>
      </c>
      <c r="G642">
        <v>3749</v>
      </c>
      <c r="H642" t="s">
        <v>75</v>
      </c>
      <c r="I642" t="s">
        <v>164</v>
      </c>
    </row>
    <row r="643" spans="1:9" ht="15" customHeight="1" x14ac:dyDescent="0.35">
      <c r="A643">
        <v>2024</v>
      </c>
      <c r="B643" t="s">
        <v>150</v>
      </c>
      <c r="C643">
        <v>3</v>
      </c>
      <c r="D643" t="s">
        <v>85</v>
      </c>
      <c r="E643">
        <v>5318</v>
      </c>
      <c r="F643">
        <v>6170</v>
      </c>
      <c r="G643">
        <v>3059</v>
      </c>
      <c r="H643" t="s">
        <v>75</v>
      </c>
      <c r="I643" t="s">
        <v>164</v>
      </c>
    </row>
    <row r="644" spans="1:9" ht="15" customHeight="1" x14ac:dyDescent="0.35">
      <c r="A644">
        <v>2024</v>
      </c>
      <c r="B644" t="s">
        <v>151</v>
      </c>
      <c r="C644">
        <v>4</v>
      </c>
      <c r="D644" t="s">
        <v>85</v>
      </c>
      <c r="E644">
        <v>5307</v>
      </c>
      <c r="F644">
        <v>6170</v>
      </c>
      <c r="G644">
        <v>3059</v>
      </c>
      <c r="H644" t="s">
        <v>77</v>
      </c>
      <c r="I644" t="s">
        <v>164</v>
      </c>
    </row>
    <row r="645" spans="1:9" ht="15" customHeight="1" x14ac:dyDescent="0.35">
      <c r="A645">
        <v>2024</v>
      </c>
      <c r="B645" t="s">
        <v>152</v>
      </c>
      <c r="C645">
        <v>5</v>
      </c>
      <c r="D645" t="s">
        <v>85</v>
      </c>
      <c r="E645">
        <v>4984</v>
      </c>
      <c r="F645">
        <v>6057</v>
      </c>
      <c r="G645">
        <v>3679</v>
      </c>
      <c r="H645" t="s">
        <v>77</v>
      </c>
      <c r="I645" t="s">
        <v>164</v>
      </c>
    </row>
    <row r="646" spans="1:9" ht="15" customHeight="1" x14ac:dyDescent="0.35">
      <c r="A646">
        <v>2024</v>
      </c>
      <c r="B646" t="s">
        <v>153</v>
      </c>
      <c r="C646">
        <v>6</v>
      </c>
      <c r="D646" t="s">
        <v>85</v>
      </c>
      <c r="E646">
        <v>4804</v>
      </c>
      <c r="F646">
        <v>5459</v>
      </c>
      <c r="G646">
        <v>3750</v>
      </c>
      <c r="H646" t="s">
        <v>77</v>
      </c>
      <c r="I646" t="s">
        <v>164</v>
      </c>
    </row>
    <row r="647" spans="1:9" ht="15" customHeight="1" x14ac:dyDescent="0.35">
      <c r="A647">
        <v>2024</v>
      </c>
      <c r="B647" t="s">
        <v>154</v>
      </c>
      <c r="C647">
        <v>7</v>
      </c>
      <c r="D647" t="s">
        <v>85</v>
      </c>
      <c r="E647">
        <v>4856</v>
      </c>
      <c r="F647">
        <v>5990</v>
      </c>
      <c r="G647">
        <v>3477</v>
      </c>
      <c r="H647" t="s">
        <v>77</v>
      </c>
      <c r="I647" t="s">
        <v>164</v>
      </c>
    </row>
    <row r="648" spans="1:9" ht="15" customHeight="1" x14ac:dyDescent="0.35">
      <c r="A648">
        <v>2024</v>
      </c>
      <c r="B648" t="s">
        <v>155</v>
      </c>
      <c r="C648">
        <v>8</v>
      </c>
      <c r="D648" t="s">
        <v>85</v>
      </c>
      <c r="E648">
        <v>4446</v>
      </c>
      <c r="F648">
        <v>5513</v>
      </c>
      <c r="G648">
        <v>2577</v>
      </c>
      <c r="H648" t="s">
        <v>77</v>
      </c>
      <c r="I648" t="s">
        <v>164</v>
      </c>
    </row>
    <row r="649" spans="1:9" ht="15" customHeight="1" x14ac:dyDescent="0.35">
      <c r="A649">
        <v>2024</v>
      </c>
      <c r="B649" t="s">
        <v>156</v>
      </c>
      <c r="C649">
        <v>9</v>
      </c>
      <c r="D649" t="s">
        <v>85</v>
      </c>
      <c r="E649">
        <v>4935</v>
      </c>
      <c r="F649">
        <v>5974</v>
      </c>
      <c r="G649">
        <v>3556</v>
      </c>
      <c r="H649" t="s">
        <v>77</v>
      </c>
      <c r="I649" t="s">
        <v>164</v>
      </c>
    </row>
    <row r="650" spans="1:9" ht="15" customHeight="1" x14ac:dyDescent="0.35">
      <c r="A650">
        <v>2024</v>
      </c>
      <c r="B650" t="s">
        <v>157</v>
      </c>
      <c r="C650">
        <v>10</v>
      </c>
      <c r="D650" t="s">
        <v>85</v>
      </c>
      <c r="E650">
        <v>5186</v>
      </c>
      <c r="F650">
        <v>5949</v>
      </c>
      <c r="G650">
        <v>3440</v>
      </c>
      <c r="H650" t="s">
        <v>77</v>
      </c>
      <c r="I650" t="s">
        <v>164</v>
      </c>
    </row>
    <row r="651" spans="1:9" ht="15" customHeight="1" x14ac:dyDescent="0.35">
      <c r="A651">
        <v>2024</v>
      </c>
      <c r="B651" t="s">
        <v>158</v>
      </c>
      <c r="C651">
        <v>11</v>
      </c>
      <c r="D651" t="s">
        <v>85</v>
      </c>
      <c r="E651">
        <v>3762</v>
      </c>
      <c r="F651">
        <v>4580</v>
      </c>
      <c r="G651">
        <v>2955</v>
      </c>
      <c r="H651" t="s">
        <v>77</v>
      </c>
      <c r="I651" t="s">
        <v>164</v>
      </c>
    </row>
    <row r="652" spans="1:9" ht="15" customHeight="1" x14ac:dyDescent="0.35">
      <c r="A652">
        <v>2024</v>
      </c>
      <c r="B652" t="s">
        <v>159</v>
      </c>
      <c r="C652">
        <v>12</v>
      </c>
      <c r="D652" t="s">
        <v>85</v>
      </c>
      <c r="E652">
        <v>4094</v>
      </c>
      <c r="F652">
        <v>5237</v>
      </c>
      <c r="G652">
        <v>2946</v>
      </c>
      <c r="H652" t="s">
        <v>77</v>
      </c>
      <c r="I652" t="s">
        <v>164</v>
      </c>
    </row>
    <row r="653" spans="1:9" ht="15" customHeight="1" x14ac:dyDescent="0.35">
      <c r="A653">
        <v>2025</v>
      </c>
      <c r="B653" t="s">
        <v>147</v>
      </c>
      <c r="C653">
        <v>1</v>
      </c>
      <c r="D653" t="s">
        <v>85</v>
      </c>
      <c r="E653">
        <v>4744</v>
      </c>
      <c r="F653">
        <v>5920</v>
      </c>
      <c r="G653">
        <v>3645</v>
      </c>
      <c r="H653" t="s">
        <v>77</v>
      </c>
      <c r="I653" t="s">
        <v>164</v>
      </c>
    </row>
    <row r="654" spans="1:9" ht="15" customHeight="1" x14ac:dyDescent="0.35">
      <c r="A654">
        <v>2025</v>
      </c>
      <c r="B654" t="s">
        <v>149</v>
      </c>
      <c r="C654">
        <v>2</v>
      </c>
      <c r="D654" t="s">
        <v>85</v>
      </c>
      <c r="E654">
        <v>5518</v>
      </c>
      <c r="F654">
        <v>6165</v>
      </c>
      <c r="G654">
        <v>4905</v>
      </c>
      <c r="H654" t="s">
        <v>77</v>
      </c>
      <c r="I654" t="s">
        <v>164</v>
      </c>
    </row>
    <row r="655" spans="1:9" ht="15" customHeight="1" x14ac:dyDescent="0.35">
      <c r="A655">
        <v>2025</v>
      </c>
      <c r="B655" t="s">
        <v>150</v>
      </c>
      <c r="C655">
        <v>3</v>
      </c>
      <c r="D655" t="s">
        <v>85</v>
      </c>
      <c r="E655">
        <v>5929</v>
      </c>
      <c r="F655">
        <v>6602</v>
      </c>
      <c r="G655">
        <v>4598</v>
      </c>
      <c r="H655" t="s">
        <v>77</v>
      </c>
      <c r="I655" t="s">
        <v>164</v>
      </c>
    </row>
    <row r="656" spans="1:9" ht="15" customHeight="1" x14ac:dyDescent="0.35">
      <c r="A656">
        <v>2025</v>
      </c>
      <c r="B656" t="s">
        <v>151</v>
      </c>
      <c r="C656">
        <v>4</v>
      </c>
      <c r="D656" t="s">
        <v>85</v>
      </c>
      <c r="E656">
        <v>5999</v>
      </c>
      <c r="F656">
        <v>6845</v>
      </c>
      <c r="G656">
        <v>3628</v>
      </c>
      <c r="H656" t="s">
        <v>78</v>
      </c>
      <c r="I656" t="s">
        <v>164</v>
      </c>
    </row>
    <row r="657" spans="1:9" ht="15" customHeight="1" x14ac:dyDescent="0.35">
      <c r="A657">
        <v>2025</v>
      </c>
      <c r="B657" t="s">
        <v>152</v>
      </c>
      <c r="C657">
        <v>5</v>
      </c>
      <c r="D657" t="s">
        <v>85</v>
      </c>
      <c r="E657">
        <v>4808</v>
      </c>
      <c r="F657">
        <v>5745</v>
      </c>
      <c r="G657">
        <v>1934</v>
      </c>
      <c r="H657" t="s">
        <v>78</v>
      </c>
      <c r="I657" t="s">
        <v>164</v>
      </c>
    </row>
    <row r="658" spans="1:9" ht="15" customHeight="1" x14ac:dyDescent="0.35">
      <c r="A658">
        <v>2025</v>
      </c>
      <c r="B658" t="s">
        <v>153</v>
      </c>
      <c r="C658">
        <v>6</v>
      </c>
      <c r="D658" t="s">
        <v>85</v>
      </c>
      <c r="E658">
        <v>4893</v>
      </c>
      <c r="F658">
        <v>5595</v>
      </c>
      <c r="G658">
        <v>3530</v>
      </c>
      <c r="H658" t="s">
        <v>78</v>
      </c>
      <c r="I658" t="s">
        <v>164</v>
      </c>
    </row>
    <row r="659" spans="1:9" ht="15" customHeight="1" x14ac:dyDescent="0.35">
      <c r="A659">
        <v>2025</v>
      </c>
      <c r="B659" t="s">
        <v>154</v>
      </c>
      <c r="C659">
        <v>7</v>
      </c>
      <c r="D659" t="s">
        <v>85</v>
      </c>
      <c r="E659">
        <v>4557</v>
      </c>
      <c r="F659">
        <v>5570</v>
      </c>
      <c r="G659">
        <v>3233</v>
      </c>
      <c r="H659" t="s">
        <v>78</v>
      </c>
      <c r="I659" t="s">
        <v>164</v>
      </c>
    </row>
    <row r="660" spans="1:9" ht="15" customHeight="1" x14ac:dyDescent="0.35">
      <c r="A660">
        <v>2025</v>
      </c>
      <c r="B660" t="s">
        <v>155</v>
      </c>
      <c r="C660">
        <v>8</v>
      </c>
      <c r="D660" t="s">
        <v>85</v>
      </c>
      <c r="E660">
        <v>5430</v>
      </c>
      <c r="F660">
        <v>6452</v>
      </c>
      <c r="G660">
        <v>4278</v>
      </c>
      <c r="H660" t="s">
        <v>78</v>
      </c>
      <c r="I660" t="s">
        <v>164</v>
      </c>
    </row>
    <row r="661" spans="1:9" ht="15" customHeight="1" x14ac:dyDescent="0.35">
      <c r="A661">
        <v>2025</v>
      </c>
      <c r="B661" t="s">
        <v>156</v>
      </c>
      <c r="C661">
        <v>9</v>
      </c>
      <c r="D661" t="s">
        <v>85</v>
      </c>
      <c r="E661">
        <v>5091</v>
      </c>
      <c r="F661">
        <v>6006</v>
      </c>
      <c r="G661">
        <v>3646</v>
      </c>
      <c r="H661" t="s">
        <v>78</v>
      </c>
      <c r="I661" t="s">
        <v>164</v>
      </c>
    </row>
    <row r="662" spans="1:9" ht="15" customHeight="1" x14ac:dyDescent="0.35">
      <c r="A662">
        <v>2025</v>
      </c>
      <c r="B662" t="s">
        <v>157</v>
      </c>
      <c r="C662">
        <v>10</v>
      </c>
      <c r="D662" t="s">
        <v>85</v>
      </c>
      <c r="E662">
        <v>4408</v>
      </c>
      <c r="F662">
        <v>5255</v>
      </c>
      <c r="G662">
        <v>3614</v>
      </c>
      <c r="H662" t="s">
        <v>78</v>
      </c>
      <c r="I662" t="s">
        <v>164</v>
      </c>
    </row>
    <row r="663" spans="1:9" ht="15" customHeight="1" x14ac:dyDescent="0.35">
      <c r="A663">
        <v>2025</v>
      </c>
      <c r="B663" t="s">
        <v>158</v>
      </c>
      <c r="C663">
        <v>11</v>
      </c>
      <c r="D663" t="s">
        <v>85</v>
      </c>
      <c r="E663">
        <v>3794</v>
      </c>
      <c r="F663">
        <v>4826</v>
      </c>
      <c r="G663">
        <v>2950</v>
      </c>
      <c r="H663" t="s">
        <v>78</v>
      </c>
      <c r="I663" t="s">
        <v>164</v>
      </c>
    </row>
    <row r="664" spans="1:9" ht="15" customHeight="1" x14ac:dyDescent="0.35">
      <c r="A664">
        <v>2025</v>
      </c>
      <c r="B664" t="s">
        <v>159</v>
      </c>
      <c r="C664">
        <v>12</v>
      </c>
      <c r="D664" t="s">
        <v>85</v>
      </c>
      <c r="E664">
        <v>4205</v>
      </c>
      <c r="F664">
        <v>5540</v>
      </c>
      <c r="G664">
        <v>3058</v>
      </c>
      <c r="H664" t="s">
        <v>78</v>
      </c>
      <c r="I664" t="s">
        <v>164</v>
      </c>
    </row>
    <row r="665" spans="1:9" ht="15" customHeight="1" x14ac:dyDescent="0.35">
      <c r="A665">
        <v>2026</v>
      </c>
      <c r="B665" t="s">
        <v>147</v>
      </c>
      <c r="C665">
        <v>1</v>
      </c>
      <c r="D665" t="s">
        <v>85</v>
      </c>
      <c r="E665">
        <v>4680</v>
      </c>
      <c r="F665">
        <v>5905</v>
      </c>
      <c r="G665">
        <v>3737</v>
      </c>
      <c r="H665" t="s">
        <v>78</v>
      </c>
      <c r="I665" t="s">
        <v>164</v>
      </c>
    </row>
    <row r="666" spans="1:9" ht="15" customHeight="1" x14ac:dyDescent="0.35">
      <c r="A666">
        <v>2026</v>
      </c>
      <c r="B666" t="s">
        <v>149</v>
      </c>
      <c r="C666">
        <v>2</v>
      </c>
      <c r="D666" t="s">
        <v>85</v>
      </c>
      <c r="E666">
        <v>5305</v>
      </c>
      <c r="F666">
        <v>6310</v>
      </c>
      <c r="G666">
        <v>4221</v>
      </c>
      <c r="H666" t="s">
        <v>78</v>
      </c>
      <c r="I666" t="s">
        <v>164</v>
      </c>
    </row>
    <row r="667" spans="1:9" ht="15" customHeight="1" x14ac:dyDescent="0.35">
      <c r="A667">
        <v>2026</v>
      </c>
      <c r="B667" t="s">
        <v>150</v>
      </c>
      <c r="C667">
        <v>3</v>
      </c>
      <c r="D667" t="s">
        <v>85</v>
      </c>
      <c r="E667">
        <v>4680</v>
      </c>
      <c r="F667">
        <v>5905</v>
      </c>
      <c r="G667">
        <v>3737</v>
      </c>
      <c r="H667" t="s">
        <v>78</v>
      </c>
      <c r="I667" t="s">
        <v>164</v>
      </c>
    </row>
    <row r="668" spans="1:9" ht="15" customHeight="1" x14ac:dyDescent="0.35">
      <c r="A668">
        <v>2017</v>
      </c>
      <c r="B668" t="s">
        <v>147</v>
      </c>
      <c r="C668">
        <v>1</v>
      </c>
      <c r="D668" t="s">
        <v>165</v>
      </c>
      <c r="E668">
        <v>2170</v>
      </c>
      <c r="F668">
        <v>2829</v>
      </c>
      <c r="G668">
        <v>1476</v>
      </c>
      <c r="H668" t="s">
        <v>122</v>
      </c>
      <c r="I668" t="s">
        <v>166</v>
      </c>
    </row>
    <row r="669" spans="1:9" ht="15" customHeight="1" x14ac:dyDescent="0.35">
      <c r="A669">
        <v>2017</v>
      </c>
      <c r="B669" t="s">
        <v>149</v>
      </c>
      <c r="C669">
        <v>2</v>
      </c>
      <c r="D669" t="s">
        <v>165</v>
      </c>
      <c r="E669">
        <v>2488</v>
      </c>
      <c r="F669">
        <v>3082</v>
      </c>
      <c r="G669">
        <v>1856</v>
      </c>
      <c r="H669" t="s">
        <v>122</v>
      </c>
      <c r="I669" t="s">
        <v>166</v>
      </c>
    </row>
    <row r="670" spans="1:9" ht="15" customHeight="1" x14ac:dyDescent="0.35">
      <c r="A670">
        <v>2017</v>
      </c>
      <c r="B670" t="s">
        <v>150</v>
      </c>
      <c r="C670">
        <v>3</v>
      </c>
      <c r="D670" t="s">
        <v>165</v>
      </c>
      <c r="E670">
        <v>2535</v>
      </c>
      <c r="F670">
        <v>3090</v>
      </c>
      <c r="G670">
        <v>1861</v>
      </c>
      <c r="H670" t="s">
        <v>122</v>
      </c>
      <c r="I670" t="s">
        <v>166</v>
      </c>
    </row>
    <row r="671" spans="1:9" ht="15" customHeight="1" x14ac:dyDescent="0.35">
      <c r="A671">
        <v>2017</v>
      </c>
      <c r="B671" t="s">
        <v>151</v>
      </c>
      <c r="C671">
        <v>4</v>
      </c>
      <c r="D671" t="s">
        <v>165</v>
      </c>
      <c r="E671">
        <v>2623</v>
      </c>
      <c r="F671">
        <v>2980</v>
      </c>
      <c r="G671">
        <v>1879</v>
      </c>
      <c r="H671" t="s">
        <v>123</v>
      </c>
      <c r="I671" t="s">
        <v>166</v>
      </c>
    </row>
    <row r="672" spans="1:9" ht="15" customHeight="1" x14ac:dyDescent="0.35">
      <c r="A672">
        <v>2017</v>
      </c>
      <c r="B672" t="s">
        <v>152</v>
      </c>
      <c r="C672">
        <v>5</v>
      </c>
      <c r="D672" t="s">
        <v>165</v>
      </c>
      <c r="E672">
        <v>2426</v>
      </c>
      <c r="F672">
        <v>2812</v>
      </c>
      <c r="G672">
        <v>1565</v>
      </c>
      <c r="H672" t="s">
        <v>123</v>
      </c>
      <c r="I672" t="s">
        <v>166</v>
      </c>
    </row>
    <row r="673" spans="1:9" ht="15" customHeight="1" x14ac:dyDescent="0.35">
      <c r="A673">
        <v>2017</v>
      </c>
      <c r="B673" t="s">
        <v>153</v>
      </c>
      <c r="C673">
        <v>6</v>
      </c>
      <c r="D673" t="s">
        <v>165</v>
      </c>
      <c r="E673">
        <v>2468</v>
      </c>
      <c r="F673">
        <v>2854</v>
      </c>
      <c r="G673">
        <v>1971</v>
      </c>
      <c r="H673" t="s">
        <v>123</v>
      </c>
      <c r="I673" t="s">
        <v>166</v>
      </c>
    </row>
    <row r="674" spans="1:9" ht="15" customHeight="1" x14ac:dyDescent="0.35">
      <c r="A674">
        <v>2017</v>
      </c>
      <c r="B674" t="s">
        <v>154</v>
      </c>
      <c r="C674">
        <v>7</v>
      </c>
      <c r="D674" t="s">
        <v>165</v>
      </c>
      <c r="E674">
        <v>2374</v>
      </c>
      <c r="F674">
        <v>2783</v>
      </c>
      <c r="G674">
        <v>1753</v>
      </c>
      <c r="H674" t="s">
        <v>123</v>
      </c>
      <c r="I674" t="s">
        <v>166</v>
      </c>
    </row>
    <row r="675" spans="1:9" ht="15" customHeight="1" x14ac:dyDescent="0.35">
      <c r="A675">
        <v>2017</v>
      </c>
      <c r="B675" t="s">
        <v>155</v>
      </c>
      <c r="C675">
        <v>8</v>
      </c>
      <c r="D675" t="s">
        <v>165</v>
      </c>
      <c r="E675">
        <v>2330</v>
      </c>
      <c r="F675">
        <v>2953</v>
      </c>
      <c r="G675">
        <v>1675</v>
      </c>
      <c r="H675" t="s">
        <v>123</v>
      </c>
      <c r="I675" t="s">
        <v>166</v>
      </c>
    </row>
    <row r="676" spans="1:9" ht="15" customHeight="1" x14ac:dyDescent="0.35">
      <c r="A676">
        <v>2017</v>
      </c>
      <c r="B676" t="s">
        <v>156</v>
      </c>
      <c r="C676">
        <v>9</v>
      </c>
      <c r="D676" t="s">
        <v>165</v>
      </c>
      <c r="E676">
        <v>2462</v>
      </c>
      <c r="F676">
        <v>2945</v>
      </c>
      <c r="G676">
        <v>2025</v>
      </c>
      <c r="H676" t="s">
        <v>123</v>
      </c>
      <c r="I676" t="s">
        <v>166</v>
      </c>
    </row>
    <row r="677" spans="1:9" ht="15" customHeight="1" x14ac:dyDescent="0.35">
      <c r="A677">
        <v>2017</v>
      </c>
      <c r="B677" t="s">
        <v>157</v>
      </c>
      <c r="C677">
        <v>10</v>
      </c>
      <c r="D677" t="s">
        <v>165</v>
      </c>
      <c r="E677">
        <v>2369</v>
      </c>
      <c r="F677">
        <v>2849</v>
      </c>
      <c r="G677">
        <v>1517</v>
      </c>
      <c r="H677" t="s">
        <v>123</v>
      </c>
      <c r="I677" t="s">
        <v>166</v>
      </c>
    </row>
    <row r="678" spans="1:9" ht="15" customHeight="1" x14ac:dyDescent="0.35">
      <c r="A678">
        <v>2017</v>
      </c>
      <c r="B678" t="s">
        <v>158</v>
      </c>
      <c r="C678">
        <v>11</v>
      </c>
      <c r="D678" t="s">
        <v>165</v>
      </c>
      <c r="E678">
        <v>2509</v>
      </c>
      <c r="F678">
        <v>3100</v>
      </c>
      <c r="G678">
        <v>1943</v>
      </c>
      <c r="H678" t="s">
        <v>123</v>
      </c>
      <c r="I678" t="s">
        <v>166</v>
      </c>
    </row>
    <row r="679" spans="1:9" ht="15" customHeight="1" x14ac:dyDescent="0.35">
      <c r="A679">
        <v>2017</v>
      </c>
      <c r="B679" t="s">
        <v>159</v>
      </c>
      <c r="C679">
        <v>12</v>
      </c>
      <c r="D679" t="s">
        <v>165</v>
      </c>
      <c r="E679">
        <v>2558</v>
      </c>
      <c r="F679">
        <v>3128</v>
      </c>
      <c r="G679">
        <v>2062</v>
      </c>
      <c r="H679" t="s">
        <v>123</v>
      </c>
      <c r="I679" t="s">
        <v>166</v>
      </c>
    </row>
    <row r="680" spans="1:9" ht="15" customHeight="1" x14ac:dyDescent="0.35">
      <c r="A680">
        <v>2018</v>
      </c>
      <c r="B680" t="s">
        <v>147</v>
      </c>
      <c r="C680">
        <v>1</v>
      </c>
      <c r="D680" t="s">
        <v>165</v>
      </c>
      <c r="E680">
        <v>2634</v>
      </c>
      <c r="F680">
        <v>3012</v>
      </c>
      <c r="G680">
        <v>2161</v>
      </c>
      <c r="H680" t="s">
        <v>123</v>
      </c>
      <c r="I680" t="s">
        <v>166</v>
      </c>
    </row>
    <row r="681" spans="1:9" ht="15" customHeight="1" x14ac:dyDescent="0.35">
      <c r="A681">
        <v>2018</v>
      </c>
      <c r="B681" t="s">
        <v>149</v>
      </c>
      <c r="C681">
        <v>2</v>
      </c>
      <c r="D681" t="s">
        <v>165</v>
      </c>
      <c r="E681">
        <v>2677</v>
      </c>
      <c r="F681">
        <v>2987</v>
      </c>
      <c r="G681">
        <v>2273</v>
      </c>
      <c r="H681" t="s">
        <v>123</v>
      </c>
      <c r="I681" t="s">
        <v>166</v>
      </c>
    </row>
    <row r="682" spans="1:9" ht="15" customHeight="1" x14ac:dyDescent="0.35">
      <c r="A682">
        <v>2018</v>
      </c>
      <c r="B682" t="s">
        <v>150</v>
      </c>
      <c r="C682">
        <v>3</v>
      </c>
      <c r="D682" t="s">
        <v>165</v>
      </c>
      <c r="E682">
        <v>2591</v>
      </c>
      <c r="F682">
        <v>2990</v>
      </c>
      <c r="G682">
        <v>1919</v>
      </c>
      <c r="H682" t="s">
        <v>123</v>
      </c>
      <c r="I682" t="s">
        <v>166</v>
      </c>
    </row>
    <row r="683" spans="1:9" ht="15" customHeight="1" x14ac:dyDescent="0.35">
      <c r="A683">
        <v>2018</v>
      </c>
      <c r="B683" t="s">
        <v>151</v>
      </c>
      <c r="C683">
        <v>4</v>
      </c>
      <c r="D683" t="s">
        <v>165</v>
      </c>
      <c r="E683">
        <v>2667</v>
      </c>
      <c r="F683">
        <v>3134</v>
      </c>
      <c r="G683">
        <v>1604</v>
      </c>
      <c r="H683" t="s">
        <v>124</v>
      </c>
      <c r="I683" t="s">
        <v>166</v>
      </c>
    </row>
    <row r="684" spans="1:9" ht="15" customHeight="1" x14ac:dyDescent="0.35">
      <c r="A684">
        <v>2018</v>
      </c>
      <c r="B684" t="s">
        <v>152</v>
      </c>
      <c r="C684">
        <v>5</v>
      </c>
      <c r="D684" t="s">
        <v>165</v>
      </c>
      <c r="E684">
        <v>2656</v>
      </c>
      <c r="F684">
        <v>3038</v>
      </c>
      <c r="G684">
        <v>2027</v>
      </c>
      <c r="H684" t="s">
        <v>124</v>
      </c>
      <c r="I684" t="s">
        <v>166</v>
      </c>
    </row>
    <row r="685" spans="1:9" ht="15" customHeight="1" x14ac:dyDescent="0.35">
      <c r="A685">
        <v>2018</v>
      </c>
      <c r="B685" t="s">
        <v>153</v>
      </c>
      <c r="C685">
        <v>6</v>
      </c>
      <c r="D685" t="s">
        <v>165</v>
      </c>
      <c r="E685">
        <v>2663</v>
      </c>
      <c r="F685">
        <v>2945</v>
      </c>
      <c r="G685">
        <v>2041</v>
      </c>
      <c r="H685" t="s">
        <v>124</v>
      </c>
      <c r="I685" t="s">
        <v>166</v>
      </c>
    </row>
    <row r="686" spans="1:9" ht="15" customHeight="1" x14ac:dyDescent="0.35">
      <c r="A686">
        <v>2018</v>
      </c>
      <c r="B686" t="s">
        <v>154</v>
      </c>
      <c r="C686">
        <v>7</v>
      </c>
      <c r="D686" t="s">
        <v>165</v>
      </c>
      <c r="E686">
        <v>2764</v>
      </c>
      <c r="F686">
        <v>3467</v>
      </c>
      <c r="G686">
        <v>1894</v>
      </c>
      <c r="H686" t="s">
        <v>124</v>
      </c>
      <c r="I686" t="s">
        <v>166</v>
      </c>
    </row>
    <row r="687" spans="1:9" ht="15" customHeight="1" x14ac:dyDescent="0.35">
      <c r="A687">
        <v>2018</v>
      </c>
      <c r="B687" t="s">
        <v>155</v>
      </c>
      <c r="C687">
        <v>8</v>
      </c>
      <c r="D687" t="s">
        <v>165</v>
      </c>
      <c r="E687">
        <v>2517</v>
      </c>
      <c r="F687">
        <v>2839</v>
      </c>
      <c r="G687">
        <v>1782</v>
      </c>
      <c r="H687" t="s">
        <v>124</v>
      </c>
      <c r="I687" t="s">
        <v>166</v>
      </c>
    </row>
    <row r="688" spans="1:9" ht="15" customHeight="1" x14ac:dyDescent="0.35">
      <c r="A688">
        <v>2018</v>
      </c>
      <c r="B688" t="s">
        <v>156</v>
      </c>
      <c r="C688">
        <v>9</v>
      </c>
      <c r="D688" t="s">
        <v>165</v>
      </c>
      <c r="E688">
        <v>2466</v>
      </c>
      <c r="F688">
        <v>2794</v>
      </c>
      <c r="G688">
        <v>1857</v>
      </c>
      <c r="H688" t="s">
        <v>124</v>
      </c>
      <c r="I688" t="s">
        <v>166</v>
      </c>
    </row>
    <row r="689" spans="1:9" ht="15" customHeight="1" x14ac:dyDescent="0.35">
      <c r="A689">
        <v>2018</v>
      </c>
      <c r="B689" t="s">
        <v>157</v>
      </c>
      <c r="C689">
        <v>10</v>
      </c>
      <c r="D689" t="s">
        <v>165</v>
      </c>
      <c r="E689">
        <v>2512</v>
      </c>
      <c r="F689">
        <v>2924</v>
      </c>
      <c r="G689">
        <v>1989</v>
      </c>
      <c r="H689" t="s">
        <v>124</v>
      </c>
      <c r="I689" t="s">
        <v>166</v>
      </c>
    </row>
    <row r="690" spans="1:9" ht="15" customHeight="1" x14ac:dyDescent="0.35">
      <c r="A690">
        <v>2018</v>
      </c>
      <c r="B690" t="s">
        <v>158</v>
      </c>
      <c r="C690">
        <v>11</v>
      </c>
      <c r="D690" t="s">
        <v>165</v>
      </c>
      <c r="E690">
        <v>2546</v>
      </c>
      <c r="F690">
        <v>2903</v>
      </c>
      <c r="G690">
        <v>2152</v>
      </c>
      <c r="H690" t="s">
        <v>124</v>
      </c>
      <c r="I690" t="s">
        <v>166</v>
      </c>
    </row>
    <row r="691" spans="1:9" ht="15" customHeight="1" x14ac:dyDescent="0.35">
      <c r="A691">
        <v>2018</v>
      </c>
      <c r="B691" t="s">
        <v>159</v>
      </c>
      <c r="C691">
        <v>12</v>
      </c>
      <c r="D691" t="s">
        <v>165</v>
      </c>
      <c r="E691">
        <v>2584</v>
      </c>
      <c r="F691">
        <v>2946</v>
      </c>
      <c r="G691">
        <v>1877</v>
      </c>
      <c r="H691" t="s">
        <v>124</v>
      </c>
      <c r="I691" t="s">
        <v>166</v>
      </c>
    </row>
    <row r="692" spans="1:9" ht="15" customHeight="1" x14ac:dyDescent="0.35">
      <c r="A692">
        <v>2019</v>
      </c>
      <c r="B692" t="s">
        <v>147</v>
      </c>
      <c r="C692">
        <v>1</v>
      </c>
      <c r="D692" t="s">
        <v>165</v>
      </c>
      <c r="E692">
        <v>2693</v>
      </c>
      <c r="F692">
        <v>3011</v>
      </c>
      <c r="G692">
        <v>2160</v>
      </c>
      <c r="H692" t="s">
        <v>124</v>
      </c>
      <c r="I692" t="s">
        <v>166</v>
      </c>
    </row>
    <row r="693" spans="1:9" ht="15" customHeight="1" x14ac:dyDescent="0.35">
      <c r="A693">
        <v>2019</v>
      </c>
      <c r="B693" t="s">
        <v>149</v>
      </c>
      <c r="C693">
        <v>2</v>
      </c>
      <c r="D693" t="s">
        <v>165</v>
      </c>
      <c r="E693">
        <v>2644</v>
      </c>
      <c r="F693">
        <v>2935</v>
      </c>
      <c r="G693">
        <v>2054</v>
      </c>
      <c r="H693" t="s">
        <v>124</v>
      </c>
      <c r="I693" t="s">
        <v>166</v>
      </c>
    </row>
    <row r="694" spans="1:9" ht="15" customHeight="1" x14ac:dyDescent="0.35">
      <c r="A694">
        <v>2019</v>
      </c>
      <c r="B694" t="s">
        <v>150</v>
      </c>
      <c r="C694">
        <v>3</v>
      </c>
      <c r="D694" t="s">
        <v>165</v>
      </c>
      <c r="E694">
        <v>2718</v>
      </c>
      <c r="F694">
        <v>3084</v>
      </c>
      <c r="G694">
        <v>2106</v>
      </c>
      <c r="H694" t="s">
        <v>124</v>
      </c>
      <c r="I694" t="s">
        <v>166</v>
      </c>
    </row>
    <row r="695" spans="1:9" ht="15" customHeight="1" x14ac:dyDescent="0.35">
      <c r="A695">
        <v>2019</v>
      </c>
      <c r="B695" t="s">
        <v>151</v>
      </c>
      <c r="C695">
        <v>4</v>
      </c>
      <c r="D695" t="s">
        <v>165</v>
      </c>
      <c r="E695">
        <v>2785</v>
      </c>
      <c r="F695">
        <v>3118</v>
      </c>
      <c r="G695">
        <v>1917</v>
      </c>
      <c r="H695" t="s">
        <v>71</v>
      </c>
      <c r="I695" t="s">
        <v>166</v>
      </c>
    </row>
    <row r="696" spans="1:9" ht="15" customHeight="1" x14ac:dyDescent="0.35">
      <c r="A696">
        <v>2019</v>
      </c>
      <c r="B696" t="s">
        <v>152</v>
      </c>
      <c r="C696">
        <v>5</v>
      </c>
      <c r="D696" t="s">
        <v>165</v>
      </c>
      <c r="E696">
        <v>2773</v>
      </c>
      <c r="F696">
        <v>3072</v>
      </c>
      <c r="G696">
        <v>2063</v>
      </c>
      <c r="H696" t="s">
        <v>71</v>
      </c>
      <c r="I696" t="s">
        <v>166</v>
      </c>
    </row>
    <row r="697" spans="1:9" ht="15" customHeight="1" x14ac:dyDescent="0.35">
      <c r="A697">
        <v>2019</v>
      </c>
      <c r="B697" t="s">
        <v>153</v>
      </c>
      <c r="C697">
        <v>6</v>
      </c>
      <c r="D697" t="s">
        <v>165</v>
      </c>
      <c r="E697">
        <v>2707</v>
      </c>
      <c r="F697">
        <v>3217</v>
      </c>
      <c r="G697">
        <v>2057</v>
      </c>
      <c r="H697" t="s">
        <v>71</v>
      </c>
      <c r="I697" t="s">
        <v>166</v>
      </c>
    </row>
    <row r="698" spans="1:9" ht="15" customHeight="1" x14ac:dyDescent="0.35">
      <c r="A698">
        <v>2019</v>
      </c>
      <c r="B698" t="s">
        <v>154</v>
      </c>
      <c r="C698">
        <v>7</v>
      </c>
      <c r="D698" t="s">
        <v>165</v>
      </c>
      <c r="E698">
        <v>2668</v>
      </c>
      <c r="F698">
        <v>2968</v>
      </c>
      <c r="G698">
        <v>2226</v>
      </c>
      <c r="H698" t="s">
        <v>71</v>
      </c>
      <c r="I698" t="s">
        <v>166</v>
      </c>
    </row>
    <row r="699" spans="1:9" ht="15" customHeight="1" x14ac:dyDescent="0.35">
      <c r="A699">
        <v>2019</v>
      </c>
      <c r="B699" t="s">
        <v>155</v>
      </c>
      <c r="C699">
        <v>8</v>
      </c>
      <c r="D699" t="s">
        <v>165</v>
      </c>
      <c r="E699">
        <v>2565</v>
      </c>
      <c r="F699">
        <v>2878</v>
      </c>
      <c r="G699">
        <v>2126</v>
      </c>
      <c r="H699" t="s">
        <v>71</v>
      </c>
      <c r="I699" t="s">
        <v>166</v>
      </c>
    </row>
    <row r="700" spans="1:9" ht="15" customHeight="1" x14ac:dyDescent="0.35">
      <c r="A700">
        <v>2019</v>
      </c>
      <c r="B700" t="s">
        <v>156</v>
      </c>
      <c r="C700">
        <v>9</v>
      </c>
      <c r="D700" t="s">
        <v>165</v>
      </c>
      <c r="E700">
        <v>2535</v>
      </c>
      <c r="F700">
        <v>2911</v>
      </c>
      <c r="G700">
        <v>2185</v>
      </c>
      <c r="H700" t="s">
        <v>71</v>
      </c>
      <c r="I700" t="s">
        <v>166</v>
      </c>
    </row>
    <row r="701" spans="1:9" ht="15" customHeight="1" x14ac:dyDescent="0.35">
      <c r="A701">
        <v>2019</v>
      </c>
      <c r="B701" t="s">
        <v>157</v>
      </c>
      <c r="C701">
        <v>10</v>
      </c>
      <c r="D701" t="s">
        <v>165</v>
      </c>
      <c r="E701">
        <v>2513</v>
      </c>
      <c r="F701">
        <v>2887</v>
      </c>
      <c r="G701">
        <v>1891</v>
      </c>
      <c r="H701" t="s">
        <v>71</v>
      </c>
      <c r="I701" t="s">
        <v>166</v>
      </c>
    </row>
    <row r="702" spans="1:9" ht="15" customHeight="1" x14ac:dyDescent="0.35">
      <c r="A702">
        <v>2019</v>
      </c>
      <c r="B702" t="s">
        <v>158</v>
      </c>
      <c r="C702">
        <v>11</v>
      </c>
      <c r="D702" t="s">
        <v>165</v>
      </c>
      <c r="E702">
        <v>2581</v>
      </c>
      <c r="F702">
        <v>2967</v>
      </c>
      <c r="G702">
        <v>2181</v>
      </c>
      <c r="H702" t="s">
        <v>71</v>
      </c>
      <c r="I702" t="s">
        <v>166</v>
      </c>
    </row>
    <row r="703" spans="1:9" ht="15" customHeight="1" x14ac:dyDescent="0.35">
      <c r="A703">
        <v>2019</v>
      </c>
      <c r="B703" t="s">
        <v>159</v>
      </c>
      <c r="C703">
        <v>12</v>
      </c>
      <c r="D703" t="s">
        <v>165</v>
      </c>
      <c r="E703">
        <v>2621</v>
      </c>
      <c r="F703">
        <v>2990</v>
      </c>
      <c r="G703">
        <v>2269</v>
      </c>
      <c r="H703" t="s">
        <v>71</v>
      </c>
      <c r="I703" t="s">
        <v>166</v>
      </c>
    </row>
    <row r="704" spans="1:9" ht="15" customHeight="1" x14ac:dyDescent="0.35">
      <c r="A704">
        <v>2020</v>
      </c>
      <c r="B704" t="s">
        <v>147</v>
      </c>
      <c r="C704">
        <v>1</v>
      </c>
      <c r="D704" t="s">
        <v>165</v>
      </c>
      <c r="E704">
        <v>2666</v>
      </c>
      <c r="F704">
        <v>3155</v>
      </c>
      <c r="G704">
        <v>2010</v>
      </c>
      <c r="H704" t="s">
        <v>71</v>
      </c>
      <c r="I704" t="s">
        <v>166</v>
      </c>
    </row>
    <row r="705" spans="1:9" ht="15" customHeight="1" x14ac:dyDescent="0.35">
      <c r="A705">
        <v>2020</v>
      </c>
      <c r="B705" t="s">
        <v>149</v>
      </c>
      <c r="C705">
        <v>2</v>
      </c>
      <c r="D705" t="s">
        <v>165</v>
      </c>
      <c r="E705">
        <v>2685</v>
      </c>
      <c r="F705">
        <v>3237</v>
      </c>
      <c r="G705">
        <v>2005</v>
      </c>
      <c r="H705" t="s">
        <v>71</v>
      </c>
      <c r="I705" t="s">
        <v>166</v>
      </c>
    </row>
    <row r="706" spans="1:9" ht="15" customHeight="1" x14ac:dyDescent="0.35">
      <c r="A706">
        <v>2020</v>
      </c>
      <c r="B706" t="s">
        <v>150</v>
      </c>
      <c r="C706">
        <v>3</v>
      </c>
      <c r="D706" t="s">
        <v>165</v>
      </c>
      <c r="E706">
        <v>2207</v>
      </c>
      <c r="F706">
        <v>2866</v>
      </c>
      <c r="G706">
        <v>1095</v>
      </c>
      <c r="H706" t="s">
        <v>71</v>
      </c>
      <c r="I706" t="s">
        <v>166</v>
      </c>
    </row>
    <row r="707" spans="1:9" ht="15" customHeight="1" x14ac:dyDescent="0.35">
      <c r="A707">
        <v>2020</v>
      </c>
      <c r="B707" t="s">
        <v>151</v>
      </c>
      <c r="C707">
        <v>4</v>
      </c>
      <c r="D707" t="s">
        <v>165</v>
      </c>
      <c r="E707">
        <v>1262</v>
      </c>
      <c r="F707">
        <v>1679</v>
      </c>
      <c r="G707">
        <v>944</v>
      </c>
      <c r="H707" t="s">
        <v>72</v>
      </c>
      <c r="I707" t="s">
        <v>166</v>
      </c>
    </row>
    <row r="708" spans="1:9" ht="15" customHeight="1" x14ac:dyDescent="0.35">
      <c r="A708">
        <v>2020</v>
      </c>
      <c r="B708" t="s">
        <v>152</v>
      </c>
      <c r="C708">
        <v>5</v>
      </c>
      <c r="D708" t="s">
        <v>165</v>
      </c>
      <c r="E708">
        <v>1996</v>
      </c>
      <c r="F708">
        <v>2483</v>
      </c>
      <c r="G708">
        <v>1149</v>
      </c>
      <c r="H708" t="s">
        <v>72</v>
      </c>
      <c r="I708" t="s">
        <v>166</v>
      </c>
    </row>
    <row r="709" spans="1:9" ht="15" customHeight="1" x14ac:dyDescent="0.35">
      <c r="A709">
        <v>2020</v>
      </c>
      <c r="B709" t="s">
        <v>153</v>
      </c>
      <c r="C709">
        <v>6</v>
      </c>
      <c r="D709" t="s">
        <v>165</v>
      </c>
      <c r="E709">
        <v>2504</v>
      </c>
      <c r="F709">
        <v>2866</v>
      </c>
      <c r="G709">
        <v>2101</v>
      </c>
      <c r="H709" t="s">
        <v>72</v>
      </c>
      <c r="I709" t="s">
        <v>166</v>
      </c>
    </row>
    <row r="710" spans="1:9" ht="15" customHeight="1" x14ac:dyDescent="0.35">
      <c r="A710">
        <v>2020</v>
      </c>
      <c r="B710" t="s">
        <v>154</v>
      </c>
      <c r="C710">
        <v>7</v>
      </c>
      <c r="D710" t="s">
        <v>165</v>
      </c>
      <c r="E710">
        <v>2623</v>
      </c>
      <c r="F710">
        <v>3298</v>
      </c>
      <c r="G710">
        <v>2012</v>
      </c>
      <c r="H710" t="s">
        <v>72</v>
      </c>
      <c r="I710" t="s">
        <v>166</v>
      </c>
    </row>
    <row r="711" spans="1:9" ht="15" customHeight="1" x14ac:dyDescent="0.35">
      <c r="A711">
        <v>2020</v>
      </c>
      <c r="B711" t="s">
        <v>155</v>
      </c>
      <c r="C711">
        <v>8</v>
      </c>
      <c r="D711" t="s">
        <v>165</v>
      </c>
      <c r="E711">
        <v>2614</v>
      </c>
      <c r="F711">
        <v>2853</v>
      </c>
      <c r="G711">
        <v>1943</v>
      </c>
      <c r="H711" t="s">
        <v>72</v>
      </c>
      <c r="I711" t="s">
        <v>166</v>
      </c>
    </row>
    <row r="712" spans="1:9" ht="15" customHeight="1" x14ac:dyDescent="0.35">
      <c r="A712">
        <v>2020</v>
      </c>
      <c r="B712" t="s">
        <v>156</v>
      </c>
      <c r="C712">
        <v>9</v>
      </c>
      <c r="D712" t="s">
        <v>165</v>
      </c>
      <c r="E712">
        <v>2682</v>
      </c>
      <c r="F712">
        <v>3032</v>
      </c>
      <c r="G712">
        <v>1896</v>
      </c>
      <c r="H712" t="s">
        <v>72</v>
      </c>
      <c r="I712" t="s">
        <v>166</v>
      </c>
    </row>
    <row r="713" spans="1:9" ht="15" customHeight="1" x14ac:dyDescent="0.35">
      <c r="A713">
        <v>2020</v>
      </c>
      <c r="B713" t="s">
        <v>157</v>
      </c>
      <c r="C713">
        <v>10</v>
      </c>
      <c r="D713" t="s">
        <v>165</v>
      </c>
      <c r="E713">
        <v>2740</v>
      </c>
      <c r="F713">
        <v>3403</v>
      </c>
      <c r="G713">
        <v>2110</v>
      </c>
      <c r="H713" t="s">
        <v>72</v>
      </c>
      <c r="I713" t="s">
        <v>166</v>
      </c>
    </row>
    <row r="714" spans="1:9" ht="15" customHeight="1" x14ac:dyDescent="0.35">
      <c r="A714">
        <v>2020</v>
      </c>
      <c r="B714" t="s">
        <v>158</v>
      </c>
      <c r="C714">
        <v>11</v>
      </c>
      <c r="D714" t="s">
        <v>165</v>
      </c>
      <c r="E714">
        <v>2629</v>
      </c>
      <c r="F714">
        <v>2956</v>
      </c>
      <c r="G714">
        <v>2244</v>
      </c>
      <c r="H714" t="s">
        <v>72</v>
      </c>
      <c r="I714" t="s">
        <v>166</v>
      </c>
    </row>
    <row r="715" spans="1:9" ht="15" customHeight="1" x14ac:dyDescent="0.35">
      <c r="A715">
        <v>2020</v>
      </c>
      <c r="B715" t="s">
        <v>159</v>
      </c>
      <c r="C715">
        <v>12</v>
      </c>
      <c r="D715" t="s">
        <v>165</v>
      </c>
      <c r="E715">
        <v>2654</v>
      </c>
      <c r="F715">
        <v>2955</v>
      </c>
      <c r="G715">
        <v>2337</v>
      </c>
      <c r="H715" t="s">
        <v>72</v>
      </c>
      <c r="I715" t="s">
        <v>166</v>
      </c>
    </row>
    <row r="716" spans="1:9" ht="15" customHeight="1" x14ac:dyDescent="0.35">
      <c r="A716">
        <v>2021</v>
      </c>
      <c r="B716" t="s">
        <v>147</v>
      </c>
      <c r="C716">
        <v>1</v>
      </c>
      <c r="D716" t="s">
        <v>165</v>
      </c>
      <c r="E716">
        <v>2690</v>
      </c>
      <c r="F716">
        <v>3453</v>
      </c>
      <c r="G716">
        <v>1732</v>
      </c>
      <c r="H716" t="s">
        <v>72</v>
      </c>
      <c r="I716" t="s">
        <v>166</v>
      </c>
    </row>
    <row r="717" spans="1:9" ht="15" customHeight="1" x14ac:dyDescent="0.35">
      <c r="A717">
        <v>2021</v>
      </c>
      <c r="B717" t="s">
        <v>149</v>
      </c>
      <c r="C717">
        <v>2</v>
      </c>
      <c r="D717" t="s">
        <v>165</v>
      </c>
      <c r="E717">
        <v>2721</v>
      </c>
      <c r="F717">
        <v>3071</v>
      </c>
      <c r="G717">
        <v>2357</v>
      </c>
      <c r="H717" t="s">
        <v>72</v>
      </c>
      <c r="I717" t="s">
        <v>166</v>
      </c>
    </row>
    <row r="718" spans="1:9" ht="15" customHeight="1" x14ac:dyDescent="0.35">
      <c r="A718">
        <v>2021</v>
      </c>
      <c r="B718" t="s">
        <v>150</v>
      </c>
      <c r="C718">
        <v>3</v>
      </c>
      <c r="D718" t="s">
        <v>165</v>
      </c>
      <c r="E718">
        <v>2845</v>
      </c>
      <c r="F718">
        <v>3207</v>
      </c>
      <c r="G718">
        <v>2329</v>
      </c>
      <c r="H718" t="s">
        <v>72</v>
      </c>
      <c r="I718" t="s">
        <v>166</v>
      </c>
    </row>
    <row r="719" spans="1:9" ht="15" customHeight="1" x14ac:dyDescent="0.35">
      <c r="A719">
        <v>2021</v>
      </c>
      <c r="B719" t="s">
        <v>151</v>
      </c>
      <c r="C719">
        <v>4</v>
      </c>
      <c r="D719" t="s">
        <v>165</v>
      </c>
      <c r="E719">
        <v>2834</v>
      </c>
      <c r="F719">
        <v>3204</v>
      </c>
      <c r="G719">
        <v>2005</v>
      </c>
      <c r="H719" t="s">
        <v>73</v>
      </c>
      <c r="I719" t="s">
        <v>166</v>
      </c>
    </row>
    <row r="720" spans="1:9" ht="15" customHeight="1" x14ac:dyDescent="0.35">
      <c r="A720">
        <v>2021</v>
      </c>
      <c r="B720" t="s">
        <v>152</v>
      </c>
      <c r="C720">
        <v>5</v>
      </c>
      <c r="D720" t="s">
        <v>165</v>
      </c>
      <c r="E720">
        <v>2568</v>
      </c>
      <c r="F720">
        <v>2888</v>
      </c>
      <c r="G720">
        <v>1863</v>
      </c>
      <c r="H720" t="s">
        <v>73</v>
      </c>
      <c r="I720" t="s">
        <v>166</v>
      </c>
    </row>
    <row r="721" spans="1:9" ht="15" customHeight="1" x14ac:dyDescent="0.35">
      <c r="A721">
        <v>2021</v>
      </c>
      <c r="B721" t="s">
        <v>153</v>
      </c>
      <c r="C721">
        <v>6</v>
      </c>
      <c r="D721" t="s">
        <v>165</v>
      </c>
      <c r="E721">
        <v>2763</v>
      </c>
      <c r="F721">
        <v>3350</v>
      </c>
      <c r="G721">
        <v>2268</v>
      </c>
      <c r="H721" t="s">
        <v>73</v>
      </c>
      <c r="I721" t="s">
        <v>166</v>
      </c>
    </row>
    <row r="722" spans="1:9" ht="15" customHeight="1" x14ac:dyDescent="0.35">
      <c r="A722">
        <v>2021</v>
      </c>
      <c r="B722" t="s">
        <v>154</v>
      </c>
      <c r="C722">
        <v>7</v>
      </c>
      <c r="D722" t="s">
        <v>165</v>
      </c>
      <c r="E722">
        <v>2657</v>
      </c>
      <c r="F722">
        <v>2983</v>
      </c>
      <c r="G722">
        <v>2044</v>
      </c>
      <c r="H722" t="s">
        <v>73</v>
      </c>
      <c r="I722" t="s">
        <v>166</v>
      </c>
    </row>
    <row r="723" spans="1:9" ht="15" customHeight="1" x14ac:dyDescent="0.35">
      <c r="A723">
        <v>2021</v>
      </c>
      <c r="B723" t="s">
        <v>155</v>
      </c>
      <c r="C723">
        <v>8</v>
      </c>
      <c r="D723" t="s">
        <v>165</v>
      </c>
      <c r="E723">
        <v>2743</v>
      </c>
      <c r="F723">
        <v>2976</v>
      </c>
      <c r="G723">
        <v>2346</v>
      </c>
      <c r="H723" t="s">
        <v>73</v>
      </c>
      <c r="I723" t="s">
        <v>166</v>
      </c>
    </row>
    <row r="724" spans="1:9" ht="15" customHeight="1" x14ac:dyDescent="0.35">
      <c r="A724">
        <v>2021</v>
      </c>
      <c r="B724" t="s">
        <v>156</v>
      </c>
      <c r="C724">
        <v>9</v>
      </c>
      <c r="D724" t="s">
        <v>165</v>
      </c>
      <c r="E724">
        <v>2732</v>
      </c>
      <c r="F724">
        <v>3071</v>
      </c>
      <c r="G724">
        <v>2069</v>
      </c>
      <c r="H724" t="s">
        <v>73</v>
      </c>
      <c r="I724" t="s">
        <v>166</v>
      </c>
    </row>
    <row r="725" spans="1:9" ht="15" customHeight="1" x14ac:dyDescent="0.35">
      <c r="A725">
        <v>2021</v>
      </c>
      <c r="B725" t="s">
        <v>157</v>
      </c>
      <c r="C725">
        <v>10</v>
      </c>
      <c r="D725" t="s">
        <v>165</v>
      </c>
      <c r="E725">
        <v>2656</v>
      </c>
      <c r="F725">
        <v>3053</v>
      </c>
      <c r="G725">
        <v>1773</v>
      </c>
      <c r="H725" t="s">
        <v>73</v>
      </c>
      <c r="I725" t="s">
        <v>166</v>
      </c>
    </row>
    <row r="726" spans="1:9" ht="15" customHeight="1" x14ac:dyDescent="0.35">
      <c r="A726">
        <v>2021</v>
      </c>
      <c r="B726" t="s">
        <v>158</v>
      </c>
      <c r="C726">
        <v>11</v>
      </c>
      <c r="D726" t="s">
        <v>165</v>
      </c>
      <c r="E726">
        <v>2722</v>
      </c>
      <c r="F726">
        <v>3101</v>
      </c>
      <c r="G726">
        <v>2365</v>
      </c>
      <c r="H726" t="s">
        <v>73</v>
      </c>
      <c r="I726" t="s">
        <v>166</v>
      </c>
    </row>
    <row r="727" spans="1:9" ht="15" customHeight="1" x14ac:dyDescent="0.35">
      <c r="A727">
        <v>2021</v>
      </c>
      <c r="B727" t="s">
        <v>159</v>
      </c>
      <c r="C727">
        <v>12</v>
      </c>
      <c r="D727" t="s">
        <v>165</v>
      </c>
      <c r="E727">
        <v>2755</v>
      </c>
      <c r="F727">
        <v>3114</v>
      </c>
      <c r="G727">
        <v>2224</v>
      </c>
      <c r="H727" t="s">
        <v>73</v>
      </c>
      <c r="I727" t="s">
        <v>166</v>
      </c>
    </row>
    <row r="728" spans="1:9" ht="15" customHeight="1" x14ac:dyDescent="0.35">
      <c r="A728">
        <v>2022</v>
      </c>
      <c r="B728" t="s">
        <v>147</v>
      </c>
      <c r="C728">
        <v>1</v>
      </c>
      <c r="D728" t="s">
        <v>165</v>
      </c>
      <c r="E728">
        <v>2842</v>
      </c>
      <c r="F728">
        <v>3749</v>
      </c>
      <c r="G728">
        <v>2295</v>
      </c>
      <c r="H728" t="s">
        <v>73</v>
      </c>
      <c r="I728" t="s">
        <v>166</v>
      </c>
    </row>
    <row r="729" spans="1:9" ht="15" customHeight="1" x14ac:dyDescent="0.35">
      <c r="A729">
        <v>2022</v>
      </c>
      <c r="B729" t="s">
        <v>149</v>
      </c>
      <c r="C729">
        <v>2</v>
      </c>
      <c r="D729" t="s">
        <v>165</v>
      </c>
      <c r="E729">
        <v>2882</v>
      </c>
      <c r="F729">
        <v>3394</v>
      </c>
      <c r="G729">
        <v>2236</v>
      </c>
      <c r="H729" t="s">
        <v>73</v>
      </c>
      <c r="I729" t="s">
        <v>166</v>
      </c>
    </row>
    <row r="730" spans="1:9" ht="15" customHeight="1" x14ac:dyDescent="0.35">
      <c r="A730">
        <v>2022</v>
      </c>
      <c r="B730" t="s">
        <v>150</v>
      </c>
      <c r="C730">
        <v>3</v>
      </c>
      <c r="D730" t="s">
        <v>165</v>
      </c>
      <c r="E730">
        <v>3063</v>
      </c>
      <c r="F730">
        <v>3793</v>
      </c>
      <c r="G730">
        <v>2369</v>
      </c>
      <c r="H730" t="s">
        <v>73</v>
      </c>
      <c r="I730" t="s">
        <v>166</v>
      </c>
    </row>
    <row r="731" spans="1:9" ht="15" customHeight="1" x14ac:dyDescent="0.35">
      <c r="A731">
        <v>2022</v>
      </c>
      <c r="B731" t="s">
        <v>151</v>
      </c>
      <c r="C731">
        <v>4</v>
      </c>
      <c r="D731" t="s">
        <v>165</v>
      </c>
      <c r="E731">
        <v>3208</v>
      </c>
      <c r="F731">
        <v>3556</v>
      </c>
      <c r="G731">
        <v>2531</v>
      </c>
      <c r="H731" t="s">
        <v>74</v>
      </c>
      <c r="I731" t="s">
        <v>166</v>
      </c>
    </row>
    <row r="732" spans="1:9" ht="15" customHeight="1" x14ac:dyDescent="0.35">
      <c r="A732">
        <v>2022</v>
      </c>
      <c r="B732" t="s">
        <v>152</v>
      </c>
      <c r="C732">
        <v>5</v>
      </c>
      <c r="D732" t="s">
        <v>165</v>
      </c>
      <c r="E732">
        <v>3152</v>
      </c>
      <c r="F732">
        <v>3991</v>
      </c>
      <c r="G732">
        <v>2231</v>
      </c>
      <c r="H732" t="s">
        <v>74</v>
      </c>
      <c r="I732" t="s">
        <v>166</v>
      </c>
    </row>
    <row r="733" spans="1:9" ht="15" customHeight="1" x14ac:dyDescent="0.35">
      <c r="A733">
        <v>2022</v>
      </c>
      <c r="B733" t="s">
        <v>153</v>
      </c>
      <c r="C733">
        <v>6</v>
      </c>
      <c r="D733" t="s">
        <v>165</v>
      </c>
      <c r="E733">
        <v>3164</v>
      </c>
      <c r="F733">
        <v>3502</v>
      </c>
      <c r="G733">
        <v>2757</v>
      </c>
      <c r="H733" t="s">
        <v>74</v>
      </c>
      <c r="I733" t="s">
        <v>166</v>
      </c>
    </row>
    <row r="734" spans="1:9" ht="15" customHeight="1" x14ac:dyDescent="0.35">
      <c r="A734">
        <v>2022</v>
      </c>
      <c r="B734" t="s">
        <v>154</v>
      </c>
      <c r="C734">
        <v>7</v>
      </c>
      <c r="D734" t="s">
        <v>165</v>
      </c>
      <c r="E734">
        <v>3176</v>
      </c>
      <c r="F734">
        <v>3416</v>
      </c>
      <c r="G734">
        <v>2676</v>
      </c>
      <c r="H734" t="s">
        <v>74</v>
      </c>
      <c r="I734" t="s">
        <v>166</v>
      </c>
    </row>
    <row r="735" spans="1:9" ht="15" customHeight="1" x14ac:dyDescent="0.35">
      <c r="A735">
        <v>2022</v>
      </c>
      <c r="B735" t="s">
        <v>155</v>
      </c>
      <c r="C735">
        <v>8</v>
      </c>
      <c r="D735" t="s">
        <v>165</v>
      </c>
      <c r="E735">
        <v>3034</v>
      </c>
      <c r="F735">
        <v>3584</v>
      </c>
      <c r="G735">
        <v>2568</v>
      </c>
      <c r="H735" t="s">
        <v>74</v>
      </c>
      <c r="I735" t="s">
        <v>166</v>
      </c>
    </row>
    <row r="736" spans="1:9" ht="15" customHeight="1" x14ac:dyDescent="0.35">
      <c r="A736">
        <v>2022</v>
      </c>
      <c r="B736" t="s">
        <v>156</v>
      </c>
      <c r="C736">
        <v>9</v>
      </c>
      <c r="D736" t="s">
        <v>165</v>
      </c>
      <c r="E736">
        <v>3041</v>
      </c>
      <c r="F736">
        <v>3401</v>
      </c>
      <c r="G736">
        <v>2627</v>
      </c>
      <c r="H736" t="s">
        <v>74</v>
      </c>
      <c r="I736" t="s">
        <v>166</v>
      </c>
    </row>
    <row r="737" spans="1:9" ht="15" customHeight="1" x14ac:dyDescent="0.35">
      <c r="A737">
        <v>2022</v>
      </c>
      <c r="B737" t="s">
        <v>157</v>
      </c>
      <c r="C737">
        <v>10</v>
      </c>
      <c r="D737" t="s">
        <v>165</v>
      </c>
      <c r="E737">
        <v>2941</v>
      </c>
      <c r="F737">
        <v>3234</v>
      </c>
      <c r="G737">
        <v>2571</v>
      </c>
      <c r="H737" t="s">
        <v>74</v>
      </c>
      <c r="I737" t="s">
        <v>166</v>
      </c>
    </row>
    <row r="738" spans="1:9" ht="15" customHeight="1" x14ac:dyDescent="0.35">
      <c r="A738">
        <v>2022</v>
      </c>
      <c r="B738" t="s">
        <v>158</v>
      </c>
      <c r="C738">
        <v>11</v>
      </c>
      <c r="D738" t="s">
        <v>165</v>
      </c>
      <c r="E738">
        <v>2896</v>
      </c>
      <c r="F738">
        <v>3160</v>
      </c>
      <c r="G738">
        <v>2546</v>
      </c>
      <c r="H738" t="s">
        <v>74</v>
      </c>
      <c r="I738" t="s">
        <v>166</v>
      </c>
    </row>
    <row r="739" spans="1:9" ht="15" customHeight="1" x14ac:dyDescent="0.35">
      <c r="A739">
        <v>2022</v>
      </c>
      <c r="B739" t="s">
        <v>159</v>
      </c>
      <c r="C739">
        <v>12</v>
      </c>
      <c r="D739" t="s">
        <v>165</v>
      </c>
      <c r="E739">
        <v>2915</v>
      </c>
      <c r="F739">
        <v>3327</v>
      </c>
      <c r="G739">
        <v>2369</v>
      </c>
      <c r="H739" t="s">
        <v>74</v>
      </c>
      <c r="I739" t="s">
        <v>166</v>
      </c>
    </row>
    <row r="740" spans="1:9" ht="15" customHeight="1" x14ac:dyDescent="0.35">
      <c r="A740">
        <v>2023</v>
      </c>
      <c r="B740" t="s">
        <v>147</v>
      </c>
      <c r="C740">
        <v>1</v>
      </c>
      <c r="D740" t="s">
        <v>165</v>
      </c>
      <c r="E740">
        <v>3104</v>
      </c>
      <c r="F740">
        <v>3408</v>
      </c>
      <c r="G740">
        <v>2709</v>
      </c>
      <c r="H740" t="s">
        <v>74</v>
      </c>
      <c r="I740" t="s">
        <v>166</v>
      </c>
    </row>
    <row r="741" spans="1:9" ht="15" customHeight="1" x14ac:dyDescent="0.35">
      <c r="A741">
        <v>2023</v>
      </c>
      <c r="B741" t="s">
        <v>149</v>
      </c>
      <c r="C741">
        <v>2</v>
      </c>
      <c r="D741" t="s">
        <v>165</v>
      </c>
      <c r="E741">
        <v>3149</v>
      </c>
      <c r="F741">
        <v>3460</v>
      </c>
      <c r="G741">
        <v>2796</v>
      </c>
      <c r="H741" t="s">
        <v>74</v>
      </c>
      <c r="I741" t="s">
        <v>166</v>
      </c>
    </row>
    <row r="742" spans="1:9" ht="15" customHeight="1" x14ac:dyDescent="0.35">
      <c r="A742">
        <v>2023</v>
      </c>
      <c r="B742" t="s">
        <v>150</v>
      </c>
      <c r="C742">
        <v>3</v>
      </c>
      <c r="D742" t="s">
        <v>165</v>
      </c>
      <c r="E742">
        <v>3101</v>
      </c>
      <c r="F742">
        <v>3415</v>
      </c>
      <c r="G742">
        <v>2475</v>
      </c>
      <c r="H742" t="s">
        <v>74</v>
      </c>
      <c r="I742" t="s">
        <v>166</v>
      </c>
    </row>
    <row r="743" spans="1:9" ht="15" customHeight="1" x14ac:dyDescent="0.35">
      <c r="A743">
        <v>2023</v>
      </c>
      <c r="B743" t="s">
        <v>151</v>
      </c>
      <c r="C743">
        <v>4</v>
      </c>
      <c r="D743" t="s">
        <v>165</v>
      </c>
      <c r="E743">
        <v>3231</v>
      </c>
      <c r="F743">
        <v>3520</v>
      </c>
      <c r="G743">
        <v>2655</v>
      </c>
      <c r="H743" t="s">
        <v>75</v>
      </c>
      <c r="I743" t="s">
        <v>166</v>
      </c>
    </row>
    <row r="744" spans="1:9" ht="15" customHeight="1" x14ac:dyDescent="0.35">
      <c r="A744">
        <v>2023</v>
      </c>
      <c r="B744" t="s">
        <v>152</v>
      </c>
      <c r="C744">
        <v>5</v>
      </c>
      <c r="D744" t="s">
        <v>165</v>
      </c>
      <c r="E744">
        <v>3188</v>
      </c>
      <c r="F744">
        <v>3506</v>
      </c>
      <c r="G744">
        <v>2190</v>
      </c>
      <c r="H744" t="s">
        <v>75</v>
      </c>
      <c r="I744" t="s">
        <v>166</v>
      </c>
    </row>
    <row r="745" spans="1:9" ht="15" customHeight="1" x14ac:dyDescent="0.35">
      <c r="A745">
        <v>2023</v>
      </c>
      <c r="B745" t="s">
        <v>153</v>
      </c>
      <c r="C745">
        <v>6</v>
      </c>
      <c r="D745" t="s">
        <v>165</v>
      </c>
      <c r="E745">
        <v>3234</v>
      </c>
      <c r="F745">
        <v>3468</v>
      </c>
      <c r="G745">
        <v>2899</v>
      </c>
      <c r="H745" t="s">
        <v>75</v>
      </c>
      <c r="I745" t="s">
        <v>166</v>
      </c>
    </row>
    <row r="746" spans="1:9" ht="15" customHeight="1" x14ac:dyDescent="0.35">
      <c r="A746">
        <v>2023</v>
      </c>
      <c r="B746" t="s">
        <v>154</v>
      </c>
      <c r="C746">
        <v>7</v>
      </c>
      <c r="D746" t="s">
        <v>165</v>
      </c>
      <c r="E746">
        <v>3169</v>
      </c>
      <c r="F746">
        <v>3560</v>
      </c>
      <c r="G746">
        <v>2642</v>
      </c>
      <c r="H746" t="s">
        <v>75</v>
      </c>
      <c r="I746" t="s">
        <v>166</v>
      </c>
    </row>
    <row r="747" spans="1:9" ht="15" customHeight="1" x14ac:dyDescent="0.35">
      <c r="A747">
        <v>2023</v>
      </c>
      <c r="B747" t="s">
        <v>155</v>
      </c>
      <c r="C747">
        <v>8</v>
      </c>
      <c r="D747" t="s">
        <v>165</v>
      </c>
      <c r="E747">
        <v>3153</v>
      </c>
      <c r="F747">
        <v>3562</v>
      </c>
      <c r="G747">
        <v>2482</v>
      </c>
      <c r="H747" t="s">
        <v>75</v>
      </c>
      <c r="I747" t="s">
        <v>166</v>
      </c>
    </row>
    <row r="748" spans="1:9" ht="15" customHeight="1" x14ac:dyDescent="0.35">
      <c r="A748">
        <v>2023</v>
      </c>
      <c r="B748" t="s">
        <v>156</v>
      </c>
      <c r="C748">
        <v>9</v>
      </c>
      <c r="D748" t="s">
        <v>165</v>
      </c>
      <c r="E748">
        <v>3298</v>
      </c>
      <c r="F748">
        <v>3810</v>
      </c>
      <c r="G748">
        <v>2793</v>
      </c>
      <c r="H748" t="s">
        <v>75</v>
      </c>
      <c r="I748" t="s">
        <v>166</v>
      </c>
    </row>
    <row r="749" spans="1:9" ht="15" customHeight="1" x14ac:dyDescent="0.35">
      <c r="A749">
        <v>2023</v>
      </c>
      <c r="B749" t="s">
        <v>157</v>
      </c>
      <c r="C749">
        <v>10</v>
      </c>
      <c r="D749" t="s">
        <v>165</v>
      </c>
      <c r="E749">
        <v>2976</v>
      </c>
      <c r="F749">
        <v>3395</v>
      </c>
      <c r="G749">
        <v>2578</v>
      </c>
      <c r="H749" t="s">
        <v>75</v>
      </c>
      <c r="I749" t="s">
        <v>166</v>
      </c>
    </row>
    <row r="750" spans="1:9" ht="15" customHeight="1" x14ac:dyDescent="0.35">
      <c r="A750">
        <v>2023</v>
      </c>
      <c r="B750" t="s">
        <v>158</v>
      </c>
      <c r="C750">
        <v>11</v>
      </c>
      <c r="D750" t="s">
        <v>165</v>
      </c>
      <c r="E750">
        <v>2964</v>
      </c>
      <c r="F750">
        <v>3251</v>
      </c>
      <c r="G750">
        <v>2608</v>
      </c>
      <c r="H750" t="s">
        <v>75</v>
      </c>
      <c r="I750" t="s">
        <v>166</v>
      </c>
    </row>
    <row r="751" spans="1:9" ht="15" customHeight="1" x14ac:dyDescent="0.35">
      <c r="A751">
        <v>2023</v>
      </c>
      <c r="B751" t="s">
        <v>159</v>
      </c>
      <c r="C751">
        <v>12</v>
      </c>
      <c r="D751" t="s">
        <v>165</v>
      </c>
      <c r="E751">
        <v>2984</v>
      </c>
      <c r="F751">
        <v>3318</v>
      </c>
      <c r="G751">
        <v>2601</v>
      </c>
      <c r="H751" t="s">
        <v>75</v>
      </c>
      <c r="I751" t="s">
        <v>166</v>
      </c>
    </row>
    <row r="752" spans="1:9" ht="15" customHeight="1" x14ac:dyDescent="0.35">
      <c r="A752">
        <v>2024</v>
      </c>
      <c r="B752" t="s">
        <v>147</v>
      </c>
      <c r="C752">
        <v>1</v>
      </c>
      <c r="D752" t="s">
        <v>165</v>
      </c>
      <c r="E752">
        <v>3021</v>
      </c>
      <c r="F752">
        <v>3329</v>
      </c>
      <c r="G752">
        <v>2578</v>
      </c>
      <c r="H752" t="s">
        <v>75</v>
      </c>
      <c r="I752" t="s">
        <v>166</v>
      </c>
    </row>
    <row r="753" spans="1:9" ht="15" customHeight="1" x14ac:dyDescent="0.35">
      <c r="A753">
        <v>2024</v>
      </c>
      <c r="B753" t="s">
        <v>149</v>
      </c>
      <c r="C753">
        <v>2</v>
      </c>
      <c r="D753" t="s">
        <v>165</v>
      </c>
      <c r="E753">
        <v>2993</v>
      </c>
      <c r="F753">
        <v>3364</v>
      </c>
      <c r="G753">
        <v>2527</v>
      </c>
      <c r="H753" t="s">
        <v>75</v>
      </c>
      <c r="I753" t="s">
        <v>166</v>
      </c>
    </row>
    <row r="754" spans="1:9" ht="15" customHeight="1" x14ac:dyDescent="0.35">
      <c r="A754">
        <v>2024</v>
      </c>
      <c r="B754" t="s">
        <v>150</v>
      </c>
      <c r="C754">
        <v>3</v>
      </c>
      <c r="D754" t="s">
        <v>165</v>
      </c>
      <c r="E754">
        <v>3014</v>
      </c>
      <c r="F754">
        <v>3503</v>
      </c>
      <c r="G754">
        <v>2351</v>
      </c>
      <c r="H754" t="s">
        <v>75</v>
      </c>
      <c r="I754" t="s">
        <v>166</v>
      </c>
    </row>
    <row r="755" spans="1:9" ht="15" customHeight="1" x14ac:dyDescent="0.35">
      <c r="A755">
        <v>2024</v>
      </c>
      <c r="B755" t="s">
        <v>151</v>
      </c>
      <c r="C755">
        <v>4</v>
      </c>
      <c r="D755" t="s">
        <v>165</v>
      </c>
      <c r="E755">
        <v>3017</v>
      </c>
      <c r="F755">
        <v>3503</v>
      </c>
      <c r="G755">
        <v>2486</v>
      </c>
      <c r="H755" t="s">
        <v>77</v>
      </c>
      <c r="I755" t="s">
        <v>166</v>
      </c>
    </row>
    <row r="756" spans="1:9" ht="15" customHeight="1" x14ac:dyDescent="0.35">
      <c r="A756">
        <v>2024</v>
      </c>
      <c r="B756" t="s">
        <v>152</v>
      </c>
      <c r="C756">
        <v>5</v>
      </c>
      <c r="D756" t="s">
        <v>165</v>
      </c>
      <c r="E756">
        <v>3207</v>
      </c>
      <c r="F756">
        <v>3697</v>
      </c>
      <c r="G756">
        <v>2213</v>
      </c>
      <c r="H756" t="s">
        <v>77</v>
      </c>
      <c r="I756" t="s">
        <v>166</v>
      </c>
    </row>
    <row r="757" spans="1:9" ht="15" customHeight="1" x14ac:dyDescent="0.35">
      <c r="A757">
        <v>2024</v>
      </c>
      <c r="B757" t="s">
        <v>153</v>
      </c>
      <c r="C757">
        <v>6</v>
      </c>
      <c r="D757" t="s">
        <v>165</v>
      </c>
      <c r="E757">
        <v>3280</v>
      </c>
      <c r="F757">
        <v>3661</v>
      </c>
      <c r="G757">
        <v>2255</v>
      </c>
      <c r="H757" t="s">
        <v>77</v>
      </c>
      <c r="I757" t="s">
        <v>166</v>
      </c>
    </row>
    <row r="758" spans="1:9" ht="15" customHeight="1" x14ac:dyDescent="0.35">
      <c r="A758">
        <v>2024</v>
      </c>
      <c r="B758" t="s">
        <v>154</v>
      </c>
      <c r="C758">
        <v>7</v>
      </c>
      <c r="D758" t="s">
        <v>165</v>
      </c>
      <c r="E758">
        <v>3191</v>
      </c>
      <c r="F758">
        <v>3595</v>
      </c>
      <c r="G758">
        <v>2298</v>
      </c>
      <c r="H758" t="s">
        <v>77</v>
      </c>
      <c r="I758" t="s">
        <v>166</v>
      </c>
    </row>
    <row r="759" spans="1:9" ht="15" customHeight="1" x14ac:dyDescent="0.35">
      <c r="A759">
        <v>2024</v>
      </c>
      <c r="B759" t="s">
        <v>155</v>
      </c>
      <c r="C759">
        <v>8</v>
      </c>
      <c r="D759" t="s">
        <v>165</v>
      </c>
      <c r="E759">
        <v>3045</v>
      </c>
      <c r="F759">
        <v>3418</v>
      </c>
      <c r="G759">
        <v>2333</v>
      </c>
      <c r="H759" t="s">
        <v>77</v>
      </c>
      <c r="I759" t="s">
        <v>166</v>
      </c>
    </row>
    <row r="760" spans="1:9" ht="15" customHeight="1" x14ac:dyDescent="0.35">
      <c r="A760">
        <v>2024</v>
      </c>
      <c r="B760" t="s">
        <v>156</v>
      </c>
      <c r="C760">
        <v>9</v>
      </c>
      <c r="D760" t="s">
        <v>165</v>
      </c>
      <c r="E760">
        <v>3125</v>
      </c>
      <c r="F760">
        <v>3924</v>
      </c>
      <c r="G760">
        <v>2411</v>
      </c>
      <c r="H760" t="s">
        <v>77</v>
      </c>
      <c r="I760" t="s">
        <v>166</v>
      </c>
    </row>
    <row r="761" spans="1:9" ht="15" customHeight="1" x14ac:dyDescent="0.35">
      <c r="A761">
        <v>2024</v>
      </c>
      <c r="B761" t="s">
        <v>157</v>
      </c>
      <c r="C761">
        <v>10</v>
      </c>
      <c r="D761" t="s">
        <v>165</v>
      </c>
      <c r="E761">
        <v>3088</v>
      </c>
      <c r="F761">
        <v>3452</v>
      </c>
      <c r="G761">
        <v>2722</v>
      </c>
      <c r="H761" t="s">
        <v>77</v>
      </c>
      <c r="I761" t="s">
        <v>166</v>
      </c>
    </row>
    <row r="762" spans="1:9" ht="15" customHeight="1" x14ac:dyDescent="0.35">
      <c r="A762">
        <v>2024</v>
      </c>
      <c r="B762" t="s">
        <v>158</v>
      </c>
      <c r="C762">
        <v>11</v>
      </c>
      <c r="D762" t="s">
        <v>165</v>
      </c>
      <c r="E762">
        <v>2857</v>
      </c>
      <c r="F762">
        <v>3193</v>
      </c>
      <c r="G762">
        <v>2193</v>
      </c>
      <c r="H762" t="s">
        <v>77</v>
      </c>
      <c r="I762" t="s">
        <v>166</v>
      </c>
    </row>
    <row r="763" spans="1:9" ht="15" customHeight="1" x14ac:dyDescent="0.35">
      <c r="A763">
        <v>2024</v>
      </c>
      <c r="B763" t="s">
        <v>159</v>
      </c>
      <c r="C763">
        <v>12</v>
      </c>
      <c r="D763" t="s">
        <v>165</v>
      </c>
      <c r="E763">
        <v>2971</v>
      </c>
      <c r="F763">
        <v>3342</v>
      </c>
      <c r="G763">
        <v>2616</v>
      </c>
      <c r="H763" t="s">
        <v>77</v>
      </c>
      <c r="I763" t="s">
        <v>166</v>
      </c>
    </row>
    <row r="764" spans="1:9" ht="15" customHeight="1" x14ac:dyDescent="0.35">
      <c r="A764">
        <v>2025</v>
      </c>
      <c r="B764" t="s">
        <v>147</v>
      </c>
      <c r="C764">
        <v>1</v>
      </c>
      <c r="D764" t="s">
        <v>165</v>
      </c>
      <c r="E764">
        <v>2990</v>
      </c>
      <c r="F764">
        <v>3461</v>
      </c>
      <c r="G764">
        <v>2642</v>
      </c>
      <c r="H764" t="s">
        <v>77</v>
      </c>
      <c r="I764" t="s">
        <v>166</v>
      </c>
    </row>
    <row r="765" spans="1:9" ht="15" customHeight="1" x14ac:dyDescent="0.35">
      <c r="A765">
        <v>2025</v>
      </c>
      <c r="B765" t="s">
        <v>149</v>
      </c>
      <c r="C765">
        <v>2</v>
      </c>
      <c r="D765" t="s">
        <v>165</v>
      </c>
      <c r="E765">
        <v>2882</v>
      </c>
      <c r="F765">
        <v>3270</v>
      </c>
      <c r="G765">
        <v>2388</v>
      </c>
      <c r="H765" t="s">
        <v>77</v>
      </c>
      <c r="I765" t="s">
        <v>166</v>
      </c>
    </row>
    <row r="766" spans="1:9" ht="15" customHeight="1" x14ac:dyDescent="0.35">
      <c r="A766">
        <v>2025</v>
      </c>
      <c r="B766" t="s">
        <v>150</v>
      </c>
      <c r="C766">
        <v>3</v>
      </c>
      <c r="D766" t="s">
        <v>165</v>
      </c>
      <c r="E766">
        <v>2920</v>
      </c>
      <c r="F766">
        <v>3385</v>
      </c>
      <c r="G766">
        <v>2308</v>
      </c>
      <c r="H766" t="s">
        <v>77</v>
      </c>
      <c r="I766" t="s">
        <v>166</v>
      </c>
    </row>
    <row r="767" spans="1:9" ht="15" customHeight="1" x14ac:dyDescent="0.35">
      <c r="A767">
        <v>2025</v>
      </c>
      <c r="B767" t="s">
        <v>151</v>
      </c>
      <c r="C767">
        <v>4</v>
      </c>
      <c r="D767" t="s">
        <v>165</v>
      </c>
      <c r="E767">
        <v>2929</v>
      </c>
      <c r="F767">
        <v>3464</v>
      </c>
      <c r="G767">
        <v>2020</v>
      </c>
      <c r="H767" t="s">
        <v>78</v>
      </c>
      <c r="I767" t="s">
        <v>166</v>
      </c>
    </row>
    <row r="768" spans="1:9" ht="15" customHeight="1" x14ac:dyDescent="0.35">
      <c r="A768">
        <v>2025</v>
      </c>
      <c r="B768" t="s">
        <v>152</v>
      </c>
      <c r="C768">
        <v>5</v>
      </c>
      <c r="D768" t="s">
        <v>165</v>
      </c>
      <c r="E768">
        <v>2912</v>
      </c>
      <c r="F768">
        <v>3334</v>
      </c>
      <c r="G768">
        <v>1774</v>
      </c>
      <c r="H768" t="s">
        <v>78</v>
      </c>
      <c r="I768" t="s">
        <v>166</v>
      </c>
    </row>
    <row r="769" spans="1:9" ht="15" customHeight="1" x14ac:dyDescent="0.35">
      <c r="A769">
        <v>2025</v>
      </c>
      <c r="B769" t="s">
        <v>153</v>
      </c>
      <c r="C769">
        <v>6</v>
      </c>
      <c r="D769" t="s">
        <v>165</v>
      </c>
      <c r="E769">
        <v>2887</v>
      </c>
      <c r="F769">
        <v>3224</v>
      </c>
      <c r="G769">
        <v>2183</v>
      </c>
      <c r="H769" t="s">
        <v>78</v>
      </c>
      <c r="I769" t="s">
        <v>166</v>
      </c>
    </row>
    <row r="770" spans="1:9" ht="15" customHeight="1" x14ac:dyDescent="0.35">
      <c r="A770">
        <v>2025</v>
      </c>
      <c r="B770" t="s">
        <v>154</v>
      </c>
      <c r="C770">
        <v>7</v>
      </c>
      <c r="D770" t="s">
        <v>165</v>
      </c>
      <c r="E770">
        <v>2777</v>
      </c>
      <c r="F770">
        <v>3142</v>
      </c>
      <c r="G770">
        <v>2284</v>
      </c>
      <c r="H770" t="s">
        <v>78</v>
      </c>
      <c r="I770" t="s">
        <v>166</v>
      </c>
    </row>
    <row r="771" spans="1:9" ht="15" customHeight="1" x14ac:dyDescent="0.35">
      <c r="A771">
        <v>2025</v>
      </c>
      <c r="B771" t="s">
        <v>155</v>
      </c>
      <c r="C771">
        <v>8</v>
      </c>
      <c r="D771" t="s">
        <v>165</v>
      </c>
      <c r="E771">
        <v>2836</v>
      </c>
      <c r="F771">
        <v>3179</v>
      </c>
      <c r="G771">
        <v>2397</v>
      </c>
      <c r="H771" t="s">
        <v>78</v>
      </c>
      <c r="I771" t="s">
        <v>166</v>
      </c>
    </row>
    <row r="772" spans="1:9" ht="15" customHeight="1" x14ac:dyDescent="0.35">
      <c r="A772">
        <v>2025</v>
      </c>
      <c r="B772" t="s">
        <v>156</v>
      </c>
      <c r="C772">
        <v>9</v>
      </c>
      <c r="D772" t="s">
        <v>165</v>
      </c>
      <c r="E772">
        <v>2803</v>
      </c>
      <c r="F772">
        <v>3265</v>
      </c>
      <c r="G772">
        <v>2197</v>
      </c>
      <c r="H772" t="s">
        <v>78</v>
      </c>
      <c r="I772" t="s">
        <v>166</v>
      </c>
    </row>
    <row r="773" spans="1:9" ht="15" customHeight="1" x14ac:dyDescent="0.35">
      <c r="A773">
        <v>2025</v>
      </c>
      <c r="B773" t="s">
        <v>157</v>
      </c>
      <c r="C773">
        <v>10</v>
      </c>
      <c r="D773" t="s">
        <v>165</v>
      </c>
      <c r="E773">
        <v>2722</v>
      </c>
      <c r="F773">
        <v>3304</v>
      </c>
      <c r="G773">
        <v>2063</v>
      </c>
      <c r="H773" t="s">
        <v>78</v>
      </c>
      <c r="I773" t="s">
        <v>166</v>
      </c>
    </row>
    <row r="774" spans="1:9" ht="15" customHeight="1" x14ac:dyDescent="0.35">
      <c r="A774">
        <v>2025</v>
      </c>
      <c r="B774" t="s">
        <v>158</v>
      </c>
      <c r="C774">
        <v>11</v>
      </c>
      <c r="D774" t="s">
        <v>165</v>
      </c>
      <c r="E774">
        <v>2681</v>
      </c>
      <c r="F774">
        <v>3032</v>
      </c>
      <c r="G774">
        <v>2197</v>
      </c>
      <c r="H774" t="s">
        <v>78</v>
      </c>
      <c r="I774" t="s">
        <v>166</v>
      </c>
    </row>
    <row r="775" spans="1:9" ht="15" customHeight="1" x14ac:dyDescent="0.35">
      <c r="A775">
        <v>2025</v>
      </c>
      <c r="B775" t="s">
        <v>159</v>
      </c>
      <c r="C775">
        <v>12</v>
      </c>
      <c r="D775" t="s">
        <v>165</v>
      </c>
      <c r="E775">
        <v>2819</v>
      </c>
      <c r="F775">
        <v>3268</v>
      </c>
      <c r="G775">
        <v>2391</v>
      </c>
      <c r="H775" t="s">
        <v>78</v>
      </c>
      <c r="I775" t="s">
        <v>166</v>
      </c>
    </row>
    <row r="776" spans="1:9" ht="15" customHeight="1" x14ac:dyDescent="0.35">
      <c r="A776">
        <v>2026</v>
      </c>
      <c r="B776" t="s">
        <v>147</v>
      </c>
      <c r="C776">
        <v>1</v>
      </c>
      <c r="D776" t="s">
        <v>165</v>
      </c>
      <c r="E776">
        <v>2853</v>
      </c>
      <c r="F776">
        <v>3301</v>
      </c>
      <c r="G776">
        <v>2244</v>
      </c>
      <c r="H776" t="s">
        <v>78</v>
      </c>
      <c r="I776" t="s">
        <v>166</v>
      </c>
    </row>
    <row r="777" spans="1:9" ht="15" customHeight="1" x14ac:dyDescent="0.35">
      <c r="A777">
        <v>2026</v>
      </c>
      <c r="B777" t="s">
        <v>149</v>
      </c>
      <c r="C777">
        <v>2</v>
      </c>
      <c r="D777" t="s">
        <v>165</v>
      </c>
      <c r="E777">
        <v>2899</v>
      </c>
      <c r="F777">
        <v>3564</v>
      </c>
      <c r="G777">
        <v>1816</v>
      </c>
      <c r="H777" t="s">
        <v>78</v>
      </c>
      <c r="I777" t="s">
        <v>166</v>
      </c>
    </row>
    <row r="778" spans="1:9" ht="15" customHeight="1" x14ac:dyDescent="0.35">
      <c r="A778">
        <v>2026</v>
      </c>
      <c r="B778" t="s">
        <v>150</v>
      </c>
      <c r="C778">
        <v>3</v>
      </c>
      <c r="D778" t="s">
        <v>165</v>
      </c>
      <c r="E778">
        <v>2853</v>
      </c>
      <c r="F778">
        <v>3301</v>
      </c>
      <c r="G778">
        <v>2244</v>
      </c>
      <c r="H778" t="s">
        <v>78</v>
      </c>
      <c r="I778" t="s">
        <v>166</v>
      </c>
    </row>
    <row r="779" spans="1:9" ht="15" customHeight="1" x14ac:dyDescent="0.35">
      <c r="A779">
        <v>2017</v>
      </c>
      <c r="B779" t="s">
        <v>147</v>
      </c>
      <c r="C779">
        <v>1</v>
      </c>
      <c r="D779" t="s">
        <v>86</v>
      </c>
      <c r="E779">
        <v>913</v>
      </c>
      <c r="F779">
        <v>1017</v>
      </c>
      <c r="G779">
        <v>643</v>
      </c>
      <c r="H779" t="s">
        <v>122</v>
      </c>
      <c r="I779" t="s">
        <v>167</v>
      </c>
    </row>
    <row r="780" spans="1:9" ht="15" customHeight="1" x14ac:dyDescent="0.35">
      <c r="A780">
        <v>2017</v>
      </c>
      <c r="B780" t="s">
        <v>149</v>
      </c>
      <c r="C780">
        <v>2</v>
      </c>
      <c r="D780" t="s">
        <v>86</v>
      </c>
      <c r="E780">
        <v>969</v>
      </c>
      <c r="F780">
        <v>1032</v>
      </c>
      <c r="G780">
        <v>886</v>
      </c>
      <c r="H780" t="s">
        <v>122</v>
      </c>
      <c r="I780" t="s">
        <v>167</v>
      </c>
    </row>
    <row r="781" spans="1:9" ht="15" customHeight="1" x14ac:dyDescent="0.35">
      <c r="A781">
        <v>2017</v>
      </c>
      <c r="B781" t="s">
        <v>150</v>
      </c>
      <c r="C781">
        <v>3</v>
      </c>
      <c r="D781" t="s">
        <v>86</v>
      </c>
      <c r="E781">
        <v>954</v>
      </c>
      <c r="F781">
        <v>1072</v>
      </c>
      <c r="G781">
        <v>459</v>
      </c>
      <c r="H781" t="s">
        <v>122</v>
      </c>
      <c r="I781" t="s">
        <v>167</v>
      </c>
    </row>
    <row r="782" spans="1:9" ht="15" customHeight="1" x14ac:dyDescent="0.35">
      <c r="A782">
        <v>2017</v>
      </c>
      <c r="B782" t="s">
        <v>151</v>
      </c>
      <c r="C782">
        <v>4</v>
      </c>
      <c r="D782" t="s">
        <v>86</v>
      </c>
      <c r="E782">
        <v>977</v>
      </c>
      <c r="F782">
        <v>1108</v>
      </c>
      <c r="G782">
        <v>870</v>
      </c>
      <c r="H782" t="s">
        <v>123</v>
      </c>
      <c r="I782" t="s">
        <v>167</v>
      </c>
    </row>
    <row r="783" spans="1:9" ht="15" customHeight="1" x14ac:dyDescent="0.35">
      <c r="A783">
        <v>2017</v>
      </c>
      <c r="B783" t="s">
        <v>152</v>
      </c>
      <c r="C783">
        <v>5</v>
      </c>
      <c r="D783" t="s">
        <v>86</v>
      </c>
      <c r="E783">
        <v>973</v>
      </c>
      <c r="F783">
        <v>1054</v>
      </c>
      <c r="G783">
        <v>704</v>
      </c>
      <c r="H783" t="s">
        <v>123</v>
      </c>
      <c r="I783" t="s">
        <v>167</v>
      </c>
    </row>
    <row r="784" spans="1:9" ht="15" customHeight="1" x14ac:dyDescent="0.35">
      <c r="A784">
        <v>2017</v>
      </c>
      <c r="B784" t="s">
        <v>153</v>
      </c>
      <c r="C784">
        <v>6</v>
      </c>
      <c r="D784" t="s">
        <v>86</v>
      </c>
      <c r="E784">
        <v>964</v>
      </c>
      <c r="F784">
        <v>1054</v>
      </c>
      <c r="G784">
        <v>787</v>
      </c>
      <c r="H784" t="s">
        <v>123</v>
      </c>
      <c r="I784" t="s">
        <v>167</v>
      </c>
    </row>
    <row r="785" spans="1:9" ht="15" customHeight="1" x14ac:dyDescent="0.35">
      <c r="A785">
        <v>2017</v>
      </c>
      <c r="B785" t="s">
        <v>154</v>
      </c>
      <c r="C785">
        <v>7</v>
      </c>
      <c r="D785" t="s">
        <v>86</v>
      </c>
      <c r="E785">
        <v>940</v>
      </c>
      <c r="F785">
        <v>1084</v>
      </c>
      <c r="G785">
        <v>756</v>
      </c>
      <c r="H785" t="s">
        <v>123</v>
      </c>
      <c r="I785" t="s">
        <v>167</v>
      </c>
    </row>
    <row r="786" spans="1:9" ht="15" customHeight="1" x14ac:dyDescent="0.35">
      <c r="A786">
        <v>2017</v>
      </c>
      <c r="B786" t="s">
        <v>155</v>
      </c>
      <c r="C786">
        <v>8</v>
      </c>
      <c r="D786" t="s">
        <v>86</v>
      </c>
      <c r="E786">
        <v>967</v>
      </c>
      <c r="F786">
        <v>1055</v>
      </c>
      <c r="G786">
        <v>660</v>
      </c>
      <c r="H786" t="s">
        <v>123</v>
      </c>
      <c r="I786" t="s">
        <v>167</v>
      </c>
    </row>
    <row r="787" spans="1:9" ht="15" customHeight="1" x14ac:dyDescent="0.35">
      <c r="A787">
        <v>2017</v>
      </c>
      <c r="B787" t="s">
        <v>156</v>
      </c>
      <c r="C787">
        <v>9</v>
      </c>
      <c r="D787" t="s">
        <v>86</v>
      </c>
      <c r="E787">
        <v>991</v>
      </c>
      <c r="F787">
        <v>1080</v>
      </c>
      <c r="G787">
        <v>722</v>
      </c>
      <c r="H787" t="s">
        <v>123</v>
      </c>
      <c r="I787" t="s">
        <v>167</v>
      </c>
    </row>
    <row r="788" spans="1:9" ht="15" customHeight="1" x14ac:dyDescent="0.35">
      <c r="A788">
        <v>2017</v>
      </c>
      <c r="B788" t="s">
        <v>157</v>
      </c>
      <c r="C788">
        <v>10</v>
      </c>
      <c r="D788" t="s">
        <v>86</v>
      </c>
      <c r="E788">
        <v>967</v>
      </c>
      <c r="F788">
        <v>1091</v>
      </c>
      <c r="G788">
        <v>514</v>
      </c>
      <c r="H788" t="s">
        <v>123</v>
      </c>
      <c r="I788" t="s">
        <v>167</v>
      </c>
    </row>
    <row r="789" spans="1:9" ht="15" customHeight="1" x14ac:dyDescent="0.35">
      <c r="A789">
        <v>2017</v>
      </c>
      <c r="B789" t="s">
        <v>158</v>
      </c>
      <c r="C789">
        <v>11</v>
      </c>
      <c r="D789" t="s">
        <v>86</v>
      </c>
      <c r="E789">
        <v>998</v>
      </c>
      <c r="F789">
        <v>1089</v>
      </c>
      <c r="G789">
        <v>918</v>
      </c>
      <c r="H789" t="s">
        <v>123</v>
      </c>
      <c r="I789" t="s">
        <v>167</v>
      </c>
    </row>
    <row r="790" spans="1:9" ht="15" customHeight="1" x14ac:dyDescent="0.35">
      <c r="A790">
        <v>2017</v>
      </c>
      <c r="B790" t="s">
        <v>159</v>
      </c>
      <c r="C790">
        <v>12</v>
      </c>
      <c r="D790" t="s">
        <v>86</v>
      </c>
      <c r="E790">
        <v>999</v>
      </c>
      <c r="F790">
        <v>1075</v>
      </c>
      <c r="G790">
        <v>866</v>
      </c>
      <c r="H790" t="s">
        <v>123</v>
      </c>
      <c r="I790" t="s">
        <v>167</v>
      </c>
    </row>
    <row r="791" spans="1:9" ht="15" customHeight="1" x14ac:dyDescent="0.35">
      <c r="A791">
        <v>2018</v>
      </c>
      <c r="B791" t="s">
        <v>147</v>
      </c>
      <c r="C791">
        <v>1</v>
      </c>
      <c r="D791" t="s">
        <v>86</v>
      </c>
      <c r="E791">
        <v>999</v>
      </c>
      <c r="F791">
        <v>1106</v>
      </c>
      <c r="G791">
        <v>698</v>
      </c>
      <c r="H791" t="s">
        <v>123</v>
      </c>
      <c r="I791" t="s">
        <v>167</v>
      </c>
    </row>
    <row r="792" spans="1:9" ht="15" customHeight="1" x14ac:dyDescent="0.35">
      <c r="A792">
        <v>2018</v>
      </c>
      <c r="B792" t="s">
        <v>149</v>
      </c>
      <c r="C792">
        <v>2</v>
      </c>
      <c r="D792" t="s">
        <v>86</v>
      </c>
      <c r="E792">
        <v>1026</v>
      </c>
      <c r="F792">
        <v>1106</v>
      </c>
      <c r="G792">
        <v>913</v>
      </c>
      <c r="H792" t="s">
        <v>123</v>
      </c>
      <c r="I792" t="s">
        <v>167</v>
      </c>
    </row>
    <row r="793" spans="1:9" ht="15" customHeight="1" x14ac:dyDescent="0.35">
      <c r="A793">
        <v>2018</v>
      </c>
      <c r="B793" t="s">
        <v>150</v>
      </c>
      <c r="C793">
        <v>3</v>
      </c>
      <c r="D793" t="s">
        <v>86</v>
      </c>
      <c r="E793">
        <v>1013</v>
      </c>
      <c r="F793">
        <v>1107</v>
      </c>
      <c r="G793">
        <v>431</v>
      </c>
      <c r="H793" t="s">
        <v>123</v>
      </c>
      <c r="I793" t="s">
        <v>167</v>
      </c>
    </row>
    <row r="794" spans="1:9" ht="15" customHeight="1" x14ac:dyDescent="0.35">
      <c r="A794">
        <v>2018</v>
      </c>
      <c r="B794" t="s">
        <v>151</v>
      </c>
      <c r="C794">
        <v>4</v>
      </c>
      <c r="D794" t="s">
        <v>86</v>
      </c>
      <c r="E794">
        <v>1030</v>
      </c>
      <c r="F794">
        <v>1108</v>
      </c>
      <c r="G794">
        <v>899</v>
      </c>
      <c r="H794" t="s">
        <v>124</v>
      </c>
      <c r="I794" t="s">
        <v>167</v>
      </c>
    </row>
    <row r="795" spans="1:9" ht="15" customHeight="1" x14ac:dyDescent="0.35">
      <c r="A795">
        <v>2018</v>
      </c>
      <c r="B795" t="s">
        <v>152</v>
      </c>
      <c r="C795">
        <v>5</v>
      </c>
      <c r="D795" t="s">
        <v>86</v>
      </c>
      <c r="E795">
        <v>1026</v>
      </c>
      <c r="F795">
        <v>1129</v>
      </c>
      <c r="G795">
        <v>820</v>
      </c>
      <c r="H795" t="s">
        <v>124</v>
      </c>
      <c r="I795" t="s">
        <v>167</v>
      </c>
    </row>
    <row r="796" spans="1:9" ht="15" customHeight="1" x14ac:dyDescent="0.35">
      <c r="A796">
        <v>2018</v>
      </c>
      <c r="B796" t="s">
        <v>153</v>
      </c>
      <c r="C796">
        <v>6</v>
      </c>
      <c r="D796" t="s">
        <v>86</v>
      </c>
      <c r="E796">
        <v>1047</v>
      </c>
      <c r="F796">
        <v>1142</v>
      </c>
      <c r="G796">
        <v>923</v>
      </c>
      <c r="H796" t="s">
        <v>124</v>
      </c>
      <c r="I796" t="s">
        <v>167</v>
      </c>
    </row>
    <row r="797" spans="1:9" ht="15" customHeight="1" x14ac:dyDescent="0.35">
      <c r="A797">
        <v>2018</v>
      </c>
      <c r="B797" t="s">
        <v>154</v>
      </c>
      <c r="C797">
        <v>7</v>
      </c>
      <c r="D797" t="s">
        <v>86</v>
      </c>
      <c r="E797">
        <v>1018</v>
      </c>
      <c r="F797">
        <v>1104</v>
      </c>
      <c r="G797">
        <v>874</v>
      </c>
      <c r="H797" t="s">
        <v>124</v>
      </c>
      <c r="I797" t="s">
        <v>167</v>
      </c>
    </row>
    <row r="798" spans="1:9" ht="15" customHeight="1" x14ac:dyDescent="0.35">
      <c r="A798">
        <v>2018</v>
      </c>
      <c r="B798" t="s">
        <v>155</v>
      </c>
      <c r="C798">
        <v>8</v>
      </c>
      <c r="D798" t="s">
        <v>86</v>
      </c>
      <c r="E798">
        <v>1044</v>
      </c>
      <c r="F798">
        <v>1141</v>
      </c>
      <c r="G798">
        <v>725</v>
      </c>
      <c r="H798" t="s">
        <v>124</v>
      </c>
      <c r="I798" t="s">
        <v>167</v>
      </c>
    </row>
    <row r="799" spans="1:9" ht="15" customHeight="1" x14ac:dyDescent="0.35">
      <c r="A799">
        <v>2018</v>
      </c>
      <c r="B799" t="s">
        <v>156</v>
      </c>
      <c r="C799">
        <v>9</v>
      </c>
      <c r="D799" t="s">
        <v>86</v>
      </c>
      <c r="E799">
        <v>1066</v>
      </c>
      <c r="F799">
        <v>1156</v>
      </c>
      <c r="G799">
        <v>955</v>
      </c>
      <c r="H799" t="s">
        <v>124</v>
      </c>
      <c r="I799" t="s">
        <v>167</v>
      </c>
    </row>
    <row r="800" spans="1:9" ht="15" customHeight="1" x14ac:dyDescent="0.35">
      <c r="A800">
        <v>2018</v>
      </c>
      <c r="B800" t="s">
        <v>157</v>
      </c>
      <c r="C800">
        <v>10</v>
      </c>
      <c r="D800" t="s">
        <v>86</v>
      </c>
      <c r="E800">
        <v>994</v>
      </c>
      <c r="F800">
        <v>1081</v>
      </c>
      <c r="G800">
        <v>741</v>
      </c>
      <c r="H800" t="s">
        <v>124</v>
      </c>
      <c r="I800" t="s">
        <v>167</v>
      </c>
    </row>
    <row r="801" spans="1:9" ht="15" customHeight="1" x14ac:dyDescent="0.35">
      <c r="A801">
        <v>2018</v>
      </c>
      <c r="B801" t="s">
        <v>158</v>
      </c>
      <c r="C801">
        <v>11</v>
      </c>
      <c r="D801" t="s">
        <v>86</v>
      </c>
      <c r="E801">
        <v>880</v>
      </c>
      <c r="F801">
        <v>1019</v>
      </c>
      <c r="G801">
        <v>415</v>
      </c>
      <c r="H801" t="s">
        <v>124</v>
      </c>
      <c r="I801" t="s">
        <v>167</v>
      </c>
    </row>
    <row r="802" spans="1:9" ht="15" customHeight="1" x14ac:dyDescent="0.35">
      <c r="A802">
        <v>2018</v>
      </c>
      <c r="B802" t="s">
        <v>159</v>
      </c>
      <c r="C802">
        <v>12</v>
      </c>
      <c r="D802" t="s">
        <v>86</v>
      </c>
      <c r="E802">
        <v>992</v>
      </c>
      <c r="F802">
        <v>1086</v>
      </c>
      <c r="G802">
        <v>864</v>
      </c>
      <c r="H802" t="s">
        <v>124</v>
      </c>
      <c r="I802" t="s">
        <v>167</v>
      </c>
    </row>
    <row r="803" spans="1:9" ht="15" customHeight="1" x14ac:dyDescent="0.35">
      <c r="A803">
        <v>2019</v>
      </c>
      <c r="B803" t="s">
        <v>147</v>
      </c>
      <c r="C803">
        <v>1</v>
      </c>
      <c r="D803" t="s">
        <v>86</v>
      </c>
      <c r="E803">
        <v>1001</v>
      </c>
      <c r="F803">
        <v>1105</v>
      </c>
      <c r="G803">
        <v>712</v>
      </c>
      <c r="H803" t="s">
        <v>124</v>
      </c>
      <c r="I803" t="s">
        <v>167</v>
      </c>
    </row>
    <row r="804" spans="1:9" ht="15" customHeight="1" x14ac:dyDescent="0.35">
      <c r="A804">
        <v>2019</v>
      </c>
      <c r="B804" t="s">
        <v>149</v>
      </c>
      <c r="C804">
        <v>2</v>
      </c>
      <c r="D804" t="s">
        <v>86</v>
      </c>
      <c r="E804">
        <v>1049</v>
      </c>
      <c r="F804">
        <v>1123</v>
      </c>
      <c r="G804">
        <v>907</v>
      </c>
      <c r="H804" t="s">
        <v>124</v>
      </c>
      <c r="I804" t="s">
        <v>167</v>
      </c>
    </row>
    <row r="805" spans="1:9" ht="15" customHeight="1" x14ac:dyDescent="0.35">
      <c r="A805">
        <v>2019</v>
      </c>
      <c r="B805" t="s">
        <v>150</v>
      </c>
      <c r="C805">
        <v>3</v>
      </c>
      <c r="D805" t="s">
        <v>86</v>
      </c>
      <c r="E805">
        <v>1027</v>
      </c>
      <c r="F805">
        <v>1134</v>
      </c>
      <c r="G805">
        <v>534</v>
      </c>
      <c r="H805" t="s">
        <v>124</v>
      </c>
      <c r="I805" t="s">
        <v>167</v>
      </c>
    </row>
    <row r="806" spans="1:9" ht="15" customHeight="1" x14ac:dyDescent="0.35">
      <c r="A806">
        <v>2019</v>
      </c>
      <c r="B806" t="s">
        <v>151</v>
      </c>
      <c r="C806">
        <v>4</v>
      </c>
      <c r="D806" t="s">
        <v>86</v>
      </c>
      <c r="E806">
        <v>1071</v>
      </c>
      <c r="F806">
        <v>1151</v>
      </c>
      <c r="G806">
        <v>764</v>
      </c>
      <c r="H806" t="s">
        <v>71</v>
      </c>
      <c r="I806" t="s">
        <v>167</v>
      </c>
    </row>
    <row r="807" spans="1:9" ht="15" customHeight="1" x14ac:dyDescent="0.35">
      <c r="A807">
        <v>2019</v>
      </c>
      <c r="B807" t="s">
        <v>152</v>
      </c>
      <c r="C807">
        <v>5</v>
      </c>
      <c r="D807" t="s">
        <v>86</v>
      </c>
      <c r="E807">
        <v>1041</v>
      </c>
      <c r="F807">
        <v>1122</v>
      </c>
      <c r="G807">
        <v>831</v>
      </c>
      <c r="H807" t="s">
        <v>71</v>
      </c>
      <c r="I807" t="s">
        <v>167</v>
      </c>
    </row>
    <row r="808" spans="1:9" ht="15" customHeight="1" x14ac:dyDescent="0.35">
      <c r="A808">
        <v>2019</v>
      </c>
      <c r="B808" t="s">
        <v>153</v>
      </c>
      <c r="C808">
        <v>6</v>
      </c>
      <c r="D808" t="s">
        <v>86</v>
      </c>
      <c r="E808">
        <v>1036</v>
      </c>
      <c r="F808">
        <v>1169</v>
      </c>
      <c r="G808">
        <v>715</v>
      </c>
      <c r="H808" t="s">
        <v>71</v>
      </c>
      <c r="I808" t="s">
        <v>167</v>
      </c>
    </row>
    <row r="809" spans="1:9" ht="15" customHeight="1" x14ac:dyDescent="0.35">
      <c r="A809">
        <v>2019</v>
      </c>
      <c r="B809" t="s">
        <v>154</v>
      </c>
      <c r="C809">
        <v>7</v>
      </c>
      <c r="D809" t="s">
        <v>86</v>
      </c>
      <c r="E809">
        <v>1082</v>
      </c>
      <c r="F809">
        <v>1169</v>
      </c>
      <c r="G809">
        <v>924</v>
      </c>
      <c r="H809" t="s">
        <v>71</v>
      </c>
      <c r="I809" t="s">
        <v>167</v>
      </c>
    </row>
    <row r="810" spans="1:9" ht="15" customHeight="1" x14ac:dyDescent="0.35">
      <c r="A810">
        <v>2019</v>
      </c>
      <c r="B810" t="s">
        <v>155</v>
      </c>
      <c r="C810">
        <v>8</v>
      </c>
      <c r="D810" t="s">
        <v>86</v>
      </c>
      <c r="E810">
        <v>1062</v>
      </c>
      <c r="F810">
        <v>1157</v>
      </c>
      <c r="G810">
        <v>689</v>
      </c>
      <c r="H810" t="s">
        <v>71</v>
      </c>
      <c r="I810" t="s">
        <v>167</v>
      </c>
    </row>
    <row r="811" spans="1:9" ht="15" customHeight="1" x14ac:dyDescent="0.35">
      <c r="A811">
        <v>2019</v>
      </c>
      <c r="B811" t="s">
        <v>156</v>
      </c>
      <c r="C811">
        <v>9</v>
      </c>
      <c r="D811" t="s">
        <v>86</v>
      </c>
      <c r="E811">
        <v>1058</v>
      </c>
      <c r="F811">
        <v>1141</v>
      </c>
      <c r="G811">
        <v>880</v>
      </c>
      <c r="H811" t="s">
        <v>71</v>
      </c>
      <c r="I811" t="s">
        <v>167</v>
      </c>
    </row>
    <row r="812" spans="1:9" ht="15" customHeight="1" x14ac:dyDescent="0.35">
      <c r="A812">
        <v>2019</v>
      </c>
      <c r="B812" t="s">
        <v>157</v>
      </c>
      <c r="C812">
        <v>10</v>
      </c>
      <c r="D812" t="s">
        <v>86</v>
      </c>
      <c r="E812">
        <v>996</v>
      </c>
      <c r="F812">
        <v>1132</v>
      </c>
      <c r="G812">
        <v>531</v>
      </c>
      <c r="H812" t="s">
        <v>71</v>
      </c>
      <c r="I812" t="s">
        <v>167</v>
      </c>
    </row>
    <row r="813" spans="1:9" ht="15" customHeight="1" x14ac:dyDescent="0.35">
      <c r="A813">
        <v>2019</v>
      </c>
      <c r="B813" t="s">
        <v>158</v>
      </c>
      <c r="C813">
        <v>11</v>
      </c>
      <c r="D813" t="s">
        <v>86</v>
      </c>
      <c r="E813">
        <v>1048</v>
      </c>
      <c r="F813">
        <v>1128</v>
      </c>
      <c r="G813">
        <v>915</v>
      </c>
      <c r="H813" t="s">
        <v>71</v>
      </c>
      <c r="I813" t="s">
        <v>167</v>
      </c>
    </row>
    <row r="814" spans="1:9" ht="15" customHeight="1" x14ac:dyDescent="0.35">
      <c r="A814">
        <v>2019</v>
      </c>
      <c r="B814" t="s">
        <v>159</v>
      </c>
      <c r="C814">
        <v>12</v>
      </c>
      <c r="D814" t="s">
        <v>86</v>
      </c>
      <c r="E814">
        <v>1074</v>
      </c>
      <c r="F814">
        <v>1161</v>
      </c>
      <c r="G814">
        <v>924</v>
      </c>
      <c r="H814" t="s">
        <v>71</v>
      </c>
      <c r="I814" t="s">
        <v>167</v>
      </c>
    </row>
    <row r="815" spans="1:9" ht="15" customHeight="1" x14ac:dyDescent="0.35">
      <c r="A815">
        <v>2020</v>
      </c>
      <c r="B815" t="s">
        <v>147</v>
      </c>
      <c r="C815">
        <v>1</v>
      </c>
      <c r="D815" t="s">
        <v>86</v>
      </c>
      <c r="E815">
        <v>1056</v>
      </c>
      <c r="F815">
        <v>1161</v>
      </c>
      <c r="G815">
        <v>717</v>
      </c>
      <c r="H815" t="s">
        <v>71</v>
      </c>
      <c r="I815" t="s">
        <v>167</v>
      </c>
    </row>
    <row r="816" spans="1:9" ht="15" customHeight="1" x14ac:dyDescent="0.35">
      <c r="A816">
        <v>2020</v>
      </c>
      <c r="B816" t="s">
        <v>149</v>
      </c>
      <c r="C816">
        <v>2</v>
      </c>
      <c r="D816" t="s">
        <v>86</v>
      </c>
      <c r="E816">
        <v>1069</v>
      </c>
      <c r="F816">
        <v>1147</v>
      </c>
      <c r="G816">
        <v>817</v>
      </c>
      <c r="H816" t="s">
        <v>71</v>
      </c>
      <c r="I816" t="s">
        <v>167</v>
      </c>
    </row>
    <row r="817" spans="1:9" ht="15" customHeight="1" x14ac:dyDescent="0.35">
      <c r="A817">
        <v>2020</v>
      </c>
      <c r="B817" t="s">
        <v>150</v>
      </c>
      <c r="C817">
        <v>3</v>
      </c>
      <c r="D817" t="s">
        <v>86</v>
      </c>
      <c r="E817">
        <v>826</v>
      </c>
      <c r="F817">
        <v>1159</v>
      </c>
      <c r="G817">
        <v>102</v>
      </c>
      <c r="H817" t="s">
        <v>71</v>
      </c>
      <c r="I817" t="s">
        <v>167</v>
      </c>
    </row>
    <row r="818" spans="1:9" ht="15" customHeight="1" x14ac:dyDescent="0.35">
      <c r="A818">
        <v>2020</v>
      </c>
      <c r="B818" t="s">
        <v>151</v>
      </c>
      <c r="C818">
        <v>4</v>
      </c>
      <c r="D818" t="s">
        <v>86</v>
      </c>
      <c r="E818">
        <v>216</v>
      </c>
      <c r="F818">
        <v>435</v>
      </c>
      <c r="G818">
        <v>100</v>
      </c>
      <c r="H818" t="s">
        <v>72</v>
      </c>
      <c r="I818" t="s">
        <v>167</v>
      </c>
    </row>
    <row r="819" spans="1:9" ht="15" customHeight="1" x14ac:dyDescent="0.35">
      <c r="A819">
        <v>2020</v>
      </c>
      <c r="B819" t="s">
        <v>152</v>
      </c>
      <c r="C819">
        <v>5</v>
      </c>
      <c r="D819" t="s">
        <v>86</v>
      </c>
      <c r="E819">
        <v>492</v>
      </c>
      <c r="F819">
        <v>633</v>
      </c>
      <c r="G819">
        <v>312</v>
      </c>
      <c r="H819" t="s">
        <v>72</v>
      </c>
      <c r="I819" t="s">
        <v>167</v>
      </c>
    </row>
    <row r="820" spans="1:9" ht="15" customHeight="1" x14ac:dyDescent="0.35">
      <c r="A820">
        <v>2020</v>
      </c>
      <c r="B820" t="s">
        <v>153</v>
      </c>
      <c r="C820">
        <v>6</v>
      </c>
      <c r="D820" t="s">
        <v>86</v>
      </c>
      <c r="E820">
        <v>676</v>
      </c>
      <c r="F820">
        <v>843</v>
      </c>
      <c r="G820">
        <v>333</v>
      </c>
      <c r="H820" t="s">
        <v>72</v>
      </c>
      <c r="I820" t="s">
        <v>167</v>
      </c>
    </row>
    <row r="821" spans="1:9" ht="15" customHeight="1" x14ac:dyDescent="0.35">
      <c r="A821">
        <v>2020</v>
      </c>
      <c r="B821" t="s">
        <v>154</v>
      </c>
      <c r="C821">
        <v>7</v>
      </c>
      <c r="D821" t="s">
        <v>86</v>
      </c>
      <c r="E821">
        <v>794</v>
      </c>
      <c r="F821">
        <v>904</v>
      </c>
      <c r="G821">
        <v>618</v>
      </c>
      <c r="H821" t="s">
        <v>72</v>
      </c>
      <c r="I821" t="s">
        <v>167</v>
      </c>
    </row>
    <row r="822" spans="1:9" ht="15" customHeight="1" x14ac:dyDescent="0.35">
      <c r="A822">
        <v>2020</v>
      </c>
      <c r="B822" t="s">
        <v>155</v>
      </c>
      <c r="C822">
        <v>8</v>
      </c>
      <c r="D822" t="s">
        <v>86</v>
      </c>
      <c r="E822">
        <v>860</v>
      </c>
      <c r="F822">
        <v>1033</v>
      </c>
      <c r="G822">
        <v>630</v>
      </c>
      <c r="H822" t="s">
        <v>72</v>
      </c>
      <c r="I822" t="s">
        <v>167</v>
      </c>
    </row>
    <row r="823" spans="1:9" ht="15" customHeight="1" x14ac:dyDescent="0.35">
      <c r="A823">
        <v>2020</v>
      </c>
      <c r="B823" t="s">
        <v>156</v>
      </c>
      <c r="C823">
        <v>9</v>
      </c>
      <c r="D823" t="s">
        <v>86</v>
      </c>
      <c r="E823">
        <v>1022</v>
      </c>
      <c r="F823">
        <v>1108</v>
      </c>
      <c r="G823">
        <v>901</v>
      </c>
      <c r="H823" t="s">
        <v>72</v>
      </c>
      <c r="I823" t="s">
        <v>167</v>
      </c>
    </row>
    <row r="824" spans="1:9" ht="15" customHeight="1" x14ac:dyDescent="0.35">
      <c r="A824">
        <v>2020</v>
      </c>
      <c r="B824" t="s">
        <v>157</v>
      </c>
      <c r="C824">
        <v>10</v>
      </c>
      <c r="D824" t="s">
        <v>86</v>
      </c>
      <c r="E824">
        <v>1049</v>
      </c>
      <c r="F824">
        <v>1148</v>
      </c>
      <c r="G824">
        <v>793</v>
      </c>
      <c r="H824" t="s">
        <v>72</v>
      </c>
      <c r="I824" t="s">
        <v>167</v>
      </c>
    </row>
    <row r="825" spans="1:9" ht="15" customHeight="1" x14ac:dyDescent="0.35">
      <c r="A825">
        <v>2020</v>
      </c>
      <c r="B825" t="s">
        <v>158</v>
      </c>
      <c r="C825">
        <v>11</v>
      </c>
      <c r="D825" t="s">
        <v>86</v>
      </c>
      <c r="E825">
        <v>1013</v>
      </c>
      <c r="F825">
        <v>1141</v>
      </c>
      <c r="G825">
        <v>558</v>
      </c>
      <c r="H825" t="s">
        <v>72</v>
      </c>
      <c r="I825" t="s">
        <v>167</v>
      </c>
    </row>
    <row r="826" spans="1:9" ht="15" customHeight="1" x14ac:dyDescent="0.35">
      <c r="A826">
        <v>2020</v>
      </c>
      <c r="B826" t="s">
        <v>159</v>
      </c>
      <c r="C826">
        <v>12</v>
      </c>
      <c r="D826" t="s">
        <v>86</v>
      </c>
      <c r="E826">
        <v>1064</v>
      </c>
      <c r="F826">
        <v>1159</v>
      </c>
      <c r="G826">
        <v>934</v>
      </c>
      <c r="H826" t="s">
        <v>72</v>
      </c>
      <c r="I826" t="s">
        <v>167</v>
      </c>
    </row>
    <row r="827" spans="1:9" ht="15" customHeight="1" x14ac:dyDescent="0.35">
      <c r="A827">
        <v>2021</v>
      </c>
      <c r="B827" t="s">
        <v>147</v>
      </c>
      <c r="C827">
        <v>1</v>
      </c>
      <c r="D827" t="s">
        <v>86</v>
      </c>
      <c r="E827">
        <v>1091</v>
      </c>
      <c r="F827">
        <v>1211</v>
      </c>
      <c r="G827">
        <v>760</v>
      </c>
      <c r="H827" t="s">
        <v>72</v>
      </c>
      <c r="I827" t="s">
        <v>167</v>
      </c>
    </row>
    <row r="828" spans="1:9" ht="15" customHeight="1" x14ac:dyDescent="0.35">
      <c r="A828">
        <v>2021</v>
      </c>
      <c r="B828" t="s">
        <v>149</v>
      </c>
      <c r="C828">
        <v>2</v>
      </c>
      <c r="D828" t="s">
        <v>86</v>
      </c>
      <c r="E828">
        <v>1127</v>
      </c>
      <c r="F828">
        <v>1212</v>
      </c>
      <c r="G828">
        <v>986</v>
      </c>
      <c r="H828" t="s">
        <v>72</v>
      </c>
      <c r="I828" t="s">
        <v>167</v>
      </c>
    </row>
    <row r="829" spans="1:9" ht="15" customHeight="1" x14ac:dyDescent="0.35">
      <c r="A829">
        <v>2021</v>
      </c>
      <c r="B829" t="s">
        <v>150</v>
      </c>
      <c r="C829">
        <v>3</v>
      </c>
      <c r="D829" t="s">
        <v>86</v>
      </c>
      <c r="E829">
        <v>1120</v>
      </c>
      <c r="F829">
        <v>1232</v>
      </c>
      <c r="G829">
        <v>607</v>
      </c>
      <c r="H829" t="s">
        <v>72</v>
      </c>
      <c r="I829" t="s">
        <v>167</v>
      </c>
    </row>
    <row r="830" spans="1:9" ht="15" customHeight="1" x14ac:dyDescent="0.35">
      <c r="A830">
        <v>2021</v>
      </c>
      <c r="B830" t="s">
        <v>151</v>
      </c>
      <c r="C830">
        <v>4</v>
      </c>
      <c r="D830" t="s">
        <v>86</v>
      </c>
      <c r="E830">
        <v>1066</v>
      </c>
      <c r="F830">
        <v>1189</v>
      </c>
      <c r="G830">
        <v>743</v>
      </c>
      <c r="H830" t="s">
        <v>73</v>
      </c>
      <c r="I830" t="s">
        <v>167</v>
      </c>
    </row>
    <row r="831" spans="1:9" ht="15" customHeight="1" x14ac:dyDescent="0.35">
      <c r="A831">
        <v>2021</v>
      </c>
      <c r="B831" t="s">
        <v>152</v>
      </c>
      <c r="C831">
        <v>5</v>
      </c>
      <c r="D831" t="s">
        <v>86</v>
      </c>
      <c r="E831">
        <v>907</v>
      </c>
      <c r="F831">
        <v>1018</v>
      </c>
      <c r="G831">
        <v>543</v>
      </c>
      <c r="H831" t="s">
        <v>73</v>
      </c>
      <c r="I831" t="s">
        <v>167</v>
      </c>
    </row>
    <row r="832" spans="1:9" ht="15" customHeight="1" x14ac:dyDescent="0.35">
      <c r="A832">
        <v>2021</v>
      </c>
      <c r="B832" t="s">
        <v>153</v>
      </c>
      <c r="C832">
        <v>6</v>
      </c>
      <c r="D832" t="s">
        <v>86</v>
      </c>
      <c r="E832">
        <v>1032</v>
      </c>
      <c r="F832">
        <v>1175</v>
      </c>
      <c r="G832">
        <v>882</v>
      </c>
      <c r="H832" t="s">
        <v>73</v>
      </c>
      <c r="I832" t="s">
        <v>167</v>
      </c>
    </row>
    <row r="833" spans="1:9" ht="15" customHeight="1" x14ac:dyDescent="0.35">
      <c r="A833">
        <v>2021</v>
      </c>
      <c r="B833" t="s">
        <v>154</v>
      </c>
      <c r="C833">
        <v>7</v>
      </c>
      <c r="D833" t="s">
        <v>86</v>
      </c>
      <c r="E833">
        <v>1100</v>
      </c>
      <c r="F833">
        <v>1189</v>
      </c>
      <c r="G833">
        <v>884</v>
      </c>
      <c r="H833" t="s">
        <v>73</v>
      </c>
      <c r="I833" t="s">
        <v>167</v>
      </c>
    </row>
    <row r="834" spans="1:9" ht="15" customHeight="1" x14ac:dyDescent="0.35">
      <c r="A834">
        <v>2021</v>
      </c>
      <c r="B834" t="s">
        <v>155</v>
      </c>
      <c r="C834">
        <v>8</v>
      </c>
      <c r="D834" t="s">
        <v>86</v>
      </c>
      <c r="E834">
        <v>1102</v>
      </c>
      <c r="F834">
        <v>1196</v>
      </c>
      <c r="G834">
        <v>779</v>
      </c>
      <c r="H834" t="s">
        <v>73</v>
      </c>
      <c r="I834" t="s">
        <v>167</v>
      </c>
    </row>
    <row r="835" spans="1:9" ht="15" customHeight="1" x14ac:dyDescent="0.35">
      <c r="A835">
        <v>2021</v>
      </c>
      <c r="B835" t="s">
        <v>156</v>
      </c>
      <c r="C835">
        <v>9</v>
      </c>
      <c r="D835" t="s">
        <v>86</v>
      </c>
      <c r="E835">
        <v>1121</v>
      </c>
      <c r="F835">
        <v>1201</v>
      </c>
      <c r="G835">
        <v>903</v>
      </c>
      <c r="H835" t="s">
        <v>73</v>
      </c>
      <c r="I835" t="s">
        <v>167</v>
      </c>
    </row>
    <row r="836" spans="1:9" ht="15" customHeight="1" x14ac:dyDescent="0.35">
      <c r="A836">
        <v>2021</v>
      </c>
      <c r="B836" t="s">
        <v>157</v>
      </c>
      <c r="C836">
        <v>10</v>
      </c>
      <c r="D836" t="s">
        <v>86</v>
      </c>
      <c r="E836">
        <v>1122</v>
      </c>
      <c r="F836">
        <v>1217</v>
      </c>
      <c r="G836">
        <v>838</v>
      </c>
      <c r="H836" t="s">
        <v>73</v>
      </c>
      <c r="I836" t="s">
        <v>167</v>
      </c>
    </row>
    <row r="837" spans="1:9" ht="15" customHeight="1" x14ac:dyDescent="0.35">
      <c r="A837">
        <v>2021</v>
      </c>
      <c r="B837" t="s">
        <v>158</v>
      </c>
      <c r="C837">
        <v>11</v>
      </c>
      <c r="D837" t="s">
        <v>86</v>
      </c>
      <c r="E837">
        <v>1077</v>
      </c>
      <c r="F837">
        <v>1212</v>
      </c>
      <c r="G837">
        <v>602</v>
      </c>
      <c r="H837" t="s">
        <v>73</v>
      </c>
      <c r="I837" t="s">
        <v>167</v>
      </c>
    </row>
    <row r="838" spans="1:9" ht="15" customHeight="1" x14ac:dyDescent="0.35">
      <c r="A838">
        <v>2021</v>
      </c>
      <c r="B838" t="s">
        <v>159</v>
      </c>
      <c r="C838">
        <v>12</v>
      </c>
      <c r="D838" t="s">
        <v>86</v>
      </c>
      <c r="E838">
        <v>1100</v>
      </c>
      <c r="F838">
        <v>1182</v>
      </c>
      <c r="G838">
        <v>971</v>
      </c>
      <c r="H838" t="s">
        <v>73</v>
      </c>
      <c r="I838" t="s">
        <v>167</v>
      </c>
    </row>
    <row r="839" spans="1:9" ht="15" customHeight="1" x14ac:dyDescent="0.35">
      <c r="A839">
        <v>2022</v>
      </c>
      <c r="B839" t="s">
        <v>147</v>
      </c>
      <c r="C839">
        <v>1</v>
      </c>
      <c r="D839" t="s">
        <v>86</v>
      </c>
      <c r="E839">
        <v>1089</v>
      </c>
      <c r="F839">
        <v>1193</v>
      </c>
      <c r="G839">
        <v>784</v>
      </c>
      <c r="H839" t="s">
        <v>73</v>
      </c>
      <c r="I839" t="s">
        <v>167</v>
      </c>
    </row>
    <row r="840" spans="1:9" ht="15" customHeight="1" x14ac:dyDescent="0.35">
      <c r="A840">
        <v>2022</v>
      </c>
      <c r="B840" t="s">
        <v>149</v>
      </c>
      <c r="C840">
        <v>2</v>
      </c>
      <c r="D840" t="s">
        <v>86</v>
      </c>
      <c r="E840">
        <v>1142</v>
      </c>
      <c r="F840">
        <v>1225</v>
      </c>
      <c r="G840">
        <v>984</v>
      </c>
      <c r="H840" t="s">
        <v>73</v>
      </c>
      <c r="I840" t="s">
        <v>167</v>
      </c>
    </row>
    <row r="841" spans="1:9" ht="15" customHeight="1" x14ac:dyDescent="0.35">
      <c r="A841">
        <v>2022</v>
      </c>
      <c r="B841" t="s">
        <v>150</v>
      </c>
      <c r="C841">
        <v>3</v>
      </c>
      <c r="D841" t="s">
        <v>86</v>
      </c>
      <c r="E841">
        <v>1121</v>
      </c>
      <c r="F841">
        <v>1260</v>
      </c>
      <c r="G841">
        <v>487</v>
      </c>
      <c r="H841" t="s">
        <v>73</v>
      </c>
      <c r="I841" t="s">
        <v>167</v>
      </c>
    </row>
    <row r="842" spans="1:9" ht="15" customHeight="1" x14ac:dyDescent="0.35">
      <c r="A842">
        <v>2022</v>
      </c>
      <c r="B842" t="s">
        <v>151</v>
      </c>
      <c r="C842">
        <v>4</v>
      </c>
      <c r="D842" t="s">
        <v>86</v>
      </c>
      <c r="E842">
        <v>1161</v>
      </c>
      <c r="F842">
        <v>1241</v>
      </c>
      <c r="G842">
        <v>1007</v>
      </c>
      <c r="H842" t="s">
        <v>74</v>
      </c>
      <c r="I842" t="s">
        <v>167</v>
      </c>
    </row>
    <row r="843" spans="1:9" ht="15" customHeight="1" x14ac:dyDescent="0.35">
      <c r="A843">
        <v>2022</v>
      </c>
      <c r="B843" t="s">
        <v>152</v>
      </c>
      <c r="C843">
        <v>5</v>
      </c>
      <c r="D843" t="s">
        <v>86</v>
      </c>
      <c r="E843">
        <v>1144</v>
      </c>
      <c r="F843">
        <v>1232</v>
      </c>
      <c r="G843">
        <v>905</v>
      </c>
      <c r="H843" t="s">
        <v>74</v>
      </c>
      <c r="I843" t="s">
        <v>167</v>
      </c>
    </row>
    <row r="844" spans="1:9" ht="15" customHeight="1" x14ac:dyDescent="0.35">
      <c r="A844">
        <v>2022</v>
      </c>
      <c r="B844" t="s">
        <v>153</v>
      </c>
      <c r="C844">
        <v>6</v>
      </c>
      <c r="D844" t="s">
        <v>86</v>
      </c>
      <c r="E844">
        <v>1171</v>
      </c>
      <c r="F844">
        <v>1247</v>
      </c>
      <c r="G844">
        <v>1043</v>
      </c>
      <c r="H844" t="s">
        <v>74</v>
      </c>
      <c r="I844" t="s">
        <v>167</v>
      </c>
    </row>
    <row r="845" spans="1:9" ht="15" customHeight="1" x14ac:dyDescent="0.35">
      <c r="A845">
        <v>2022</v>
      </c>
      <c r="B845" t="s">
        <v>154</v>
      </c>
      <c r="C845">
        <v>7</v>
      </c>
      <c r="D845" t="s">
        <v>86</v>
      </c>
      <c r="E845">
        <v>1106</v>
      </c>
      <c r="F845">
        <v>1210</v>
      </c>
      <c r="G845">
        <v>684</v>
      </c>
      <c r="H845" t="s">
        <v>74</v>
      </c>
      <c r="I845" t="s">
        <v>167</v>
      </c>
    </row>
    <row r="846" spans="1:9" ht="15" customHeight="1" x14ac:dyDescent="0.35">
      <c r="A846">
        <v>2022</v>
      </c>
      <c r="B846" t="s">
        <v>155</v>
      </c>
      <c r="C846">
        <v>8</v>
      </c>
      <c r="D846" t="s">
        <v>86</v>
      </c>
      <c r="E846">
        <v>1127</v>
      </c>
      <c r="F846">
        <v>1220</v>
      </c>
      <c r="G846">
        <v>751</v>
      </c>
      <c r="H846" t="s">
        <v>74</v>
      </c>
      <c r="I846" t="s">
        <v>167</v>
      </c>
    </row>
    <row r="847" spans="1:9" ht="15" customHeight="1" x14ac:dyDescent="0.35">
      <c r="A847">
        <v>2022</v>
      </c>
      <c r="B847" t="s">
        <v>156</v>
      </c>
      <c r="C847">
        <v>9</v>
      </c>
      <c r="D847" t="s">
        <v>86</v>
      </c>
      <c r="E847">
        <v>1149</v>
      </c>
      <c r="F847">
        <v>1272</v>
      </c>
      <c r="G847">
        <v>888</v>
      </c>
      <c r="H847" t="s">
        <v>74</v>
      </c>
      <c r="I847" t="s">
        <v>167</v>
      </c>
    </row>
    <row r="848" spans="1:9" ht="15" customHeight="1" x14ac:dyDescent="0.35">
      <c r="A848">
        <v>2022</v>
      </c>
      <c r="B848" t="s">
        <v>157</v>
      </c>
      <c r="C848">
        <v>10</v>
      </c>
      <c r="D848" t="s">
        <v>86</v>
      </c>
      <c r="E848">
        <v>1081</v>
      </c>
      <c r="F848">
        <v>1253</v>
      </c>
      <c r="G848">
        <v>527</v>
      </c>
      <c r="H848" t="s">
        <v>74</v>
      </c>
      <c r="I848" t="s">
        <v>167</v>
      </c>
    </row>
    <row r="849" spans="1:9" ht="15" customHeight="1" x14ac:dyDescent="0.35">
      <c r="A849">
        <v>2022</v>
      </c>
      <c r="B849" t="s">
        <v>158</v>
      </c>
      <c r="C849">
        <v>11</v>
      </c>
      <c r="D849" t="s">
        <v>86</v>
      </c>
      <c r="E849">
        <v>1121</v>
      </c>
      <c r="F849">
        <v>1220</v>
      </c>
      <c r="G849">
        <v>959</v>
      </c>
      <c r="H849" t="s">
        <v>74</v>
      </c>
      <c r="I849" t="s">
        <v>167</v>
      </c>
    </row>
    <row r="850" spans="1:9" ht="15" customHeight="1" x14ac:dyDescent="0.35">
      <c r="A850">
        <v>2022</v>
      </c>
      <c r="B850" t="s">
        <v>159</v>
      </c>
      <c r="C850">
        <v>12</v>
      </c>
      <c r="D850" t="s">
        <v>86</v>
      </c>
      <c r="E850">
        <v>1147</v>
      </c>
      <c r="F850">
        <v>1251</v>
      </c>
      <c r="G850">
        <v>1025</v>
      </c>
      <c r="H850" t="s">
        <v>74</v>
      </c>
      <c r="I850" t="s">
        <v>167</v>
      </c>
    </row>
    <row r="851" spans="1:9" ht="15" customHeight="1" x14ac:dyDescent="0.35">
      <c r="A851">
        <v>2023</v>
      </c>
      <c r="B851" t="s">
        <v>147</v>
      </c>
      <c r="C851">
        <v>1</v>
      </c>
      <c r="D851" t="s">
        <v>86</v>
      </c>
      <c r="E851">
        <v>1149</v>
      </c>
      <c r="F851">
        <v>1345</v>
      </c>
      <c r="G851">
        <v>831</v>
      </c>
      <c r="H851" t="s">
        <v>74</v>
      </c>
      <c r="I851" t="s">
        <v>167</v>
      </c>
    </row>
    <row r="852" spans="1:9" ht="15" customHeight="1" x14ac:dyDescent="0.35">
      <c r="A852">
        <v>2023</v>
      </c>
      <c r="B852" t="s">
        <v>149</v>
      </c>
      <c r="C852">
        <v>2</v>
      </c>
      <c r="D852" t="s">
        <v>86</v>
      </c>
      <c r="E852">
        <v>1186</v>
      </c>
      <c r="F852">
        <v>1281</v>
      </c>
      <c r="G852">
        <v>1074</v>
      </c>
      <c r="H852" t="s">
        <v>74</v>
      </c>
      <c r="I852" t="s">
        <v>167</v>
      </c>
    </row>
    <row r="853" spans="1:9" ht="15" customHeight="1" x14ac:dyDescent="0.35">
      <c r="A853">
        <v>2023</v>
      </c>
      <c r="B853" t="s">
        <v>150</v>
      </c>
      <c r="C853">
        <v>3</v>
      </c>
      <c r="D853" t="s">
        <v>86</v>
      </c>
      <c r="E853">
        <v>1174</v>
      </c>
      <c r="F853">
        <v>1283</v>
      </c>
      <c r="G853">
        <v>595</v>
      </c>
      <c r="H853" t="s">
        <v>74</v>
      </c>
      <c r="I853" t="s">
        <v>167</v>
      </c>
    </row>
    <row r="854" spans="1:9" ht="15" customHeight="1" x14ac:dyDescent="0.35">
      <c r="A854">
        <v>2023</v>
      </c>
      <c r="B854" t="s">
        <v>151</v>
      </c>
      <c r="C854">
        <v>4</v>
      </c>
      <c r="D854" t="s">
        <v>86</v>
      </c>
      <c r="E854">
        <v>1192</v>
      </c>
      <c r="F854">
        <v>1279</v>
      </c>
      <c r="G854">
        <v>879</v>
      </c>
      <c r="H854" t="s">
        <v>75</v>
      </c>
      <c r="I854" t="s">
        <v>167</v>
      </c>
    </row>
    <row r="855" spans="1:9" ht="15" customHeight="1" x14ac:dyDescent="0.35">
      <c r="A855">
        <v>2023</v>
      </c>
      <c r="B855" t="s">
        <v>152</v>
      </c>
      <c r="C855">
        <v>5</v>
      </c>
      <c r="D855" t="s">
        <v>86</v>
      </c>
      <c r="E855">
        <v>1185</v>
      </c>
      <c r="F855">
        <v>1274</v>
      </c>
      <c r="G855">
        <v>946</v>
      </c>
      <c r="H855" t="s">
        <v>75</v>
      </c>
      <c r="I855" t="s">
        <v>167</v>
      </c>
    </row>
    <row r="856" spans="1:9" ht="15" customHeight="1" x14ac:dyDescent="0.35">
      <c r="A856">
        <v>2023</v>
      </c>
      <c r="B856" t="s">
        <v>153</v>
      </c>
      <c r="C856">
        <v>6</v>
      </c>
      <c r="D856" t="s">
        <v>86</v>
      </c>
      <c r="E856">
        <v>1224</v>
      </c>
      <c r="F856">
        <v>1319</v>
      </c>
      <c r="G856">
        <v>858</v>
      </c>
      <c r="H856" t="s">
        <v>75</v>
      </c>
      <c r="I856" t="s">
        <v>167</v>
      </c>
    </row>
    <row r="857" spans="1:9" ht="15" customHeight="1" x14ac:dyDescent="0.35">
      <c r="A857">
        <v>2023</v>
      </c>
      <c r="B857" t="s">
        <v>154</v>
      </c>
      <c r="C857">
        <v>7</v>
      </c>
      <c r="D857" t="s">
        <v>86</v>
      </c>
      <c r="E857">
        <v>1232</v>
      </c>
      <c r="F857">
        <v>1316</v>
      </c>
      <c r="G857">
        <v>622</v>
      </c>
      <c r="H857" t="s">
        <v>75</v>
      </c>
      <c r="I857" t="s">
        <v>167</v>
      </c>
    </row>
    <row r="858" spans="1:9" ht="15" customHeight="1" x14ac:dyDescent="0.35">
      <c r="A858">
        <v>2023</v>
      </c>
      <c r="B858" t="s">
        <v>155</v>
      </c>
      <c r="C858">
        <v>8</v>
      </c>
      <c r="D858" t="s">
        <v>86</v>
      </c>
      <c r="E858">
        <v>1234</v>
      </c>
      <c r="F858">
        <v>1332</v>
      </c>
      <c r="G858">
        <v>758</v>
      </c>
      <c r="H858" t="s">
        <v>75</v>
      </c>
      <c r="I858" t="s">
        <v>167</v>
      </c>
    </row>
    <row r="859" spans="1:9" ht="15" customHeight="1" x14ac:dyDescent="0.35">
      <c r="A859">
        <v>2023</v>
      </c>
      <c r="B859" t="s">
        <v>156</v>
      </c>
      <c r="C859">
        <v>9</v>
      </c>
      <c r="D859" t="s">
        <v>86</v>
      </c>
      <c r="E859">
        <v>1218</v>
      </c>
      <c r="F859">
        <v>1317</v>
      </c>
      <c r="G859">
        <v>889</v>
      </c>
      <c r="H859" t="s">
        <v>75</v>
      </c>
      <c r="I859" t="s">
        <v>167</v>
      </c>
    </row>
    <row r="860" spans="1:9" ht="15" customHeight="1" x14ac:dyDescent="0.35">
      <c r="A860">
        <v>2023</v>
      </c>
      <c r="B860" t="s">
        <v>157</v>
      </c>
      <c r="C860">
        <v>10</v>
      </c>
      <c r="D860" t="s">
        <v>86</v>
      </c>
      <c r="E860">
        <v>1208</v>
      </c>
      <c r="F860">
        <v>1315</v>
      </c>
      <c r="G860">
        <v>852</v>
      </c>
      <c r="H860" t="s">
        <v>75</v>
      </c>
      <c r="I860" t="s">
        <v>167</v>
      </c>
    </row>
    <row r="861" spans="1:9" ht="15" customHeight="1" x14ac:dyDescent="0.35">
      <c r="A861">
        <v>2023</v>
      </c>
      <c r="B861" t="s">
        <v>158</v>
      </c>
      <c r="C861">
        <v>11</v>
      </c>
      <c r="D861" t="s">
        <v>86</v>
      </c>
      <c r="E861">
        <v>1114</v>
      </c>
      <c r="F861">
        <v>1274</v>
      </c>
      <c r="G861">
        <v>614</v>
      </c>
      <c r="H861" t="s">
        <v>75</v>
      </c>
      <c r="I861" t="s">
        <v>167</v>
      </c>
    </row>
    <row r="862" spans="1:9" ht="15" customHeight="1" x14ac:dyDescent="0.35">
      <c r="A862">
        <v>2023</v>
      </c>
      <c r="B862" t="s">
        <v>159</v>
      </c>
      <c r="C862">
        <v>12</v>
      </c>
      <c r="D862" t="s">
        <v>86</v>
      </c>
      <c r="E862">
        <v>1186</v>
      </c>
      <c r="F862">
        <v>1285</v>
      </c>
      <c r="G862">
        <v>916</v>
      </c>
      <c r="H862" t="s">
        <v>75</v>
      </c>
      <c r="I862" t="s">
        <v>167</v>
      </c>
    </row>
    <row r="863" spans="1:9" ht="15" customHeight="1" x14ac:dyDescent="0.35">
      <c r="A863">
        <v>2024</v>
      </c>
      <c r="B863" t="s">
        <v>147</v>
      </c>
      <c r="C863">
        <v>1</v>
      </c>
      <c r="D863" t="s">
        <v>86</v>
      </c>
      <c r="E863">
        <v>1187</v>
      </c>
      <c r="F863">
        <v>1298</v>
      </c>
      <c r="G863">
        <v>861</v>
      </c>
      <c r="H863" t="s">
        <v>75</v>
      </c>
      <c r="I863" t="s">
        <v>167</v>
      </c>
    </row>
    <row r="864" spans="1:9" ht="15" customHeight="1" x14ac:dyDescent="0.35">
      <c r="A864">
        <v>2024</v>
      </c>
      <c r="B864" t="s">
        <v>149</v>
      </c>
      <c r="C864">
        <v>2</v>
      </c>
      <c r="D864" t="s">
        <v>86</v>
      </c>
      <c r="E864">
        <v>1215</v>
      </c>
      <c r="F864">
        <v>1305</v>
      </c>
      <c r="G864">
        <v>1093</v>
      </c>
      <c r="H864" t="s">
        <v>75</v>
      </c>
      <c r="I864" t="s">
        <v>167</v>
      </c>
    </row>
    <row r="865" spans="1:9" ht="15" customHeight="1" x14ac:dyDescent="0.35">
      <c r="A865">
        <v>2024</v>
      </c>
      <c r="B865" t="s">
        <v>150</v>
      </c>
      <c r="C865">
        <v>3</v>
      </c>
      <c r="D865" t="s">
        <v>86</v>
      </c>
      <c r="E865">
        <v>1167</v>
      </c>
      <c r="F865">
        <v>1294</v>
      </c>
      <c r="G865">
        <v>600</v>
      </c>
      <c r="H865" t="s">
        <v>75</v>
      </c>
      <c r="I865" t="s">
        <v>167</v>
      </c>
    </row>
    <row r="866" spans="1:9" ht="15" customHeight="1" x14ac:dyDescent="0.35">
      <c r="A866">
        <v>2024</v>
      </c>
      <c r="B866" t="s">
        <v>151</v>
      </c>
      <c r="C866">
        <v>4</v>
      </c>
      <c r="D866" t="s">
        <v>86</v>
      </c>
      <c r="E866">
        <v>1169</v>
      </c>
      <c r="F866">
        <v>1294</v>
      </c>
      <c r="G866">
        <v>600</v>
      </c>
      <c r="H866" t="s">
        <v>77</v>
      </c>
      <c r="I866" t="s">
        <v>167</v>
      </c>
    </row>
    <row r="867" spans="1:9" ht="15" customHeight="1" x14ac:dyDescent="0.35">
      <c r="A867">
        <v>2024</v>
      </c>
      <c r="B867" t="s">
        <v>152</v>
      </c>
      <c r="C867">
        <v>5</v>
      </c>
      <c r="D867" t="s">
        <v>86</v>
      </c>
      <c r="E867">
        <v>1242</v>
      </c>
      <c r="F867">
        <v>1352</v>
      </c>
      <c r="G867">
        <v>974</v>
      </c>
      <c r="H867" t="s">
        <v>77</v>
      </c>
      <c r="I867" t="s">
        <v>167</v>
      </c>
    </row>
    <row r="868" spans="1:9" ht="15" customHeight="1" x14ac:dyDescent="0.35">
      <c r="A868">
        <v>2024</v>
      </c>
      <c r="B868" t="s">
        <v>153</v>
      </c>
      <c r="C868">
        <v>6</v>
      </c>
      <c r="D868" t="s">
        <v>86</v>
      </c>
      <c r="E868">
        <v>1261</v>
      </c>
      <c r="F868">
        <v>1362</v>
      </c>
      <c r="G868">
        <v>1025</v>
      </c>
      <c r="H868" t="s">
        <v>77</v>
      </c>
      <c r="I868" t="s">
        <v>167</v>
      </c>
    </row>
    <row r="869" spans="1:9" ht="15" customHeight="1" x14ac:dyDescent="0.35">
      <c r="A869">
        <v>2024</v>
      </c>
      <c r="B869" t="s">
        <v>154</v>
      </c>
      <c r="C869">
        <v>7</v>
      </c>
      <c r="D869" t="s">
        <v>86</v>
      </c>
      <c r="E869">
        <v>1242</v>
      </c>
      <c r="F869">
        <v>1346</v>
      </c>
      <c r="G869">
        <v>1116</v>
      </c>
      <c r="H869" t="s">
        <v>77</v>
      </c>
      <c r="I869" t="s">
        <v>167</v>
      </c>
    </row>
    <row r="870" spans="1:9" ht="15" customHeight="1" x14ac:dyDescent="0.35">
      <c r="A870">
        <v>2024</v>
      </c>
      <c r="B870" t="s">
        <v>155</v>
      </c>
      <c r="C870">
        <v>8</v>
      </c>
      <c r="D870" t="s">
        <v>86</v>
      </c>
      <c r="E870">
        <v>1193</v>
      </c>
      <c r="F870">
        <v>1327</v>
      </c>
      <c r="G870">
        <v>772</v>
      </c>
      <c r="H870" t="s">
        <v>77</v>
      </c>
      <c r="I870" t="s">
        <v>167</v>
      </c>
    </row>
    <row r="871" spans="1:9" ht="15" customHeight="1" x14ac:dyDescent="0.35">
      <c r="A871">
        <v>2024</v>
      </c>
      <c r="B871" t="s">
        <v>156</v>
      </c>
      <c r="C871">
        <v>9</v>
      </c>
      <c r="D871" t="s">
        <v>86</v>
      </c>
      <c r="E871">
        <v>1215</v>
      </c>
      <c r="F871">
        <v>1500</v>
      </c>
      <c r="G871">
        <v>1006</v>
      </c>
      <c r="H871" t="s">
        <v>77</v>
      </c>
      <c r="I871" t="s">
        <v>167</v>
      </c>
    </row>
    <row r="872" spans="1:9" ht="15" customHeight="1" x14ac:dyDescent="0.35">
      <c r="A872">
        <v>2024</v>
      </c>
      <c r="B872" t="s">
        <v>157</v>
      </c>
      <c r="C872">
        <v>10</v>
      </c>
      <c r="D872" t="s">
        <v>86</v>
      </c>
      <c r="E872">
        <v>1259</v>
      </c>
      <c r="F872">
        <v>1398</v>
      </c>
      <c r="G872">
        <v>819</v>
      </c>
      <c r="H872" t="s">
        <v>77</v>
      </c>
      <c r="I872" t="s">
        <v>167</v>
      </c>
    </row>
    <row r="873" spans="1:9" ht="15" customHeight="1" x14ac:dyDescent="0.35">
      <c r="A873">
        <v>2024</v>
      </c>
      <c r="B873" t="s">
        <v>158</v>
      </c>
      <c r="C873">
        <v>11</v>
      </c>
      <c r="D873" t="s">
        <v>86</v>
      </c>
      <c r="E873">
        <v>1210</v>
      </c>
      <c r="F873">
        <v>1355</v>
      </c>
      <c r="G873">
        <v>715</v>
      </c>
      <c r="H873" t="s">
        <v>77</v>
      </c>
      <c r="I873" t="s">
        <v>167</v>
      </c>
    </row>
    <row r="874" spans="1:9" ht="15" customHeight="1" x14ac:dyDescent="0.35">
      <c r="A874">
        <v>2024</v>
      </c>
      <c r="B874" t="s">
        <v>159</v>
      </c>
      <c r="C874">
        <v>12</v>
      </c>
      <c r="D874" t="s">
        <v>86</v>
      </c>
      <c r="E874">
        <v>1237</v>
      </c>
      <c r="F874">
        <v>1379</v>
      </c>
      <c r="G874">
        <v>1073</v>
      </c>
      <c r="H874" t="s">
        <v>77</v>
      </c>
      <c r="I874" t="s">
        <v>167</v>
      </c>
    </row>
    <row r="875" spans="1:9" ht="15" customHeight="1" x14ac:dyDescent="0.35">
      <c r="A875">
        <v>2025</v>
      </c>
      <c r="B875" t="s">
        <v>147</v>
      </c>
      <c r="C875">
        <v>1</v>
      </c>
      <c r="D875" t="s">
        <v>86</v>
      </c>
      <c r="E875">
        <v>1240</v>
      </c>
      <c r="F875">
        <v>1370</v>
      </c>
      <c r="G875">
        <v>761</v>
      </c>
      <c r="H875" t="s">
        <v>77</v>
      </c>
      <c r="I875" t="s">
        <v>167</v>
      </c>
    </row>
    <row r="876" spans="1:9" ht="15" customHeight="1" x14ac:dyDescent="0.35">
      <c r="A876">
        <v>2025</v>
      </c>
      <c r="B876" t="s">
        <v>149</v>
      </c>
      <c r="C876">
        <v>2</v>
      </c>
      <c r="D876" t="s">
        <v>86</v>
      </c>
      <c r="E876">
        <v>1239</v>
      </c>
      <c r="F876">
        <v>1362</v>
      </c>
      <c r="G876">
        <v>1004</v>
      </c>
      <c r="H876" t="s">
        <v>77</v>
      </c>
      <c r="I876" t="s">
        <v>167</v>
      </c>
    </row>
    <row r="877" spans="1:9" ht="15" customHeight="1" x14ac:dyDescent="0.35">
      <c r="A877">
        <v>2025</v>
      </c>
      <c r="B877" t="s">
        <v>150</v>
      </c>
      <c r="C877">
        <v>3</v>
      </c>
      <c r="D877" t="s">
        <v>86</v>
      </c>
      <c r="E877">
        <v>1240</v>
      </c>
      <c r="F877">
        <v>1381</v>
      </c>
      <c r="G877">
        <v>631</v>
      </c>
      <c r="H877" t="s">
        <v>77</v>
      </c>
      <c r="I877" t="s">
        <v>167</v>
      </c>
    </row>
    <row r="878" spans="1:9" ht="15" customHeight="1" x14ac:dyDescent="0.35">
      <c r="A878">
        <v>2025</v>
      </c>
      <c r="B878" t="s">
        <v>151</v>
      </c>
      <c r="C878">
        <v>4</v>
      </c>
      <c r="D878" t="s">
        <v>86</v>
      </c>
      <c r="E878">
        <v>1261</v>
      </c>
      <c r="F878">
        <v>1386</v>
      </c>
      <c r="G878">
        <v>975</v>
      </c>
      <c r="H878" t="s">
        <v>78</v>
      </c>
      <c r="I878" t="s">
        <v>167</v>
      </c>
    </row>
    <row r="879" spans="1:9" ht="15" customHeight="1" x14ac:dyDescent="0.35">
      <c r="A879">
        <v>2025</v>
      </c>
      <c r="B879" t="s">
        <v>152</v>
      </c>
      <c r="C879">
        <v>5</v>
      </c>
      <c r="D879" t="s">
        <v>86</v>
      </c>
      <c r="E879">
        <v>1276</v>
      </c>
      <c r="F879">
        <v>1396</v>
      </c>
      <c r="G879">
        <v>951</v>
      </c>
      <c r="H879" t="s">
        <v>78</v>
      </c>
      <c r="I879" t="s">
        <v>167</v>
      </c>
    </row>
    <row r="880" spans="1:9" ht="15" customHeight="1" x14ac:dyDescent="0.35">
      <c r="A880">
        <v>2025</v>
      </c>
      <c r="B880" t="s">
        <v>153</v>
      </c>
      <c r="C880">
        <v>6</v>
      </c>
      <c r="D880" t="s">
        <v>86</v>
      </c>
      <c r="E880">
        <v>1296</v>
      </c>
      <c r="F880">
        <v>1414</v>
      </c>
      <c r="G880">
        <v>1099</v>
      </c>
      <c r="H880" t="s">
        <v>78</v>
      </c>
      <c r="I880" t="s">
        <v>167</v>
      </c>
    </row>
    <row r="881" spans="1:9" ht="15" customHeight="1" x14ac:dyDescent="0.35">
      <c r="A881">
        <v>2025</v>
      </c>
      <c r="B881" t="s">
        <v>154</v>
      </c>
      <c r="C881">
        <v>7</v>
      </c>
      <c r="D881" t="s">
        <v>86</v>
      </c>
      <c r="E881">
        <v>1330</v>
      </c>
      <c r="F881">
        <v>1410</v>
      </c>
      <c r="G881">
        <v>1168</v>
      </c>
      <c r="H881" t="s">
        <v>78</v>
      </c>
      <c r="I881" t="s">
        <v>167</v>
      </c>
    </row>
    <row r="882" spans="1:9" ht="15" customHeight="1" x14ac:dyDescent="0.35">
      <c r="A882">
        <v>2025</v>
      </c>
      <c r="B882" t="s">
        <v>155</v>
      </c>
      <c r="C882">
        <v>8</v>
      </c>
      <c r="D882" t="s">
        <v>86</v>
      </c>
      <c r="E882">
        <v>1265</v>
      </c>
      <c r="F882">
        <v>1407</v>
      </c>
      <c r="G882">
        <v>870</v>
      </c>
      <c r="H882" t="s">
        <v>78</v>
      </c>
      <c r="I882" t="s">
        <v>167</v>
      </c>
    </row>
    <row r="883" spans="1:9" ht="15" customHeight="1" x14ac:dyDescent="0.35">
      <c r="A883">
        <v>2025</v>
      </c>
      <c r="B883" t="s">
        <v>156</v>
      </c>
      <c r="C883">
        <v>9</v>
      </c>
      <c r="D883" t="s">
        <v>86</v>
      </c>
      <c r="E883">
        <v>1285</v>
      </c>
      <c r="F883">
        <v>1387</v>
      </c>
      <c r="G883">
        <v>984</v>
      </c>
      <c r="H883" t="s">
        <v>78</v>
      </c>
      <c r="I883" t="s">
        <v>167</v>
      </c>
    </row>
    <row r="884" spans="1:9" ht="15" customHeight="1" x14ac:dyDescent="0.35">
      <c r="A884">
        <v>2025</v>
      </c>
      <c r="B884" t="s">
        <v>157</v>
      </c>
      <c r="C884">
        <v>10</v>
      </c>
      <c r="D884" t="s">
        <v>86</v>
      </c>
      <c r="E884">
        <v>1216</v>
      </c>
      <c r="F884">
        <v>1402</v>
      </c>
      <c r="G884">
        <v>685</v>
      </c>
      <c r="H884" t="s">
        <v>78</v>
      </c>
      <c r="I884" t="s">
        <v>167</v>
      </c>
    </row>
    <row r="885" spans="1:9" ht="15" customHeight="1" x14ac:dyDescent="0.35">
      <c r="A885">
        <v>2025</v>
      </c>
      <c r="B885" t="s">
        <v>158</v>
      </c>
      <c r="C885">
        <v>11</v>
      </c>
      <c r="D885" t="s">
        <v>86</v>
      </c>
      <c r="E885">
        <v>1244</v>
      </c>
      <c r="F885">
        <v>1385</v>
      </c>
      <c r="G885">
        <v>896</v>
      </c>
      <c r="H885" t="s">
        <v>78</v>
      </c>
      <c r="I885" t="s">
        <v>167</v>
      </c>
    </row>
    <row r="886" spans="1:9" ht="15" customHeight="1" x14ac:dyDescent="0.35">
      <c r="A886">
        <v>2025</v>
      </c>
      <c r="B886" t="s">
        <v>159</v>
      </c>
      <c r="C886">
        <v>12</v>
      </c>
      <c r="D886" t="s">
        <v>86</v>
      </c>
      <c r="E886">
        <v>1259</v>
      </c>
      <c r="F886">
        <v>1374</v>
      </c>
      <c r="G886">
        <v>1109</v>
      </c>
      <c r="H886" t="s">
        <v>78</v>
      </c>
      <c r="I886" t="s">
        <v>167</v>
      </c>
    </row>
    <row r="887" spans="1:9" ht="15" customHeight="1" x14ac:dyDescent="0.35">
      <c r="A887">
        <v>2026</v>
      </c>
      <c r="B887" t="s">
        <v>147</v>
      </c>
      <c r="C887">
        <v>1</v>
      </c>
      <c r="D887" t="s">
        <v>86</v>
      </c>
      <c r="E887">
        <v>1255</v>
      </c>
      <c r="F887">
        <v>1397</v>
      </c>
      <c r="G887">
        <v>893</v>
      </c>
      <c r="H887" t="s">
        <v>78</v>
      </c>
      <c r="I887" t="s">
        <v>167</v>
      </c>
    </row>
    <row r="888" spans="1:9" ht="15" customHeight="1" x14ac:dyDescent="0.35">
      <c r="A888">
        <v>2026</v>
      </c>
      <c r="B888" t="s">
        <v>149</v>
      </c>
      <c r="C888">
        <v>2</v>
      </c>
      <c r="D888" t="s">
        <v>86</v>
      </c>
      <c r="E888">
        <v>1298</v>
      </c>
      <c r="F888">
        <v>1410</v>
      </c>
      <c r="G888">
        <v>978</v>
      </c>
      <c r="H888" t="s">
        <v>78</v>
      </c>
      <c r="I888" t="s">
        <v>167</v>
      </c>
    </row>
    <row r="889" spans="1:9" ht="15" customHeight="1" x14ac:dyDescent="0.35">
      <c r="A889">
        <v>2026</v>
      </c>
      <c r="B889" t="s">
        <v>150</v>
      </c>
      <c r="C889">
        <v>3</v>
      </c>
      <c r="D889" t="s">
        <v>86</v>
      </c>
      <c r="E889">
        <v>1255</v>
      </c>
      <c r="F889">
        <v>1397</v>
      </c>
      <c r="G889">
        <v>893</v>
      </c>
      <c r="H889" t="s">
        <v>78</v>
      </c>
      <c r="I889" t="s">
        <v>167</v>
      </c>
    </row>
    <row r="890" spans="1:9" ht="15" customHeight="1" x14ac:dyDescent="0.35">
      <c r="A890">
        <v>2017</v>
      </c>
      <c r="B890" t="s">
        <v>147</v>
      </c>
      <c r="C890">
        <v>1</v>
      </c>
      <c r="D890" t="s">
        <v>87</v>
      </c>
      <c r="E890">
        <v>2683</v>
      </c>
      <c r="F890">
        <v>4193</v>
      </c>
      <c r="G890">
        <v>1301</v>
      </c>
      <c r="H890" t="s">
        <v>122</v>
      </c>
      <c r="I890" t="s">
        <v>168</v>
      </c>
    </row>
    <row r="891" spans="1:9" ht="15" customHeight="1" x14ac:dyDescent="0.35">
      <c r="A891">
        <v>2017</v>
      </c>
      <c r="B891" t="s">
        <v>149</v>
      </c>
      <c r="C891">
        <v>2</v>
      </c>
      <c r="D891" t="s">
        <v>87</v>
      </c>
      <c r="E891">
        <v>2540</v>
      </c>
      <c r="F891">
        <v>3847</v>
      </c>
      <c r="G891">
        <v>1284</v>
      </c>
      <c r="H891" t="s">
        <v>122</v>
      </c>
      <c r="I891" t="s">
        <v>168</v>
      </c>
    </row>
    <row r="892" spans="1:9" ht="15" customHeight="1" x14ac:dyDescent="0.35">
      <c r="A892">
        <v>2017</v>
      </c>
      <c r="B892" t="s">
        <v>150</v>
      </c>
      <c r="C892">
        <v>3</v>
      </c>
      <c r="D892" t="s">
        <v>87</v>
      </c>
      <c r="E892">
        <v>2650</v>
      </c>
      <c r="F892">
        <v>4061</v>
      </c>
      <c r="G892">
        <v>1162</v>
      </c>
      <c r="H892" t="s">
        <v>122</v>
      </c>
      <c r="I892" t="s">
        <v>168</v>
      </c>
    </row>
    <row r="893" spans="1:9" ht="15" customHeight="1" x14ac:dyDescent="0.35">
      <c r="A893">
        <v>2017</v>
      </c>
      <c r="B893" t="s">
        <v>151</v>
      </c>
      <c r="C893">
        <v>4</v>
      </c>
      <c r="D893" t="s">
        <v>87</v>
      </c>
      <c r="E893">
        <v>3842</v>
      </c>
      <c r="F893">
        <v>5652</v>
      </c>
      <c r="G893">
        <v>2431</v>
      </c>
      <c r="H893" t="s">
        <v>123</v>
      </c>
      <c r="I893" t="s">
        <v>168</v>
      </c>
    </row>
    <row r="894" spans="1:9" ht="15" customHeight="1" x14ac:dyDescent="0.35">
      <c r="A894">
        <v>2017</v>
      </c>
      <c r="B894" t="s">
        <v>152</v>
      </c>
      <c r="C894">
        <v>5</v>
      </c>
      <c r="D894" t="s">
        <v>87</v>
      </c>
      <c r="E894">
        <v>4583</v>
      </c>
      <c r="F894">
        <v>5985</v>
      </c>
      <c r="G894">
        <v>3130</v>
      </c>
      <c r="H894" t="s">
        <v>123</v>
      </c>
      <c r="I894" t="s">
        <v>168</v>
      </c>
    </row>
    <row r="895" spans="1:9" ht="15" customHeight="1" x14ac:dyDescent="0.35">
      <c r="A895">
        <v>2017</v>
      </c>
      <c r="B895" t="s">
        <v>153</v>
      </c>
      <c r="C895">
        <v>6</v>
      </c>
      <c r="D895" t="s">
        <v>87</v>
      </c>
      <c r="E895">
        <v>4643</v>
      </c>
      <c r="F895">
        <v>6457</v>
      </c>
      <c r="G895">
        <v>3227</v>
      </c>
      <c r="H895" t="s">
        <v>123</v>
      </c>
      <c r="I895" t="s">
        <v>168</v>
      </c>
    </row>
    <row r="896" spans="1:9" ht="15" customHeight="1" x14ac:dyDescent="0.35">
      <c r="A896">
        <v>2017</v>
      </c>
      <c r="B896" t="s">
        <v>154</v>
      </c>
      <c r="C896">
        <v>7</v>
      </c>
      <c r="D896" t="s">
        <v>87</v>
      </c>
      <c r="E896">
        <v>4609</v>
      </c>
      <c r="F896">
        <v>6035</v>
      </c>
      <c r="G896">
        <v>3256</v>
      </c>
      <c r="H896" t="s">
        <v>123</v>
      </c>
      <c r="I896" t="s">
        <v>168</v>
      </c>
    </row>
    <row r="897" spans="1:9" ht="15" customHeight="1" x14ac:dyDescent="0.35">
      <c r="A897">
        <v>2017</v>
      </c>
      <c r="B897" t="s">
        <v>155</v>
      </c>
      <c r="C897">
        <v>8</v>
      </c>
      <c r="D897" t="s">
        <v>87</v>
      </c>
      <c r="E897">
        <v>4616</v>
      </c>
      <c r="F897">
        <v>6059</v>
      </c>
      <c r="G897">
        <v>3331</v>
      </c>
      <c r="H897" t="s">
        <v>123</v>
      </c>
      <c r="I897" t="s">
        <v>168</v>
      </c>
    </row>
    <row r="898" spans="1:9" ht="15" customHeight="1" x14ac:dyDescent="0.35">
      <c r="A898">
        <v>2017</v>
      </c>
      <c r="B898" t="s">
        <v>156</v>
      </c>
      <c r="C898">
        <v>9</v>
      </c>
      <c r="D898" t="s">
        <v>87</v>
      </c>
      <c r="E898">
        <v>4296</v>
      </c>
      <c r="F898">
        <v>5593</v>
      </c>
      <c r="G898">
        <v>2638</v>
      </c>
      <c r="H898" t="s">
        <v>123</v>
      </c>
      <c r="I898" t="s">
        <v>168</v>
      </c>
    </row>
    <row r="899" spans="1:9" ht="15" customHeight="1" x14ac:dyDescent="0.35">
      <c r="A899">
        <v>2017</v>
      </c>
      <c r="B899" t="s">
        <v>157</v>
      </c>
      <c r="C899">
        <v>10</v>
      </c>
      <c r="D899" t="s">
        <v>87</v>
      </c>
      <c r="E899">
        <v>3498</v>
      </c>
      <c r="F899">
        <v>4668</v>
      </c>
      <c r="G899">
        <v>2083</v>
      </c>
      <c r="H899" t="s">
        <v>123</v>
      </c>
      <c r="I899" t="s">
        <v>168</v>
      </c>
    </row>
    <row r="900" spans="1:9" ht="15" customHeight="1" x14ac:dyDescent="0.35">
      <c r="A900">
        <v>2017</v>
      </c>
      <c r="B900" t="s">
        <v>158</v>
      </c>
      <c r="C900">
        <v>11</v>
      </c>
      <c r="D900" t="s">
        <v>87</v>
      </c>
      <c r="E900">
        <v>2625</v>
      </c>
      <c r="F900">
        <v>3644</v>
      </c>
      <c r="G900">
        <v>1391</v>
      </c>
      <c r="H900" t="s">
        <v>123</v>
      </c>
      <c r="I900" t="s">
        <v>168</v>
      </c>
    </row>
    <row r="901" spans="1:9" ht="15" customHeight="1" x14ac:dyDescent="0.35">
      <c r="A901">
        <v>2017</v>
      </c>
      <c r="B901" t="s">
        <v>159</v>
      </c>
      <c r="C901">
        <v>12</v>
      </c>
      <c r="D901" t="s">
        <v>87</v>
      </c>
      <c r="E901">
        <v>2636</v>
      </c>
      <c r="F901">
        <v>3943</v>
      </c>
      <c r="G901">
        <v>1383</v>
      </c>
      <c r="H901" t="s">
        <v>123</v>
      </c>
      <c r="I901" t="s">
        <v>168</v>
      </c>
    </row>
    <row r="902" spans="1:9" ht="15" customHeight="1" x14ac:dyDescent="0.35">
      <c r="A902">
        <v>2018</v>
      </c>
      <c r="B902" t="s">
        <v>147</v>
      </c>
      <c r="C902">
        <v>1</v>
      </c>
      <c r="D902" t="s">
        <v>87</v>
      </c>
      <c r="E902">
        <v>2783</v>
      </c>
      <c r="F902">
        <v>4389</v>
      </c>
      <c r="G902">
        <v>1337</v>
      </c>
      <c r="H902" t="s">
        <v>123</v>
      </c>
      <c r="I902" t="s">
        <v>168</v>
      </c>
    </row>
    <row r="903" spans="1:9" ht="15" customHeight="1" x14ac:dyDescent="0.35">
      <c r="A903">
        <v>2018</v>
      </c>
      <c r="B903" t="s">
        <v>149</v>
      </c>
      <c r="C903">
        <v>2</v>
      </c>
      <c r="D903" t="s">
        <v>87</v>
      </c>
      <c r="E903">
        <v>2634</v>
      </c>
      <c r="F903">
        <v>3868</v>
      </c>
      <c r="G903">
        <v>1407</v>
      </c>
      <c r="H903" t="s">
        <v>123</v>
      </c>
      <c r="I903" t="s">
        <v>168</v>
      </c>
    </row>
    <row r="904" spans="1:9" ht="15" customHeight="1" x14ac:dyDescent="0.35">
      <c r="A904">
        <v>2018</v>
      </c>
      <c r="B904" t="s">
        <v>150</v>
      </c>
      <c r="C904">
        <v>3</v>
      </c>
      <c r="D904" t="s">
        <v>87</v>
      </c>
      <c r="E904">
        <v>2775</v>
      </c>
      <c r="F904">
        <v>3696</v>
      </c>
      <c r="G904">
        <v>1424</v>
      </c>
      <c r="H904" t="s">
        <v>123</v>
      </c>
      <c r="I904" t="s">
        <v>168</v>
      </c>
    </row>
    <row r="905" spans="1:9" ht="15" customHeight="1" x14ac:dyDescent="0.35">
      <c r="A905">
        <v>2018</v>
      </c>
      <c r="B905" t="s">
        <v>151</v>
      </c>
      <c r="C905">
        <v>4</v>
      </c>
      <c r="D905" t="s">
        <v>87</v>
      </c>
      <c r="E905">
        <v>3653</v>
      </c>
      <c r="F905">
        <v>5135</v>
      </c>
      <c r="G905">
        <v>2378</v>
      </c>
      <c r="H905" t="s">
        <v>124</v>
      </c>
      <c r="I905" t="s">
        <v>168</v>
      </c>
    </row>
    <row r="906" spans="1:9" ht="15" customHeight="1" x14ac:dyDescent="0.35">
      <c r="A906">
        <v>2018</v>
      </c>
      <c r="B906" t="s">
        <v>152</v>
      </c>
      <c r="C906">
        <v>5</v>
      </c>
      <c r="D906" t="s">
        <v>87</v>
      </c>
      <c r="E906">
        <v>4574</v>
      </c>
      <c r="F906">
        <v>6363</v>
      </c>
      <c r="G906">
        <v>2965</v>
      </c>
      <c r="H906" t="s">
        <v>124</v>
      </c>
      <c r="I906" t="s">
        <v>168</v>
      </c>
    </row>
    <row r="907" spans="1:9" ht="15" customHeight="1" x14ac:dyDescent="0.35">
      <c r="A907">
        <v>2018</v>
      </c>
      <c r="B907" t="s">
        <v>153</v>
      </c>
      <c r="C907">
        <v>6</v>
      </c>
      <c r="D907" t="s">
        <v>87</v>
      </c>
      <c r="E907">
        <v>5276</v>
      </c>
      <c r="F907">
        <v>6879</v>
      </c>
      <c r="G907">
        <v>3539</v>
      </c>
      <c r="H907" t="s">
        <v>124</v>
      </c>
      <c r="I907" t="s">
        <v>168</v>
      </c>
    </row>
    <row r="908" spans="1:9" ht="15" customHeight="1" x14ac:dyDescent="0.35">
      <c r="A908">
        <v>2018</v>
      </c>
      <c r="B908" t="s">
        <v>154</v>
      </c>
      <c r="C908">
        <v>7</v>
      </c>
      <c r="D908" t="s">
        <v>87</v>
      </c>
      <c r="E908">
        <v>4948</v>
      </c>
      <c r="F908">
        <v>6931</v>
      </c>
      <c r="G908">
        <v>3239</v>
      </c>
      <c r="H908" t="s">
        <v>124</v>
      </c>
      <c r="I908" t="s">
        <v>168</v>
      </c>
    </row>
    <row r="909" spans="1:9" ht="15" customHeight="1" x14ac:dyDescent="0.35">
      <c r="A909">
        <v>2018</v>
      </c>
      <c r="B909" t="s">
        <v>155</v>
      </c>
      <c r="C909">
        <v>8</v>
      </c>
      <c r="D909" t="s">
        <v>87</v>
      </c>
      <c r="E909">
        <v>4729</v>
      </c>
      <c r="F909">
        <v>5838</v>
      </c>
      <c r="G909">
        <v>3507</v>
      </c>
      <c r="H909" t="s">
        <v>124</v>
      </c>
      <c r="I909" t="s">
        <v>168</v>
      </c>
    </row>
    <row r="910" spans="1:9" ht="15" customHeight="1" x14ac:dyDescent="0.35">
      <c r="A910">
        <v>2018</v>
      </c>
      <c r="B910" t="s">
        <v>156</v>
      </c>
      <c r="C910">
        <v>9</v>
      </c>
      <c r="D910" t="s">
        <v>87</v>
      </c>
      <c r="E910">
        <v>4066</v>
      </c>
      <c r="F910">
        <v>5223</v>
      </c>
      <c r="G910">
        <v>2552</v>
      </c>
      <c r="H910" t="s">
        <v>124</v>
      </c>
      <c r="I910" t="s">
        <v>168</v>
      </c>
    </row>
    <row r="911" spans="1:9" ht="15" customHeight="1" x14ac:dyDescent="0.35">
      <c r="A911">
        <v>2018</v>
      </c>
      <c r="B911" t="s">
        <v>157</v>
      </c>
      <c r="C911">
        <v>10</v>
      </c>
      <c r="D911" t="s">
        <v>87</v>
      </c>
      <c r="E911">
        <v>3353</v>
      </c>
      <c r="F911">
        <v>4632</v>
      </c>
      <c r="G911">
        <v>1988</v>
      </c>
      <c r="H911" t="s">
        <v>124</v>
      </c>
      <c r="I911" t="s">
        <v>168</v>
      </c>
    </row>
    <row r="912" spans="1:9" ht="15" customHeight="1" x14ac:dyDescent="0.35">
      <c r="A912">
        <v>2018</v>
      </c>
      <c r="B912" t="s">
        <v>158</v>
      </c>
      <c r="C912">
        <v>11</v>
      </c>
      <c r="D912" t="s">
        <v>87</v>
      </c>
      <c r="E912">
        <v>2551</v>
      </c>
      <c r="F912">
        <v>3698</v>
      </c>
      <c r="G912">
        <v>1451</v>
      </c>
      <c r="H912" t="s">
        <v>124</v>
      </c>
      <c r="I912" t="s">
        <v>168</v>
      </c>
    </row>
    <row r="913" spans="1:9" ht="15" customHeight="1" x14ac:dyDescent="0.35">
      <c r="A913">
        <v>2018</v>
      </c>
      <c r="B913" t="s">
        <v>159</v>
      </c>
      <c r="C913">
        <v>12</v>
      </c>
      <c r="D913" t="s">
        <v>87</v>
      </c>
      <c r="E913">
        <v>2666</v>
      </c>
      <c r="F913">
        <v>4372</v>
      </c>
      <c r="G913">
        <v>527</v>
      </c>
      <c r="H913" t="s">
        <v>124</v>
      </c>
      <c r="I913" t="s">
        <v>168</v>
      </c>
    </row>
    <row r="914" spans="1:9" ht="15" customHeight="1" x14ac:dyDescent="0.35">
      <c r="A914">
        <v>2019</v>
      </c>
      <c r="B914" t="s">
        <v>147</v>
      </c>
      <c r="C914">
        <v>1</v>
      </c>
      <c r="D914" t="s">
        <v>87</v>
      </c>
      <c r="E914">
        <v>2895</v>
      </c>
      <c r="F914">
        <v>4484</v>
      </c>
      <c r="G914">
        <v>1319</v>
      </c>
      <c r="H914" t="s">
        <v>124</v>
      </c>
      <c r="I914" t="s">
        <v>168</v>
      </c>
    </row>
    <row r="915" spans="1:9" ht="15" customHeight="1" x14ac:dyDescent="0.35">
      <c r="A915">
        <v>2019</v>
      </c>
      <c r="B915" t="s">
        <v>149</v>
      </c>
      <c r="C915">
        <v>2</v>
      </c>
      <c r="D915" t="s">
        <v>87</v>
      </c>
      <c r="E915">
        <v>2781</v>
      </c>
      <c r="F915">
        <v>4253</v>
      </c>
      <c r="G915">
        <v>1408</v>
      </c>
      <c r="H915" t="s">
        <v>124</v>
      </c>
      <c r="I915" t="s">
        <v>168</v>
      </c>
    </row>
    <row r="916" spans="1:9" ht="15" customHeight="1" x14ac:dyDescent="0.35">
      <c r="A916">
        <v>2019</v>
      </c>
      <c r="B916" t="s">
        <v>150</v>
      </c>
      <c r="C916">
        <v>3</v>
      </c>
      <c r="D916" t="s">
        <v>87</v>
      </c>
      <c r="E916">
        <v>2577</v>
      </c>
      <c r="F916">
        <v>3910</v>
      </c>
      <c r="G916">
        <v>1348</v>
      </c>
      <c r="H916" t="s">
        <v>124</v>
      </c>
      <c r="I916" t="s">
        <v>168</v>
      </c>
    </row>
    <row r="917" spans="1:9" ht="15" customHeight="1" x14ac:dyDescent="0.35">
      <c r="A917">
        <v>2019</v>
      </c>
      <c r="B917" t="s">
        <v>151</v>
      </c>
      <c r="C917">
        <v>4</v>
      </c>
      <c r="D917" t="s">
        <v>87</v>
      </c>
      <c r="E917">
        <v>3738</v>
      </c>
      <c r="F917">
        <v>5610</v>
      </c>
      <c r="G917">
        <v>2251</v>
      </c>
      <c r="H917" t="s">
        <v>71</v>
      </c>
      <c r="I917" t="s">
        <v>168</v>
      </c>
    </row>
    <row r="918" spans="1:9" ht="15" customHeight="1" x14ac:dyDescent="0.35">
      <c r="A918">
        <v>2019</v>
      </c>
      <c r="B918" t="s">
        <v>152</v>
      </c>
      <c r="C918">
        <v>5</v>
      </c>
      <c r="D918" t="s">
        <v>87</v>
      </c>
      <c r="E918">
        <v>4518</v>
      </c>
      <c r="F918">
        <v>6372</v>
      </c>
      <c r="G918">
        <v>3094</v>
      </c>
      <c r="H918" t="s">
        <v>71</v>
      </c>
      <c r="I918" t="s">
        <v>168</v>
      </c>
    </row>
    <row r="919" spans="1:9" ht="15" customHeight="1" x14ac:dyDescent="0.35">
      <c r="A919">
        <v>2019</v>
      </c>
      <c r="B919" t="s">
        <v>153</v>
      </c>
      <c r="C919">
        <v>6</v>
      </c>
      <c r="D919" t="s">
        <v>87</v>
      </c>
      <c r="E919">
        <v>5318</v>
      </c>
      <c r="F919">
        <v>6730</v>
      </c>
      <c r="G919">
        <v>3360</v>
      </c>
      <c r="H919" t="s">
        <v>71</v>
      </c>
      <c r="I919" t="s">
        <v>168</v>
      </c>
    </row>
    <row r="920" spans="1:9" ht="15" customHeight="1" x14ac:dyDescent="0.35">
      <c r="A920">
        <v>2019</v>
      </c>
      <c r="B920" t="s">
        <v>154</v>
      </c>
      <c r="C920">
        <v>7</v>
      </c>
      <c r="D920" t="s">
        <v>87</v>
      </c>
      <c r="E920">
        <v>5067</v>
      </c>
      <c r="F920">
        <v>7302</v>
      </c>
      <c r="G920">
        <v>3470</v>
      </c>
      <c r="H920" t="s">
        <v>71</v>
      </c>
      <c r="I920" t="s">
        <v>168</v>
      </c>
    </row>
    <row r="921" spans="1:9" ht="15" customHeight="1" x14ac:dyDescent="0.35">
      <c r="A921">
        <v>2019</v>
      </c>
      <c r="B921" t="s">
        <v>155</v>
      </c>
      <c r="C921">
        <v>8</v>
      </c>
      <c r="D921" t="s">
        <v>87</v>
      </c>
      <c r="E921">
        <v>4775</v>
      </c>
      <c r="F921">
        <v>6370</v>
      </c>
      <c r="G921">
        <v>3243</v>
      </c>
      <c r="H921" t="s">
        <v>71</v>
      </c>
      <c r="I921" t="s">
        <v>168</v>
      </c>
    </row>
    <row r="922" spans="1:9" ht="15" customHeight="1" x14ac:dyDescent="0.35">
      <c r="A922">
        <v>2019</v>
      </c>
      <c r="B922" t="s">
        <v>156</v>
      </c>
      <c r="C922">
        <v>9</v>
      </c>
      <c r="D922" t="s">
        <v>87</v>
      </c>
      <c r="E922">
        <v>4807</v>
      </c>
      <c r="F922">
        <v>6515</v>
      </c>
      <c r="G922">
        <v>3159</v>
      </c>
      <c r="H922" t="s">
        <v>71</v>
      </c>
      <c r="I922" t="s">
        <v>168</v>
      </c>
    </row>
    <row r="923" spans="1:9" ht="15" customHeight="1" x14ac:dyDescent="0.35">
      <c r="A923">
        <v>2019</v>
      </c>
      <c r="B923" t="s">
        <v>157</v>
      </c>
      <c r="C923">
        <v>10</v>
      </c>
      <c r="D923" t="s">
        <v>87</v>
      </c>
      <c r="E923">
        <v>3282</v>
      </c>
      <c r="F923">
        <v>4417</v>
      </c>
      <c r="G923">
        <v>1997</v>
      </c>
      <c r="H923" t="s">
        <v>71</v>
      </c>
      <c r="I923" t="s">
        <v>168</v>
      </c>
    </row>
    <row r="924" spans="1:9" ht="15" customHeight="1" x14ac:dyDescent="0.35">
      <c r="A924">
        <v>2019</v>
      </c>
      <c r="B924" t="s">
        <v>158</v>
      </c>
      <c r="C924">
        <v>11</v>
      </c>
      <c r="D924" t="s">
        <v>87</v>
      </c>
      <c r="E924">
        <v>2633</v>
      </c>
      <c r="F924">
        <v>3585</v>
      </c>
      <c r="G924">
        <v>1544</v>
      </c>
      <c r="H924" t="s">
        <v>71</v>
      </c>
      <c r="I924" t="s">
        <v>168</v>
      </c>
    </row>
    <row r="925" spans="1:9" ht="15" customHeight="1" x14ac:dyDescent="0.35">
      <c r="A925">
        <v>2019</v>
      </c>
      <c r="B925" t="s">
        <v>159</v>
      </c>
      <c r="C925">
        <v>12</v>
      </c>
      <c r="D925" t="s">
        <v>87</v>
      </c>
      <c r="E925">
        <v>2907</v>
      </c>
      <c r="F925">
        <v>5152</v>
      </c>
      <c r="G925">
        <v>1365</v>
      </c>
      <c r="H925" t="s">
        <v>71</v>
      </c>
      <c r="I925" t="s">
        <v>168</v>
      </c>
    </row>
    <row r="926" spans="1:9" ht="15" customHeight="1" x14ac:dyDescent="0.35">
      <c r="A926">
        <v>2020</v>
      </c>
      <c r="B926" t="s">
        <v>147</v>
      </c>
      <c r="C926">
        <v>1</v>
      </c>
      <c r="D926" t="s">
        <v>87</v>
      </c>
      <c r="E926">
        <v>3086</v>
      </c>
      <c r="F926">
        <v>5225</v>
      </c>
      <c r="G926">
        <v>1328</v>
      </c>
      <c r="H926" t="s">
        <v>71</v>
      </c>
      <c r="I926" t="s">
        <v>168</v>
      </c>
    </row>
    <row r="927" spans="1:9" ht="15" customHeight="1" x14ac:dyDescent="0.35">
      <c r="A927">
        <v>2020</v>
      </c>
      <c r="B927" t="s">
        <v>149</v>
      </c>
      <c r="C927">
        <v>2</v>
      </c>
      <c r="D927" t="s">
        <v>87</v>
      </c>
      <c r="E927">
        <v>2735</v>
      </c>
      <c r="F927">
        <v>4368</v>
      </c>
      <c r="G927">
        <v>1376</v>
      </c>
      <c r="H927" t="s">
        <v>71</v>
      </c>
      <c r="I927" t="s">
        <v>168</v>
      </c>
    </row>
    <row r="928" spans="1:9" ht="15" customHeight="1" x14ac:dyDescent="0.35">
      <c r="A928">
        <v>2020</v>
      </c>
      <c r="B928" t="s">
        <v>150</v>
      </c>
      <c r="C928">
        <v>3</v>
      </c>
      <c r="D928" t="s">
        <v>87</v>
      </c>
      <c r="E928">
        <v>2275</v>
      </c>
      <c r="F928">
        <v>3688</v>
      </c>
      <c r="G928">
        <v>1209</v>
      </c>
      <c r="H928" t="s">
        <v>71</v>
      </c>
      <c r="I928" t="s">
        <v>168</v>
      </c>
    </row>
    <row r="929" spans="1:9" ht="15" customHeight="1" x14ac:dyDescent="0.35">
      <c r="A929">
        <v>2020</v>
      </c>
      <c r="B929" t="s">
        <v>151</v>
      </c>
      <c r="C929">
        <v>4</v>
      </c>
      <c r="D929" t="s">
        <v>87</v>
      </c>
      <c r="E929">
        <v>2284</v>
      </c>
      <c r="F929">
        <v>3336</v>
      </c>
      <c r="G929">
        <v>1450</v>
      </c>
      <c r="H929" t="s">
        <v>72</v>
      </c>
      <c r="I929" t="s">
        <v>168</v>
      </c>
    </row>
    <row r="930" spans="1:9" ht="15" customHeight="1" x14ac:dyDescent="0.35">
      <c r="A930">
        <v>2020</v>
      </c>
      <c r="B930" t="s">
        <v>152</v>
      </c>
      <c r="C930">
        <v>5</v>
      </c>
      <c r="D930" t="s">
        <v>87</v>
      </c>
      <c r="E930">
        <v>3321</v>
      </c>
      <c r="F930">
        <v>5435</v>
      </c>
      <c r="G930">
        <v>2207</v>
      </c>
      <c r="H930" t="s">
        <v>72</v>
      </c>
      <c r="I930" t="s">
        <v>168</v>
      </c>
    </row>
    <row r="931" spans="1:9" ht="15" customHeight="1" x14ac:dyDescent="0.35">
      <c r="A931">
        <v>2020</v>
      </c>
      <c r="B931" t="s">
        <v>153</v>
      </c>
      <c r="C931">
        <v>6</v>
      </c>
      <c r="D931" t="s">
        <v>87</v>
      </c>
      <c r="E931">
        <v>4268</v>
      </c>
      <c r="F931">
        <v>6244</v>
      </c>
      <c r="G931">
        <v>2564</v>
      </c>
      <c r="H931" t="s">
        <v>72</v>
      </c>
      <c r="I931" t="s">
        <v>168</v>
      </c>
    </row>
    <row r="932" spans="1:9" ht="15" customHeight="1" x14ac:dyDescent="0.35">
      <c r="A932">
        <v>2020</v>
      </c>
      <c r="B932" t="s">
        <v>154</v>
      </c>
      <c r="C932">
        <v>7</v>
      </c>
      <c r="D932" t="s">
        <v>87</v>
      </c>
      <c r="E932">
        <v>4442</v>
      </c>
      <c r="F932">
        <v>6213</v>
      </c>
      <c r="G932">
        <v>2918</v>
      </c>
      <c r="H932" t="s">
        <v>72</v>
      </c>
      <c r="I932" t="s">
        <v>168</v>
      </c>
    </row>
    <row r="933" spans="1:9" ht="15" customHeight="1" x14ac:dyDescent="0.35">
      <c r="A933">
        <v>2020</v>
      </c>
      <c r="B933" t="s">
        <v>155</v>
      </c>
      <c r="C933">
        <v>8</v>
      </c>
      <c r="D933" t="s">
        <v>87</v>
      </c>
      <c r="E933">
        <v>4244</v>
      </c>
      <c r="F933">
        <v>5674</v>
      </c>
      <c r="G933">
        <v>2984</v>
      </c>
      <c r="H933" t="s">
        <v>72</v>
      </c>
      <c r="I933" t="s">
        <v>168</v>
      </c>
    </row>
    <row r="934" spans="1:9" ht="15" customHeight="1" x14ac:dyDescent="0.35">
      <c r="A934">
        <v>2020</v>
      </c>
      <c r="B934" t="s">
        <v>156</v>
      </c>
      <c r="C934">
        <v>9</v>
      </c>
      <c r="D934" t="s">
        <v>87</v>
      </c>
      <c r="E934">
        <v>4691</v>
      </c>
      <c r="F934">
        <v>6146</v>
      </c>
      <c r="G934">
        <v>3298</v>
      </c>
      <c r="H934" t="s">
        <v>72</v>
      </c>
      <c r="I934" t="s">
        <v>168</v>
      </c>
    </row>
    <row r="935" spans="1:9" ht="15" customHeight="1" x14ac:dyDescent="0.35">
      <c r="A935">
        <v>2020</v>
      </c>
      <c r="B935" t="s">
        <v>157</v>
      </c>
      <c r="C935">
        <v>10</v>
      </c>
      <c r="D935" t="s">
        <v>87</v>
      </c>
      <c r="E935">
        <v>3341</v>
      </c>
      <c r="F935">
        <v>4762</v>
      </c>
      <c r="G935">
        <v>1821</v>
      </c>
      <c r="H935" t="s">
        <v>72</v>
      </c>
      <c r="I935" t="s">
        <v>168</v>
      </c>
    </row>
    <row r="936" spans="1:9" ht="15" customHeight="1" x14ac:dyDescent="0.35">
      <c r="A936">
        <v>2020</v>
      </c>
      <c r="B936" t="s">
        <v>158</v>
      </c>
      <c r="C936">
        <v>11</v>
      </c>
      <c r="D936" t="s">
        <v>87</v>
      </c>
      <c r="E936">
        <v>2537</v>
      </c>
      <c r="F936">
        <v>3708</v>
      </c>
      <c r="G936">
        <v>1417</v>
      </c>
      <c r="H936" t="s">
        <v>72</v>
      </c>
      <c r="I936" t="s">
        <v>168</v>
      </c>
    </row>
    <row r="937" spans="1:9" ht="15" customHeight="1" x14ac:dyDescent="0.35">
      <c r="A937">
        <v>2020</v>
      </c>
      <c r="B937" t="s">
        <v>159</v>
      </c>
      <c r="C937">
        <v>12</v>
      </c>
      <c r="D937" t="s">
        <v>87</v>
      </c>
      <c r="E937">
        <v>2772</v>
      </c>
      <c r="F937">
        <v>4616</v>
      </c>
      <c r="G937">
        <v>1412</v>
      </c>
      <c r="H937" t="s">
        <v>72</v>
      </c>
      <c r="I937" t="s">
        <v>168</v>
      </c>
    </row>
    <row r="938" spans="1:9" ht="15" customHeight="1" x14ac:dyDescent="0.35">
      <c r="A938">
        <v>2021</v>
      </c>
      <c r="B938" t="s">
        <v>147</v>
      </c>
      <c r="C938">
        <v>1</v>
      </c>
      <c r="D938" t="s">
        <v>87</v>
      </c>
      <c r="E938">
        <v>3039</v>
      </c>
      <c r="F938">
        <v>4932</v>
      </c>
      <c r="G938">
        <v>1324</v>
      </c>
      <c r="H938" t="s">
        <v>72</v>
      </c>
      <c r="I938" t="s">
        <v>168</v>
      </c>
    </row>
    <row r="939" spans="1:9" ht="15" customHeight="1" x14ac:dyDescent="0.35">
      <c r="A939">
        <v>2021</v>
      </c>
      <c r="B939" t="s">
        <v>149</v>
      </c>
      <c r="C939">
        <v>2</v>
      </c>
      <c r="D939" t="s">
        <v>87</v>
      </c>
      <c r="E939">
        <v>2661</v>
      </c>
      <c r="F939">
        <v>4375</v>
      </c>
      <c r="G939">
        <v>1362</v>
      </c>
      <c r="H939" t="s">
        <v>72</v>
      </c>
      <c r="I939" t="s">
        <v>168</v>
      </c>
    </row>
    <row r="940" spans="1:9" ht="15" customHeight="1" x14ac:dyDescent="0.35">
      <c r="A940">
        <v>2021</v>
      </c>
      <c r="B940" t="s">
        <v>150</v>
      </c>
      <c r="C940">
        <v>3</v>
      </c>
      <c r="D940" t="s">
        <v>87</v>
      </c>
      <c r="E940">
        <v>2793</v>
      </c>
      <c r="F940">
        <v>3637</v>
      </c>
      <c r="G940">
        <v>1597</v>
      </c>
      <c r="H940" t="s">
        <v>72</v>
      </c>
      <c r="I940" t="s">
        <v>168</v>
      </c>
    </row>
    <row r="941" spans="1:9" ht="15" customHeight="1" x14ac:dyDescent="0.35">
      <c r="A941">
        <v>2021</v>
      </c>
      <c r="B941" t="s">
        <v>151</v>
      </c>
      <c r="C941">
        <v>4</v>
      </c>
      <c r="D941" t="s">
        <v>87</v>
      </c>
      <c r="E941">
        <v>3094</v>
      </c>
      <c r="F941">
        <v>4302</v>
      </c>
      <c r="G941">
        <v>2233</v>
      </c>
      <c r="H941" t="s">
        <v>73</v>
      </c>
      <c r="I941" t="s">
        <v>168</v>
      </c>
    </row>
    <row r="942" spans="1:9" ht="15" customHeight="1" x14ac:dyDescent="0.35">
      <c r="A942">
        <v>2021</v>
      </c>
      <c r="B942" t="s">
        <v>152</v>
      </c>
      <c r="C942">
        <v>5</v>
      </c>
      <c r="D942" t="s">
        <v>87</v>
      </c>
      <c r="E942">
        <v>3118</v>
      </c>
      <c r="F942">
        <v>4890</v>
      </c>
      <c r="G942">
        <v>1868</v>
      </c>
      <c r="H942" t="s">
        <v>73</v>
      </c>
      <c r="I942" t="s">
        <v>168</v>
      </c>
    </row>
    <row r="943" spans="1:9" ht="15" customHeight="1" x14ac:dyDescent="0.35">
      <c r="A943">
        <v>2021</v>
      </c>
      <c r="B943" t="s">
        <v>153</v>
      </c>
      <c r="C943">
        <v>6</v>
      </c>
      <c r="D943" t="s">
        <v>87</v>
      </c>
      <c r="E943">
        <v>4557</v>
      </c>
      <c r="F943">
        <v>6872</v>
      </c>
      <c r="G943">
        <v>2669</v>
      </c>
      <c r="H943" t="s">
        <v>73</v>
      </c>
      <c r="I943" t="s">
        <v>168</v>
      </c>
    </row>
    <row r="944" spans="1:9" ht="15" customHeight="1" x14ac:dyDescent="0.35">
      <c r="A944">
        <v>2021</v>
      </c>
      <c r="B944" t="s">
        <v>154</v>
      </c>
      <c r="C944">
        <v>7</v>
      </c>
      <c r="D944" t="s">
        <v>87</v>
      </c>
      <c r="E944">
        <v>5012</v>
      </c>
      <c r="F944">
        <v>7272</v>
      </c>
      <c r="G944">
        <v>3307</v>
      </c>
      <c r="H944" t="s">
        <v>73</v>
      </c>
      <c r="I944" t="s">
        <v>168</v>
      </c>
    </row>
    <row r="945" spans="1:9" ht="15" customHeight="1" x14ac:dyDescent="0.35">
      <c r="A945">
        <v>2021</v>
      </c>
      <c r="B945" t="s">
        <v>155</v>
      </c>
      <c r="C945">
        <v>8</v>
      </c>
      <c r="D945" t="s">
        <v>87</v>
      </c>
      <c r="E945">
        <v>4786</v>
      </c>
      <c r="F945">
        <v>6486</v>
      </c>
      <c r="G945">
        <v>3407</v>
      </c>
      <c r="H945" t="s">
        <v>73</v>
      </c>
      <c r="I945" t="s">
        <v>168</v>
      </c>
    </row>
    <row r="946" spans="1:9" ht="15" customHeight="1" x14ac:dyDescent="0.35">
      <c r="A946">
        <v>2021</v>
      </c>
      <c r="B946" t="s">
        <v>156</v>
      </c>
      <c r="C946">
        <v>9</v>
      </c>
      <c r="D946" t="s">
        <v>87</v>
      </c>
      <c r="E946">
        <v>4214</v>
      </c>
      <c r="F946">
        <v>5509</v>
      </c>
      <c r="G946">
        <v>2874</v>
      </c>
      <c r="H946" t="s">
        <v>73</v>
      </c>
      <c r="I946" t="s">
        <v>168</v>
      </c>
    </row>
    <row r="947" spans="1:9" ht="15" customHeight="1" x14ac:dyDescent="0.35">
      <c r="A947">
        <v>2021</v>
      </c>
      <c r="B947" t="s">
        <v>157</v>
      </c>
      <c r="C947">
        <v>10</v>
      </c>
      <c r="D947" t="s">
        <v>87</v>
      </c>
      <c r="E947">
        <v>3574</v>
      </c>
      <c r="F947">
        <v>5373</v>
      </c>
      <c r="G947">
        <v>1735</v>
      </c>
      <c r="H947" t="s">
        <v>73</v>
      </c>
      <c r="I947" t="s">
        <v>168</v>
      </c>
    </row>
    <row r="948" spans="1:9" ht="15" customHeight="1" x14ac:dyDescent="0.35">
      <c r="A948">
        <v>2021</v>
      </c>
      <c r="B948" t="s">
        <v>158</v>
      </c>
      <c r="C948">
        <v>11</v>
      </c>
      <c r="D948" t="s">
        <v>87</v>
      </c>
      <c r="E948">
        <v>2519</v>
      </c>
      <c r="F948">
        <v>3751</v>
      </c>
      <c r="G948">
        <v>1435</v>
      </c>
      <c r="H948" t="s">
        <v>73</v>
      </c>
      <c r="I948" t="s">
        <v>168</v>
      </c>
    </row>
    <row r="949" spans="1:9" ht="15" customHeight="1" x14ac:dyDescent="0.35">
      <c r="A949">
        <v>2021</v>
      </c>
      <c r="B949" t="s">
        <v>159</v>
      </c>
      <c r="C949">
        <v>12</v>
      </c>
      <c r="D949" t="s">
        <v>87</v>
      </c>
      <c r="E949">
        <v>2787</v>
      </c>
      <c r="F949">
        <v>4595</v>
      </c>
      <c r="G949">
        <v>1068</v>
      </c>
      <c r="H949" t="s">
        <v>73</v>
      </c>
      <c r="I949" t="s">
        <v>168</v>
      </c>
    </row>
    <row r="950" spans="1:9" ht="15" customHeight="1" x14ac:dyDescent="0.35">
      <c r="A950">
        <v>2022</v>
      </c>
      <c r="B950" t="s">
        <v>147</v>
      </c>
      <c r="C950">
        <v>1</v>
      </c>
      <c r="D950" t="s">
        <v>87</v>
      </c>
      <c r="E950">
        <v>3028</v>
      </c>
      <c r="F950">
        <v>5046</v>
      </c>
      <c r="G950">
        <v>1371</v>
      </c>
      <c r="H950" t="s">
        <v>73</v>
      </c>
      <c r="I950" t="s">
        <v>168</v>
      </c>
    </row>
    <row r="951" spans="1:9" ht="15" customHeight="1" x14ac:dyDescent="0.35">
      <c r="A951">
        <v>2022</v>
      </c>
      <c r="B951" t="s">
        <v>149</v>
      </c>
      <c r="C951">
        <v>2</v>
      </c>
      <c r="D951" t="s">
        <v>87</v>
      </c>
      <c r="E951">
        <v>2784</v>
      </c>
      <c r="F951">
        <v>4853</v>
      </c>
      <c r="G951">
        <v>1403</v>
      </c>
      <c r="H951" t="s">
        <v>73</v>
      </c>
      <c r="I951" t="s">
        <v>168</v>
      </c>
    </row>
    <row r="952" spans="1:9" ht="15" customHeight="1" x14ac:dyDescent="0.35">
      <c r="A952">
        <v>2022</v>
      </c>
      <c r="B952" t="s">
        <v>150</v>
      </c>
      <c r="C952">
        <v>3</v>
      </c>
      <c r="D952" t="s">
        <v>87</v>
      </c>
      <c r="E952">
        <v>3058</v>
      </c>
      <c r="F952">
        <v>4639</v>
      </c>
      <c r="G952">
        <v>1443</v>
      </c>
      <c r="H952" t="s">
        <v>73</v>
      </c>
      <c r="I952" t="s">
        <v>168</v>
      </c>
    </row>
    <row r="953" spans="1:9" ht="15" customHeight="1" x14ac:dyDescent="0.35">
      <c r="A953">
        <v>2022</v>
      </c>
      <c r="B953" t="s">
        <v>151</v>
      </c>
      <c r="C953">
        <v>4</v>
      </c>
      <c r="D953" t="s">
        <v>87</v>
      </c>
      <c r="E953">
        <v>4440</v>
      </c>
      <c r="F953">
        <v>6052</v>
      </c>
      <c r="G953">
        <v>3198</v>
      </c>
      <c r="H953" t="s">
        <v>74</v>
      </c>
      <c r="I953" t="s">
        <v>168</v>
      </c>
    </row>
    <row r="954" spans="1:9" ht="15" customHeight="1" x14ac:dyDescent="0.35">
      <c r="A954">
        <v>2022</v>
      </c>
      <c r="B954" t="s">
        <v>152</v>
      </c>
      <c r="C954">
        <v>5</v>
      </c>
      <c r="D954" t="s">
        <v>87</v>
      </c>
      <c r="E954">
        <v>5059</v>
      </c>
      <c r="F954">
        <v>7035</v>
      </c>
      <c r="G954">
        <v>2955</v>
      </c>
      <c r="H954" t="s">
        <v>74</v>
      </c>
      <c r="I954" t="s">
        <v>168</v>
      </c>
    </row>
    <row r="955" spans="1:9" ht="15" customHeight="1" x14ac:dyDescent="0.35">
      <c r="A955">
        <v>2022</v>
      </c>
      <c r="B955" t="s">
        <v>153</v>
      </c>
      <c r="C955">
        <v>6</v>
      </c>
      <c r="D955" t="s">
        <v>87</v>
      </c>
      <c r="E955">
        <v>5447</v>
      </c>
      <c r="F955">
        <v>7713</v>
      </c>
      <c r="G955">
        <v>3515</v>
      </c>
      <c r="H955" t="s">
        <v>74</v>
      </c>
      <c r="I955" t="s">
        <v>168</v>
      </c>
    </row>
    <row r="956" spans="1:9" ht="15" customHeight="1" x14ac:dyDescent="0.35">
      <c r="A956">
        <v>2022</v>
      </c>
      <c r="B956" t="s">
        <v>154</v>
      </c>
      <c r="C956">
        <v>7</v>
      </c>
      <c r="D956" t="s">
        <v>87</v>
      </c>
      <c r="E956">
        <v>5258</v>
      </c>
      <c r="F956">
        <v>7442</v>
      </c>
      <c r="G956">
        <v>3680</v>
      </c>
      <c r="H956" t="s">
        <v>74</v>
      </c>
      <c r="I956" t="s">
        <v>168</v>
      </c>
    </row>
    <row r="957" spans="1:9" ht="15" customHeight="1" x14ac:dyDescent="0.35">
      <c r="A957">
        <v>2022</v>
      </c>
      <c r="B957" t="s">
        <v>155</v>
      </c>
      <c r="C957">
        <v>8</v>
      </c>
      <c r="D957" t="s">
        <v>87</v>
      </c>
      <c r="E957">
        <v>4979</v>
      </c>
      <c r="F957">
        <v>6414</v>
      </c>
      <c r="G957">
        <v>3404</v>
      </c>
      <c r="H957" t="s">
        <v>74</v>
      </c>
      <c r="I957" t="s">
        <v>168</v>
      </c>
    </row>
    <row r="958" spans="1:9" ht="15" customHeight="1" x14ac:dyDescent="0.35">
      <c r="A958">
        <v>2022</v>
      </c>
      <c r="B958" t="s">
        <v>156</v>
      </c>
      <c r="C958">
        <v>9</v>
      </c>
      <c r="D958" t="s">
        <v>87</v>
      </c>
      <c r="E958">
        <v>4792</v>
      </c>
      <c r="F958">
        <v>6652</v>
      </c>
      <c r="G958">
        <v>2837</v>
      </c>
      <c r="H958" t="s">
        <v>74</v>
      </c>
      <c r="I958" t="s">
        <v>168</v>
      </c>
    </row>
    <row r="959" spans="1:9" ht="15" customHeight="1" x14ac:dyDescent="0.35">
      <c r="A959">
        <v>2022</v>
      </c>
      <c r="B959" t="s">
        <v>157</v>
      </c>
      <c r="C959">
        <v>10</v>
      </c>
      <c r="D959" t="s">
        <v>87</v>
      </c>
      <c r="E959">
        <v>3287</v>
      </c>
      <c r="F959">
        <v>4927</v>
      </c>
      <c r="G959">
        <v>1924</v>
      </c>
      <c r="H959" t="s">
        <v>74</v>
      </c>
      <c r="I959" t="s">
        <v>168</v>
      </c>
    </row>
    <row r="960" spans="1:9" ht="15" customHeight="1" x14ac:dyDescent="0.35">
      <c r="A960">
        <v>2022</v>
      </c>
      <c r="B960" t="s">
        <v>158</v>
      </c>
      <c r="C960">
        <v>11</v>
      </c>
      <c r="D960" t="s">
        <v>87</v>
      </c>
      <c r="E960">
        <v>2856</v>
      </c>
      <c r="F960">
        <v>3846</v>
      </c>
      <c r="G960">
        <v>1544</v>
      </c>
      <c r="H960" t="s">
        <v>74</v>
      </c>
      <c r="I960" t="s">
        <v>168</v>
      </c>
    </row>
    <row r="961" spans="1:9" ht="15" customHeight="1" x14ac:dyDescent="0.35">
      <c r="A961">
        <v>2022</v>
      </c>
      <c r="B961" t="s">
        <v>159</v>
      </c>
      <c r="C961">
        <v>12</v>
      </c>
      <c r="D961" t="s">
        <v>87</v>
      </c>
      <c r="E961">
        <v>2947</v>
      </c>
      <c r="F961">
        <v>4860</v>
      </c>
      <c r="G961">
        <v>1517</v>
      </c>
      <c r="H961" t="s">
        <v>74</v>
      </c>
      <c r="I961" t="s">
        <v>168</v>
      </c>
    </row>
    <row r="962" spans="1:9" ht="15" customHeight="1" x14ac:dyDescent="0.35">
      <c r="A962">
        <v>2023</v>
      </c>
      <c r="B962" t="s">
        <v>147</v>
      </c>
      <c r="C962">
        <v>1</v>
      </c>
      <c r="D962" t="s">
        <v>87</v>
      </c>
      <c r="E962">
        <v>3334</v>
      </c>
      <c r="F962">
        <v>5434</v>
      </c>
      <c r="G962">
        <v>1431</v>
      </c>
      <c r="H962" t="s">
        <v>74</v>
      </c>
      <c r="I962" t="s">
        <v>168</v>
      </c>
    </row>
    <row r="963" spans="1:9" ht="15" customHeight="1" x14ac:dyDescent="0.35">
      <c r="A963">
        <v>2023</v>
      </c>
      <c r="B963" t="s">
        <v>149</v>
      </c>
      <c r="C963">
        <v>2</v>
      </c>
      <c r="D963" t="s">
        <v>87</v>
      </c>
      <c r="E963">
        <v>2834</v>
      </c>
      <c r="F963">
        <v>4601</v>
      </c>
      <c r="G963">
        <v>1476</v>
      </c>
      <c r="H963" t="s">
        <v>74</v>
      </c>
      <c r="I963" t="s">
        <v>168</v>
      </c>
    </row>
    <row r="964" spans="1:9" ht="15" customHeight="1" x14ac:dyDescent="0.35">
      <c r="A964">
        <v>2023</v>
      </c>
      <c r="B964" t="s">
        <v>150</v>
      </c>
      <c r="C964">
        <v>3</v>
      </c>
      <c r="D964" t="s">
        <v>87</v>
      </c>
      <c r="E964">
        <v>2869</v>
      </c>
      <c r="F964">
        <v>3856</v>
      </c>
      <c r="G964">
        <v>1579</v>
      </c>
      <c r="H964" t="s">
        <v>74</v>
      </c>
      <c r="I964" t="s">
        <v>168</v>
      </c>
    </row>
    <row r="965" spans="1:9" ht="15" customHeight="1" x14ac:dyDescent="0.35">
      <c r="A965">
        <v>2023</v>
      </c>
      <c r="B965" t="s">
        <v>151</v>
      </c>
      <c r="C965">
        <v>4</v>
      </c>
      <c r="D965" t="s">
        <v>87</v>
      </c>
      <c r="E965">
        <v>3543</v>
      </c>
      <c r="F965">
        <v>5346</v>
      </c>
      <c r="G965">
        <v>1880</v>
      </c>
      <c r="H965" t="s">
        <v>75</v>
      </c>
      <c r="I965" t="s">
        <v>168</v>
      </c>
    </row>
    <row r="966" spans="1:9" ht="15" customHeight="1" x14ac:dyDescent="0.35">
      <c r="A966">
        <v>2023</v>
      </c>
      <c r="B966" t="s">
        <v>152</v>
      </c>
      <c r="C966">
        <v>5</v>
      </c>
      <c r="D966" t="s">
        <v>87</v>
      </c>
      <c r="E966">
        <v>4186</v>
      </c>
      <c r="F966">
        <v>6808</v>
      </c>
      <c r="G966">
        <v>2122</v>
      </c>
      <c r="H966" t="s">
        <v>75</v>
      </c>
      <c r="I966" t="s">
        <v>168</v>
      </c>
    </row>
    <row r="967" spans="1:9" ht="15" customHeight="1" x14ac:dyDescent="0.35">
      <c r="A967">
        <v>2023</v>
      </c>
      <c r="B967" t="s">
        <v>153</v>
      </c>
      <c r="C967">
        <v>6</v>
      </c>
      <c r="D967" t="s">
        <v>87</v>
      </c>
      <c r="E967">
        <v>5091</v>
      </c>
      <c r="F967">
        <v>7114</v>
      </c>
      <c r="G967">
        <v>3041</v>
      </c>
      <c r="H967" t="s">
        <v>75</v>
      </c>
      <c r="I967" t="s">
        <v>168</v>
      </c>
    </row>
    <row r="968" spans="1:9" ht="15" customHeight="1" x14ac:dyDescent="0.35">
      <c r="A968">
        <v>2023</v>
      </c>
      <c r="B968" t="s">
        <v>154</v>
      </c>
      <c r="C968">
        <v>7</v>
      </c>
      <c r="D968" t="s">
        <v>87</v>
      </c>
      <c r="E968">
        <v>5237</v>
      </c>
      <c r="F968">
        <v>7293</v>
      </c>
      <c r="G968">
        <v>3634</v>
      </c>
      <c r="H968" t="s">
        <v>75</v>
      </c>
      <c r="I968" t="s">
        <v>168</v>
      </c>
    </row>
    <row r="969" spans="1:9" ht="15" customHeight="1" x14ac:dyDescent="0.35">
      <c r="A969">
        <v>2023</v>
      </c>
      <c r="B969" t="s">
        <v>155</v>
      </c>
      <c r="C969">
        <v>8</v>
      </c>
      <c r="D969" t="s">
        <v>87</v>
      </c>
      <c r="E969">
        <v>5487</v>
      </c>
      <c r="F969">
        <v>7268</v>
      </c>
      <c r="G969">
        <v>3920</v>
      </c>
      <c r="H969" t="s">
        <v>75</v>
      </c>
      <c r="I969" t="s">
        <v>168</v>
      </c>
    </row>
    <row r="970" spans="1:9" ht="15" customHeight="1" x14ac:dyDescent="0.35">
      <c r="A970">
        <v>2023</v>
      </c>
      <c r="B970" t="s">
        <v>156</v>
      </c>
      <c r="C970">
        <v>9</v>
      </c>
      <c r="D970" t="s">
        <v>87</v>
      </c>
      <c r="E970">
        <v>5103</v>
      </c>
      <c r="F970">
        <v>6889</v>
      </c>
      <c r="G970">
        <v>3437</v>
      </c>
      <c r="H970" t="s">
        <v>75</v>
      </c>
      <c r="I970" t="s">
        <v>168</v>
      </c>
    </row>
    <row r="971" spans="1:9" ht="15" customHeight="1" x14ac:dyDescent="0.35">
      <c r="A971">
        <v>2023</v>
      </c>
      <c r="B971" t="s">
        <v>157</v>
      </c>
      <c r="C971">
        <v>10</v>
      </c>
      <c r="D971" t="s">
        <v>87</v>
      </c>
      <c r="E971">
        <v>3681</v>
      </c>
      <c r="F971">
        <v>5434</v>
      </c>
      <c r="G971">
        <v>2065</v>
      </c>
      <c r="H971" t="s">
        <v>75</v>
      </c>
      <c r="I971" t="s">
        <v>168</v>
      </c>
    </row>
    <row r="972" spans="1:9" ht="15" customHeight="1" x14ac:dyDescent="0.35">
      <c r="A972">
        <v>2023</v>
      </c>
      <c r="B972" t="s">
        <v>158</v>
      </c>
      <c r="C972">
        <v>11</v>
      </c>
      <c r="D972" t="s">
        <v>87</v>
      </c>
      <c r="E972">
        <v>2835</v>
      </c>
      <c r="F972">
        <v>4084</v>
      </c>
      <c r="G972">
        <v>1522</v>
      </c>
      <c r="H972" t="s">
        <v>75</v>
      </c>
      <c r="I972" t="s">
        <v>168</v>
      </c>
    </row>
    <row r="973" spans="1:9" ht="15" customHeight="1" x14ac:dyDescent="0.35">
      <c r="A973">
        <v>2023</v>
      </c>
      <c r="B973" t="s">
        <v>159</v>
      </c>
      <c r="C973">
        <v>12</v>
      </c>
      <c r="D973" t="s">
        <v>87</v>
      </c>
      <c r="E973">
        <v>2877</v>
      </c>
      <c r="F973">
        <v>4697</v>
      </c>
      <c r="G973">
        <v>1464</v>
      </c>
      <c r="H973" t="s">
        <v>75</v>
      </c>
      <c r="I973" t="s">
        <v>168</v>
      </c>
    </row>
    <row r="974" spans="1:9" ht="15" customHeight="1" x14ac:dyDescent="0.35">
      <c r="A974">
        <v>2024</v>
      </c>
      <c r="B974" t="s">
        <v>147</v>
      </c>
      <c r="C974">
        <v>1</v>
      </c>
      <c r="D974" t="s">
        <v>87</v>
      </c>
      <c r="E974">
        <v>3602</v>
      </c>
      <c r="F974">
        <v>5673</v>
      </c>
      <c r="G974">
        <v>1535</v>
      </c>
      <c r="H974" t="s">
        <v>75</v>
      </c>
      <c r="I974" t="s">
        <v>168</v>
      </c>
    </row>
    <row r="975" spans="1:9" ht="15" customHeight="1" x14ac:dyDescent="0.35">
      <c r="A975">
        <v>2024</v>
      </c>
      <c r="B975" t="s">
        <v>149</v>
      </c>
      <c r="C975">
        <v>2</v>
      </c>
      <c r="D975" t="s">
        <v>87</v>
      </c>
      <c r="E975">
        <v>3052</v>
      </c>
      <c r="F975">
        <v>5218</v>
      </c>
      <c r="G975">
        <v>1466</v>
      </c>
      <c r="H975" t="s">
        <v>75</v>
      </c>
      <c r="I975" t="s">
        <v>168</v>
      </c>
    </row>
    <row r="976" spans="1:9" ht="15" customHeight="1" x14ac:dyDescent="0.35">
      <c r="A976">
        <v>2024</v>
      </c>
      <c r="B976" t="s">
        <v>150</v>
      </c>
      <c r="C976">
        <v>3</v>
      </c>
      <c r="D976" t="s">
        <v>87</v>
      </c>
      <c r="E976">
        <v>2903</v>
      </c>
      <c r="F976">
        <v>4289</v>
      </c>
      <c r="G976">
        <v>1509</v>
      </c>
      <c r="H976" t="s">
        <v>75</v>
      </c>
      <c r="I976" t="s">
        <v>168</v>
      </c>
    </row>
    <row r="977" spans="1:9" ht="15" customHeight="1" x14ac:dyDescent="0.35">
      <c r="A977">
        <v>2024</v>
      </c>
      <c r="B977" t="s">
        <v>151</v>
      </c>
      <c r="C977">
        <v>4</v>
      </c>
      <c r="D977" t="s">
        <v>87</v>
      </c>
      <c r="E977">
        <v>2889</v>
      </c>
      <c r="F977">
        <v>4289</v>
      </c>
      <c r="G977">
        <v>1509</v>
      </c>
      <c r="H977" t="s">
        <v>77</v>
      </c>
      <c r="I977" t="s">
        <v>168</v>
      </c>
    </row>
    <row r="978" spans="1:9" ht="15" customHeight="1" x14ac:dyDescent="0.35">
      <c r="A978">
        <v>2024</v>
      </c>
      <c r="B978" t="s">
        <v>152</v>
      </c>
      <c r="C978">
        <v>5</v>
      </c>
      <c r="D978" t="s">
        <v>87</v>
      </c>
      <c r="E978">
        <v>5596</v>
      </c>
      <c r="F978">
        <v>8160</v>
      </c>
      <c r="G978">
        <v>3223</v>
      </c>
      <c r="H978" t="s">
        <v>77</v>
      </c>
      <c r="I978" t="s">
        <v>168</v>
      </c>
    </row>
    <row r="979" spans="1:9" ht="15" customHeight="1" x14ac:dyDescent="0.35">
      <c r="A979">
        <v>2024</v>
      </c>
      <c r="B979" t="s">
        <v>153</v>
      </c>
      <c r="C979">
        <v>6</v>
      </c>
      <c r="D979" t="s">
        <v>87</v>
      </c>
      <c r="E979">
        <v>6322</v>
      </c>
      <c r="F979">
        <v>8611</v>
      </c>
      <c r="G979">
        <v>3812</v>
      </c>
      <c r="H979" t="s">
        <v>77</v>
      </c>
      <c r="I979" t="s">
        <v>168</v>
      </c>
    </row>
    <row r="980" spans="1:9" ht="15" customHeight="1" x14ac:dyDescent="0.35">
      <c r="A980">
        <v>2024</v>
      </c>
      <c r="B980" t="s">
        <v>154</v>
      </c>
      <c r="C980">
        <v>7</v>
      </c>
      <c r="D980" t="s">
        <v>87</v>
      </c>
      <c r="E980">
        <v>5902</v>
      </c>
      <c r="F980">
        <v>8146</v>
      </c>
      <c r="G980">
        <v>4023</v>
      </c>
      <c r="H980" t="s">
        <v>77</v>
      </c>
      <c r="I980" t="s">
        <v>168</v>
      </c>
    </row>
    <row r="981" spans="1:9" ht="15" customHeight="1" x14ac:dyDescent="0.35">
      <c r="A981">
        <v>2024</v>
      </c>
      <c r="B981" t="s">
        <v>155</v>
      </c>
      <c r="C981">
        <v>8</v>
      </c>
      <c r="D981" t="s">
        <v>87</v>
      </c>
      <c r="E981">
        <v>5320</v>
      </c>
      <c r="F981">
        <v>6870</v>
      </c>
      <c r="G981">
        <v>3906</v>
      </c>
      <c r="H981" t="s">
        <v>77</v>
      </c>
      <c r="I981" t="s">
        <v>168</v>
      </c>
    </row>
    <row r="982" spans="1:9" ht="15" customHeight="1" x14ac:dyDescent="0.35">
      <c r="A982">
        <v>2024</v>
      </c>
      <c r="B982" t="s">
        <v>156</v>
      </c>
      <c r="C982">
        <v>9</v>
      </c>
      <c r="D982" t="s">
        <v>87</v>
      </c>
      <c r="E982">
        <v>4934</v>
      </c>
      <c r="F982">
        <v>6730</v>
      </c>
      <c r="G982">
        <v>3168</v>
      </c>
      <c r="H982" t="s">
        <v>77</v>
      </c>
      <c r="I982" t="s">
        <v>168</v>
      </c>
    </row>
    <row r="983" spans="1:9" ht="15" customHeight="1" x14ac:dyDescent="0.35">
      <c r="A983">
        <v>2024</v>
      </c>
      <c r="B983" t="s">
        <v>157</v>
      </c>
      <c r="C983">
        <v>10</v>
      </c>
      <c r="D983" t="s">
        <v>87</v>
      </c>
      <c r="E983">
        <v>4358</v>
      </c>
      <c r="F983">
        <v>6143</v>
      </c>
      <c r="G983">
        <v>3030</v>
      </c>
      <c r="H983" t="s">
        <v>77</v>
      </c>
      <c r="I983" t="s">
        <v>168</v>
      </c>
    </row>
    <row r="984" spans="1:9" ht="15" customHeight="1" x14ac:dyDescent="0.35">
      <c r="A984">
        <v>2024</v>
      </c>
      <c r="B984" t="s">
        <v>158</v>
      </c>
      <c r="C984">
        <v>11</v>
      </c>
      <c r="D984" t="s">
        <v>87</v>
      </c>
      <c r="E984">
        <v>3122</v>
      </c>
      <c r="F984">
        <v>4171</v>
      </c>
      <c r="G984">
        <v>1763</v>
      </c>
      <c r="H984" t="s">
        <v>77</v>
      </c>
      <c r="I984" t="s">
        <v>168</v>
      </c>
    </row>
    <row r="985" spans="1:9" ht="15" customHeight="1" x14ac:dyDescent="0.35">
      <c r="A985">
        <v>2024</v>
      </c>
      <c r="B985" t="s">
        <v>159</v>
      </c>
      <c r="C985">
        <v>12</v>
      </c>
      <c r="D985" t="s">
        <v>87</v>
      </c>
      <c r="E985">
        <v>3190</v>
      </c>
      <c r="F985">
        <v>5095</v>
      </c>
      <c r="G985">
        <v>1585</v>
      </c>
      <c r="H985" t="s">
        <v>77</v>
      </c>
      <c r="I985" t="s">
        <v>168</v>
      </c>
    </row>
    <row r="986" spans="1:9" ht="15" customHeight="1" x14ac:dyDescent="0.35">
      <c r="A986">
        <v>2025</v>
      </c>
      <c r="B986" t="s">
        <v>147</v>
      </c>
      <c r="C986">
        <v>1</v>
      </c>
      <c r="D986" t="s">
        <v>87</v>
      </c>
      <c r="E986">
        <v>3435</v>
      </c>
      <c r="F986">
        <v>5625</v>
      </c>
      <c r="G986">
        <v>1456</v>
      </c>
      <c r="H986" t="s">
        <v>77</v>
      </c>
      <c r="I986" t="s">
        <v>168</v>
      </c>
    </row>
    <row r="987" spans="1:9" ht="15" customHeight="1" x14ac:dyDescent="0.35">
      <c r="A987">
        <v>2025</v>
      </c>
      <c r="B987" t="s">
        <v>149</v>
      </c>
      <c r="C987">
        <v>2</v>
      </c>
      <c r="D987" t="s">
        <v>87</v>
      </c>
      <c r="E987">
        <v>2927</v>
      </c>
      <c r="F987">
        <v>4453</v>
      </c>
      <c r="G987">
        <v>1358</v>
      </c>
      <c r="H987" t="s">
        <v>77</v>
      </c>
      <c r="I987" t="s">
        <v>168</v>
      </c>
    </row>
    <row r="988" spans="1:9" ht="15" customHeight="1" x14ac:dyDescent="0.35">
      <c r="A988">
        <v>2025</v>
      </c>
      <c r="B988" t="s">
        <v>150</v>
      </c>
      <c r="C988">
        <v>3</v>
      </c>
      <c r="D988" t="s">
        <v>87</v>
      </c>
      <c r="E988">
        <v>3139</v>
      </c>
      <c r="F988">
        <v>4336</v>
      </c>
      <c r="G988">
        <v>1845</v>
      </c>
      <c r="H988" t="s">
        <v>77</v>
      </c>
      <c r="I988" t="s">
        <v>168</v>
      </c>
    </row>
    <row r="989" spans="1:9" ht="15" customHeight="1" x14ac:dyDescent="0.35">
      <c r="A989">
        <v>2025</v>
      </c>
      <c r="B989" t="s">
        <v>151</v>
      </c>
      <c r="C989">
        <v>4</v>
      </c>
      <c r="D989" t="s">
        <v>87</v>
      </c>
      <c r="E989">
        <v>4347</v>
      </c>
      <c r="F989">
        <v>5909</v>
      </c>
      <c r="G989">
        <v>2436</v>
      </c>
      <c r="H989" t="s">
        <v>78</v>
      </c>
      <c r="I989" t="s">
        <v>168</v>
      </c>
    </row>
    <row r="990" spans="1:9" ht="15" customHeight="1" x14ac:dyDescent="0.35">
      <c r="A990">
        <v>2025</v>
      </c>
      <c r="B990" t="s">
        <v>152</v>
      </c>
      <c r="C990">
        <v>5</v>
      </c>
      <c r="D990" t="s">
        <v>87</v>
      </c>
      <c r="E990">
        <v>5116</v>
      </c>
      <c r="F990">
        <v>7644</v>
      </c>
      <c r="G990">
        <v>2933</v>
      </c>
      <c r="H990" t="s">
        <v>78</v>
      </c>
      <c r="I990" t="s">
        <v>168</v>
      </c>
    </row>
    <row r="991" spans="1:9" ht="15" customHeight="1" x14ac:dyDescent="0.35">
      <c r="A991">
        <v>2025</v>
      </c>
      <c r="B991" t="s">
        <v>153</v>
      </c>
      <c r="C991">
        <v>6</v>
      </c>
      <c r="D991" t="s">
        <v>87</v>
      </c>
      <c r="E991">
        <v>5845</v>
      </c>
      <c r="F991">
        <v>8372</v>
      </c>
      <c r="G991">
        <v>3632</v>
      </c>
      <c r="H991" t="s">
        <v>78</v>
      </c>
      <c r="I991" t="s">
        <v>168</v>
      </c>
    </row>
    <row r="992" spans="1:9" ht="15" customHeight="1" x14ac:dyDescent="0.35">
      <c r="A992">
        <v>2025</v>
      </c>
      <c r="B992" t="s">
        <v>154</v>
      </c>
      <c r="C992">
        <v>7</v>
      </c>
      <c r="D992" t="s">
        <v>87</v>
      </c>
      <c r="E992">
        <v>5658</v>
      </c>
      <c r="F992">
        <v>7498</v>
      </c>
      <c r="G992">
        <v>4175</v>
      </c>
      <c r="H992" t="s">
        <v>78</v>
      </c>
      <c r="I992" t="s">
        <v>168</v>
      </c>
    </row>
    <row r="993" spans="1:9" ht="15" customHeight="1" x14ac:dyDescent="0.35">
      <c r="A993">
        <v>2025</v>
      </c>
      <c r="B993" t="s">
        <v>155</v>
      </c>
      <c r="C993">
        <v>8</v>
      </c>
      <c r="D993" t="s">
        <v>87</v>
      </c>
      <c r="E993">
        <v>5342</v>
      </c>
      <c r="F993">
        <v>6916</v>
      </c>
      <c r="G993">
        <v>3832</v>
      </c>
      <c r="H993" t="s">
        <v>78</v>
      </c>
      <c r="I993" t="s">
        <v>168</v>
      </c>
    </row>
    <row r="994" spans="1:9" ht="15" customHeight="1" x14ac:dyDescent="0.35">
      <c r="A994">
        <v>2025</v>
      </c>
      <c r="B994" t="s">
        <v>156</v>
      </c>
      <c r="C994">
        <v>9</v>
      </c>
      <c r="D994" t="s">
        <v>87</v>
      </c>
      <c r="E994">
        <v>5440</v>
      </c>
      <c r="F994">
        <v>6996</v>
      </c>
      <c r="G994">
        <v>3573</v>
      </c>
      <c r="H994" t="s">
        <v>78</v>
      </c>
      <c r="I994" t="s">
        <v>168</v>
      </c>
    </row>
    <row r="995" spans="1:9" ht="15" customHeight="1" x14ac:dyDescent="0.35">
      <c r="A995">
        <v>2025</v>
      </c>
      <c r="B995" t="s">
        <v>157</v>
      </c>
      <c r="C995">
        <v>10</v>
      </c>
      <c r="D995" t="s">
        <v>87</v>
      </c>
      <c r="E995">
        <v>3823</v>
      </c>
      <c r="F995">
        <v>5883</v>
      </c>
      <c r="G995">
        <v>2394</v>
      </c>
      <c r="H995" t="s">
        <v>78</v>
      </c>
      <c r="I995" t="s">
        <v>168</v>
      </c>
    </row>
    <row r="996" spans="1:9" ht="15" customHeight="1" x14ac:dyDescent="0.35">
      <c r="A996">
        <v>2025</v>
      </c>
      <c r="B996" t="s">
        <v>158</v>
      </c>
      <c r="C996">
        <v>11</v>
      </c>
      <c r="D996" t="s">
        <v>87</v>
      </c>
      <c r="E996">
        <v>3149</v>
      </c>
      <c r="F996">
        <v>4334</v>
      </c>
      <c r="G996">
        <v>1739</v>
      </c>
      <c r="H996" t="s">
        <v>78</v>
      </c>
      <c r="I996" t="s">
        <v>168</v>
      </c>
    </row>
    <row r="997" spans="1:9" ht="15" customHeight="1" x14ac:dyDescent="0.35">
      <c r="A997">
        <v>2025</v>
      </c>
      <c r="B997" t="s">
        <v>159</v>
      </c>
      <c r="C997">
        <v>12</v>
      </c>
      <c r="D997" t="s">
        <v>87</v>
      </c>
      <c r="E997">
        <v>3368</v>
      </c>
      <c r="F997">
        <v>5442</v>
      </c>
      <c r="G997">
        <v>1663</v>
      </c>
      <c r="H997" t="s">
        <v>78</v>
      </c>
      <c r="I997" t="s">
        <v>168</v>
      </c>
    </row>
    <row r="998" spans="1:9" ht="15" customHeight="1" x14ac:dyDescent="0.35">
      <c r="A998">
        <v>2026</v>
      </c>
      <c r="B998" t="s">
        <v>147</v>
      </c>
      <c r="C998">
        <v>1</v>
      </c>
      <c r="D998" t="s">
        <v>87</v>
      </c>
      <c r="E998">
        <v>3751</v>
      </c>
      <c r="F998">
        <v>5907</v>
      </c>
      <c r="G998">
        <v>1647</v>
      </c>
      <c r="H998" t="s">
        <v>78</v>
      </c>
      <c r="I998" t="s">
        <v>168</v>
      </c>
    </row>
    <row r="999" spans="1:9" ht="15" customHeight="1" x14ac:dyDescent="0.35">
      <c r="A999">
        <v>2026</v>
      </c>
      <c r="B999" t="s">
        <v>149</v>
      </c>
      <c r="C999">
        <v>2</v>
      </c>
      <c r="D999" t="s">
        <v>87</v>
      </c>
      <c r="E999">
        <v>3293</v>
      </c>
      <c r="F999">
        <v>5292</v>
      </c>
      <c r="G999">
        <v>1692</v>
      </c>
      <c r="H999" t="s">
        <v>78</v>
      </c>
      <c r="I999" t="s">
        <v>168</v>
      </c>
    </row>
    <row r="1000" spans="1:9" ht="15" customHeight="1" x14ac:dyDescent="0.35">
      <c r="A1000">
        <v>2026</v>
      </c>
      <c r="B1000" t="s">
        <v>150</v>
      </c>
      <c r="C1000">
        <v>3</v>
      </c>
      <c r="D1000" t="s">
        <v>87</v>
      </c>
      <c r="E1000">
        <v>3751</v>
      </c>
      <c r="F1000">
        <v>5907</v>
      </c>
      <c r="G1000">
        <v>1647</v>
      </c>
      <c r="H1000" t="s">
        <v>78</v>
      </c>
      <c r="I1000" t="s">
        <v>168</v>
      </c>
    </row>
    <row r="1001" spans="1:9" ht="15" customHeight="1" x14ac:dyDescent="0.35">
      <c r="A1001">
        <v>2017</v>
      </c>
      <c r="B1001" t="s">
        <v>147</v>
      </c>
      <c r="C1001">
        <v>1</v>
      </c>
      <c r="D1001" t="s">
        <v>88</v>
      </c>
      <c r="E1001">
        <v>309</v>
      </c>
      <c r="F1001">
        <v>432</v>
      </c>
      <c r="G1001">
        <v>205</v>
      </c>
      <c r="H1001" t="s">
        <v>122</v>
      </c>
      <c r="I1001" t="s">
        <v>169</v>
      </c>
    </row>
    <row r="1002" spans="1:9" ht="15" customHeight="1" x14ac:dyDescent="0.35">
      <c r="A1002">
        <v>2017</v>
      </c>
      <c r="B1002" t="s">
        <v>149</v>
      </c>
      <c r="C1002">
        <v>2</v>
      </c>
      <c r="D1002" t="s">
        <v>88</v>
      </c>
      <c r="E1002">
        <v>354</v>
      </c>
      <c r="F1002">
        <v>511</v>
      </c>
      <c r="G1002">
        <v>221</v>
      </c>
      <c r="H1002" t="s">
        <v>122</v>
      </c>
      <c r="I1002" t="s">
        <v>169</v>
      </c>
    </row>
    <row r="1003" spans="1:9" ht="15" customHeight="1" x14ac:dyDescent="0.35">
      <c r="A1003">
        <v>2017</v>
      </c>
      <c r="B1003" t="s">
        <v>150</v>
      </c>
      <c r="C1003">
        <v>3</v>
      </c>
      <c r="D1003" t="s">
        <v>88</v>
      </c>
      <c r="E1003">
        <v>382</v>
      </c>
      <c r="F1003">
        <v>511</v>
      </c>
      <c r="G1003">
        <v>253</v>
      </c>
      <c r="H1003" t="s">
        <v>122</v>
      </c>
      <c r="I1003" t="s">
        <v>169</v>
      </c>
    </row>
    <row r="1004" spans="1:9" ht="15" customHeight="1" x14ac:dyDescent="0.35">
      <c r="A1004">
        <v>2017</v>
      </c>
      <c r="B1004" t="s">
        <v>151</v>
      </c>
      <c r="C1004">
        <v>4</v>
      </c>
      <c r="D1004" t="s">
        <v>88</v>
      </c>
      <c r="E1004">
        <v>377</v>
      </c>
      <c r="F1004">
        <v>503</v>
      </c>
      <c r="G1004">
        <v>172</v>
      </c>
      <c r="H1004" t="s">
        <v>123</v>
      </c>
      <c r="I1004" t="s">
        <v>169</v>
      </c>
    </row>
    <row r="1005" spans="1:9" ht="15" customHeight="1" x14ac:dyDescent="0.35">
      <c r="A1005">
        <v>2017</v>
      </c>
      <c r="B1005" t="s">
        <v>152</v>
      </c>
      <c r="C1005">
        <v>5</v>
      </c>
      <c r="D1005" t="s">
        <v>88</v>
      </c>
      <c r="E1005">
        <v>378</v>
      </c>
      <c r="F1005">
        <v>514</v>
      </c>
      <c r="G1005">
        <v>195</v>
      </c>
      <c r="H1005" t="s">
        <v>123</v>
      </c>
      <c r="I1005" t="s">
        <v>169</v>
      </c>
    </row>
    <row r="1006" spans="1:9" ht="15" customHeight="1" x14ac:dyDescent="0.35">
      <c r="A1006">
        <v>2017</v>
      </c>
      <c r="B1006" t="s">
        <v>153</v>
      </c>
      <c r="C1006">
        <v>6</v>
      </c>
      <c r="D1006" t="s">
        <v>88</v>
      </c>
      <c r="E1006">
        <v>363</v>
      </c>
      <c r="F1006">
        <v>481</v>
      </c>
      <c r="G1006">
        <v>270</v>
      </c>
      <c r="H1006" t="s">
        <v>123</v>
      </c>
      <c r="I1006" t="s">
        <v>169</v>
      </c>
    </row>
    <row r="1007" spans="1:9" ht="15" customHeight="1" x14ac:dyDescent="0.35">
      <c r="A1007">
        <v>2017</v>
      </c>
      <c r="B1007" t="s">
        <v>154</v>
      </c>
      <c r="C1007">
        <v>7</v>
      </c>
      <c r="D1007" t="s">
        <v>88</v>
      </c>
      <c r="E1007">
        <v>340</v>
      </c>
      <c r="F1007">
        <v>453</v>
      </c>
      <c r="G1007">
        <v>241</v>
      </c>
      <c r="H1007" t="s">
        <v>123</v>
      </c>
      <c r="I1007" t="s">
        <v>169</v>
      </c>
    </row>
    <row r="1008" spans="1:9" ht="15" customHeight="1" x14ac:dyDescent="0.35">
      <c r="A1008">
        <v>2017</v>
      </c>
      <c r="B1008" t="s">
        <v>155</v>
      </c>
      <c r="C1008">
        <v>8</v>
      </c>
      <c r="D1008" t="s">
        <v>88</v>
      </c>
      <c r="E1008">
        <v>341</v>
      </c>
      <c r="F1008">
        <v>449</v>
      </c>
      <c r="G1008">
        <v>222</v>
      </c>
      <c r="H1008" t="s">
        <v>123</v>
      </c>
      <c r="I1008" t="s">
        <v>169</v>
      </c>
    </row>
    <row r="1009" spans="1:9" ht="15" customHeight="1" x14ac:dyDescent="0.35">
      <c r="A1009">
        <v>2017</v>
      </c>
      <c r="B1009" t="s">
        <v>156</v>
      </c>
      <c r="C1009">
        <v>9</v>
      </c>
      <c r="D1009" t="s">
        <v>88</v>
      </c>
      <c r="E1009">
        <v>371</v>
      </c>
      <c r="F1009">
        <v>507</v>
      </c>
      <c r="G1009">
        <v>275</v>
      </c>
      <c r="H1009" t="s">
        <v>123</v>
      </c>
      <c r="I1009" t="s">
        <v>169</v>
      </c>
    </row>
    <row r="1010" spans="1:9" ht="15" customHeight="1" x14ac:dyDescent="0.35">
      <c r="A1010">
        <v>2017</v>
      </c>
      <c r="B1010" t="s">
        <v>157</v>
      </c>
      <c r="C1010">
        <v>10</v>
      </c>
      <c r="D1010" t="s">
        <v>88</v>
      </c>
      <c r="E1010">
        <v>381</v>
      </c>
      <c r="F1010">
        <v>510</v>
      </c>
      <c r="G1010">
        <v>266</v>
      </c>
      <c r="H1010" t="s">
        <v>123</v>
      </c>
      <c r="I1010" t="s">
        <v>169</v>
      </c>
    </row>
    <row r="1011" spans="1:9" ht="15" customHeight="1" x14ac:dyDescent="0.35">
      <c r="A1011">
        <v>2017</v>
      </c>
      <c r="B1011" t="s">
        <v>158</v>
      </c>
      <c r="C1011">
        <v>11</v>
      </c>
      <c r="D1011" t="s">
        <v>88</v>
      </c>
      <c r="E1011">
        <v>371</v>
      </c>
      <c r="F1011">
        <v>488</v>
      </c>
      <c r="G1011">
        <v>272</v>
      </c>
      <c r="H1011" t="s">
        <v>123</v>
      </c>
      <c r="I1011" t="s">
        <v>169</v>
      </c>
    </row>
    <row r="1012" spans="1:9" ht="15" customHeight="1" x14ac:dyDescent="0.35">
      <c r="A1012">
        <v>2017</v>
      </c>
      <c r="B1012" t="s">
        <v>159</v>
      </c>
      <c r="C1012">
        <v>12</v>
      </c>
      <c r="D1012" t="s">
        <v>88</v>
      </c>
      <c r="E1012">
        <v>351</v>
      </c>
      <c r="F1012">
        <v>452</v>
      </c>
      <c r="G1012">
        <v>247</v>
      </c>
      <c r="H1012" t="s">
        <v>123</v>
      </c>
      <c r="I1012" t="s">
        <v>169</v>
      </c>
    </row>
    <row r="1013" spans="1:9" ht="15" customHeight="1" x14ac:dyDescent="0.35">
      <c r="A1013">
        <v>2018</v>
      </c>
      <c r="B1013" t="s">
        <v>147</v>
      </c>
      <c r="C1013">
        <v>1</v>
      </c>
      <c r="D1013" t="s">
        <v>88</v>
      </c>
      <c r="E1013">
        <v>371</v>
      </c>
      <c r="F1013">
        <v>504</v>
      </c>
      <c r="G1013">
        <v>260</v>
      </c>
      <c r="H1013" t="s">
        <v>123</v>
      </c>
      <c r="I1013" t="s">
        <v>169</v>
      </c>
    </row>
    <row r="1014" spans="1:9" ht="15" customHeight="1" x14ac:dyDescent="0.35">
      <c r="A1014">
        <v>2018</v>
      </c>
      <c r="B1014" t="s">
        <v>149</v>
      </c>
      <c r="C1014">
        <v>2</v>
      </c>
      <c r="D1014" t="s">
        <v>88</v>
      </c>
      <c r="E1014">
        <v>364</v>
      </c>
      <c r="F1014">
        <v>469</v>
      </c>
      <c r="G1014">
        <v>263</v>
      </c>
      <c r="H1014" t="s">
        <v>123</v>
      </c>
      <c r="I1014" t="s">
        <v>169</v>
      </c>
    </row>
    <row r="1015" spans="1:9" ht="15" customHeight="1" x14ac:dyDescent="0.35">
      <c r="A1015">
        <v>2018</v>
      </c>
      <c r="B1015" t="s">
        <v>150</v>
      </c>
      <c r="C1015">
        <v>3</v>
      </c>
      <c r="D1015" t="s">
        <v>88</v>
      </c>
      <c r="E1015">
        <v>395</v>
      </c>
      <c r="F1015">
        <v>544</v>
      </c>
      <c r="G1015">
        <v>257</v>
      </c>
      <c r="H1015" t="s">
        <v>123</v>
      </c>
      <c r="I1015" t="s">
        <v>169</v>
      </c>
    </row>
    <row r="1016" spans="1:9" ht="15" customHeight="1" x14ac:dyDescent="0.35">
      <c r="A1016">
        <v>2018</v>
      </c>
      <c r="B1016" t="s">
        <v>151</v>
      </c>
      <c r="C1016">
        <v>4</v>
      </c>
      <c r="D1016" t="s">
        <v>88</v>
      </c>
      <c r="E1016">
        <v>447</v>
      </c>
      <c r="F1016">
        <v>564</v>
      </c>
      <c r="G1016">
        <v>319</v>
      </c>
      <c r="H1016" t="s">
        <v>124</v>
      </c>
      <c r="I1016" t="s">
        <v>169</v>
      </c>
    </row>
    <row r="1017" spans="1:9" ht="15" customHeight="1" x14ac:dyDescent="0.35">
      <c r="A1017">
        <v>2018</v>
      </c>
      <c r="B1017" t="s">
        <v>152</v>
      </c>
      <c r="C1017">
        <v>5</v>
      </c>
      <c r="D1017" t="s">
        <v>88</v>
      </c>
      <c r="E1017">
        <v>429</v>
      </c>
      <c r="F1017">
        <v>528</v>
      </c>
      <c r="G1017">
        <v>255</v>
      </c>
      <c r="H1017" t="s">
        <v>124</v>
      </c>
      <c r="I1017" t="s">
        <v>169</v>
      </c>
    </row>
    <row r="1018" spans="1:9" ht="15" customHeight="1" x14ac:dyDescent="0.35">
      <c r="A1018">
        <v>2018</v>
      </c>
      <c r="B1018" t="s">
        <v>153</v>
      </c>
      <c r="C1018">
        <v>6</v>
      </c>
      <c r="D1018" t="s">
        <v>88</v>
      </c>
      <c r="E1018">
        <v>371</v>
      </c>
      <c r="F1018">
        <v>492</v>
      </c>
      <c r="G1018">
        <v>219</v>
      </c>
      <c r="H1018" t="s">
        <v>124</v>
      </c>
      <c r="I1018" t="s">
        <v>169</v>
      </c>
    </row>
    <row r="1019" spans="1:9" ht="15" customHeight="1" x14ac:dyDescent="0.35">
      <c r="A1019">
        <v>2018</v>
      </c>
      <c r="B1019" t="s">
        <v>154</v>
      </c>
      <c r="C1019">
        <v>7</v>
      </c>
      <c r="D1019" t="s">
        <v>88</v>
      </c>
      <c r="E1019">
        <v>355</v>
      </c>
      <c r="F1019">
        <v>507</v>
      </c>
      <c r="G1019">
        <v>230</v>
      </c>
      <c r="H1019" t="s">
        <v>124</v>
      </c>
      <c r="I1019" t="s">
        <v>169</v>
      </c>
    </row>
    <row r="1020" spans="1:9" ht="15" customHeight="1" x14ac:dyDescent="0.35">
      <c r="A1020">
        <v>2018</v>
      </c>
      <c r="B1020" t="s">
        <v>155</v>
      </c>
      <c r="C1020">
        <v>8</v>
      </c>
      <c r="D1020" t="s">
        <v>88</v>
      </c>
      <c r="E1020">
        <v>379</v>
      </c>
      <c r="F1020">
        <v>523</v>
      </c>
      <c r="G1020">
        <v>267</v>
      </c>
      <c r="H1020" t="s">
        <v>124</v>
      </c>
      <c r="I1020" t="s">
        <v>169</v>
      </c>
    </row>
    <row r="1021" spans="1:9" ht="15" customHeight="1" x14ac:dyDescent="0.35">
      <c r="A1021">
        <v>2018</v>
      </c>
      <c r="B1021" t="s">
        <v>156</v>
      </c>
      <c r="C1021">
        <v>9</v>
      </c>
      <c r="D1021" t="s">
        <v>88</v>
      </c>
      <c r="E1021">
        <v>380</v>
      </c>
      <c r="F1021">
        <v>520</v>
      </c>
      <c r="G1021">
        <v>255</v>
      </c>
      <c r="H1021" t="s">
        <v>124</v>
      </c>
      <c r="I1021" t="s">
        <v>169</v>
      </c>
    </row>
    <row r="1022" spans="1:9" ht="15" customHeight="1" x14ac:dyDescent="0.35">
      <c r="A1022">
        <v>2018</v>
      </c>
      <c r="B1022" t="s">
        <v>157</v>
      </c>
      <c r="C1022">
        <v>10</v>
      </c>
      <c r="D1022" t="s">
        <v>88</v>
      </c>
      <c r="E1022">
        <v>408</v>
      </c>
      <c r="F1022">
        <v>531</v>
      </c>
      <c r="G1022">
        <v>292</v>
      </c>
      <c r="H1022" t="s">
        <v>124</v>
      </c>
      <c r="I1022" t="s">
        <v>169</v>
      </c>
    </row>
    <row r="1023" spans="1:9" ht="15" customHeight="1" x14ac:dyDescent="0.35">
      <c r="A1023">
        <v>2018</v>
      </c>
      <c r="B1023" t="s">
        <v>158</v>
      </c>
      <c r="C1023">
        <v>11</v>
      </c>
      <c r="D1023" t="s">
        <v>88</v>
      </c>
      <c r="E1023">
        <v>415</v>
      </c>
      <c r="F1023">
        <v>506</v>
      </c>
      <c r="G1023">
        <v>326</v>
      </c>
      <c r="H1023" t="s">
        <v>124</v>
      </c>
      <c r="I1023" t="s">
        <v>169</v>
      </c>
    </row>
    <row r="1024" spans="1:9" ht="15" customHeight="1" x14ac:dyDescent="0.35">
      <c r="A1024">
        <v>2018</v>
      </c>
      <c r="B1024" t="s">
        <v>159</v>
      </c>
      <c r="C1024">
        <v>12</v>
      </c>
      <c r="D1024" t="s">
        <v>88</v>
      </c>
      <c r="E1024">
        <v>388</v>
      </c>
      <c r="F1024">
        <v>513</v>
      </c>
      <c r="G1024">
        <v>260</v>
      </c>
      <c r="H1024" t="s">
        <v>124</v>
      </c>
      <c r="I1024" t="s">
        <v>169</v>
      </c>
    </row>
    <row r="1025" spans="1:9" ht="15" customHeight="1" x14ac:dyDescent="0.35">
      <c r="A1025">
        <v>2019</v>
      </c>
      <c r="B1025" t="s">
        <v>147</v>
      </c>
      <c r="C1025">
        <v>1</v>
      </c>
      <c r="D1025" t="s">
        <v>88</v>
      </c>
      <c r="E1025">
        <v>396</v>
      </c>
      <c r="F1025">
        <v>578</v>
      </c>
      <c r="G1025">
        <v>278</v>
      </c>
      <c r="H1025" t="s">
        <v>124</v>
      </c>
      <c r="I1025" t="s">
        <v>169</v>
      </c>
    </row>
    <row r="1026" spans="1:9" ht="15" customHeight="1" x14ac:dyDescent="0.35">
      <c r="A1026">
        <v>2019</v>
      </c>
      <c r="B1026" t="s">
        <v>149</v>
      </c>
      <c r="C1026">
        <v>2</v>
      </c>
      <c r="D1026" t="s">
        <v>88</v>
      </c>
      <c r="E1026">
        <v>449</v>
      </c>
      <c r="F1026">
        <v>602</v>
      </c>
      <c r="G1026">
        <v>321</v>
      </c>
      <c r="H1026" t="s">
        <v>124</v>
      </c>
      <c r="I1026" t="s">
        <v>169</v>
      </c>
    </row>
    <row r="1027" spans="1:9" ht="15" customHeight="1" x14ac:dyDescent="0.35">
      <c r="A1027">
        <v>2019</v>
      </c>
      <c r="B1027" t="s">
        <v>150</v>
      </c>
      <c r="C1027">
        <v>3</v>
      </c>
      <c r="D1027" t="s">
        <v>88</v>
      </c>
      <c r="E1027">
        <v>412</v>
      </c>
      <c r="F1027">
        <v>538</v>
      </c>
      <c r="G1027">
        <v>263</v>
      </c>
      <c r="H1027" t="s">
        <v>124</v>
      </c>
      <c r="I1027" t="s">
        <v>169</v>
      </c>
    </row>
    <row r="1028" spans="1:9" ht="15" customHeight="1" x14ac:dyDescent="0.35">
      <c r="A1028">
        <v>2019</v>
      </c>
      <c r="B1028" t="s">
        <v>151</v>
      </c>
      <c r="C1028">
        <v>4</v>
      </c>
      <c r="D1028" t="s">
        <v>88</v>
      </c>
      <c r="E1028">
        <v>464</v>
      </c>
      <c r="F1028">
        <v>587</v>
      </c>
      <c r="G1028">
        <v>345</v>
      </c>
      <c r="H1028" t="s">
        <v>71</v>
      </c>
      <c r="I1028" t="s">
        <v>169</v>
      </c>
    </row>
    <row r="1029" spans="1:9" ht="15" customHeight="1" x14ac:dyDescent="0.35">
      <c r="A1029">
        <v>2019</v>
      </c>
      <c r="B1029" t="s">
        <v>152</v>
      </c>
      <c r="C1029">
        <v>5</v>
      </c>
      <c r="D1029" t="s">
        <v>88</v>
      </c>
      <c r="E1029">
        <v>460</v>
      </c>
      <c r="F1029">
        <v>545</v>
      </c>
      <c r="G1029">
        <v>321</v>
      </c>
      <c r="H1029" t="s">
        <v>71</v>
      </c>
      <c r="I1029" t="s">
        <v>169</v>
      </c>
    </row>
    <row r="1030" spans="1:9" ht="15" customHeight="1" x14ac:dyDescent="0.35">
      <c r="A1030">
        <v>2019</v>
      </c>
      <c r="B1030" t="s">
        <v>153</v>
      </c>
      <c r="C1030">
        <v>6</v>
      </c>
      <c r="D1030" t="s">
        <v>88</v>
      </c>
      <c r="E1030">
        <v>463</v>
      </c>
      <c r="F1030">
        <v>632</v>
      </c>
      <c r="G1030">
        <v>340</v>
      </c>
      <c r="H1030" t="s">
        <v>71</v>
      </c>
      <c r="I1030" t="s">
        <v>169</v>
      </c>
    </row>
    <row r="1031" spans="1:9" ht="15" customHeight="1" x14ac:dyDescent="0.35">
      <c r="A1031">
        <v>2019</v>
      </c>
      <c r="B1031" t="s">
        <v>154</v>
      </c>
      <c r="C1031">
        <v>7</v>
      </c>
      <c r="D1031" t="s">
        <v>88</v>
      </c>
      <c r="E1031">
        <v>448</v>
      </c>
      <c r="F1031">
        <v>562</v>
      </c>
      <c r="G1031">
        <v>291</v>
      </c>
      <c r="H1031" t="s">
        <v>71</v>
      </c>
      <c r="I1031" t="s">
        <v>169</v>
      </c>
    </row>
    <row r="1032" spans="1:9" ht="15" customHeight="1" x14ac:dyDescent="0.35">
      <c r="A1032">
        <v>2019</v>
      </c>
      <c r="B1032" t="s">
        <v>155</v>
      </c>
      <c r="C1032">
        <v>8</v>
      </c>
      <c r="D1032" t="s">
        <v>88</v>
      </c>
      <c r="E1032">
        <v>426</v>
      </c>
      <c r="F1032">
        <v>559</v>
      </c>
      <c r="G1032">
        <v>282</v>
      </c>
      <c r="H1032" t="s">
        <v>71</v>
      </c>
      <c r="I1032" t="s">
        <v>169</v>
      </c>
    </row>
    <row r="1033" spans="1:9" ht="15" customHeight="1" x14ac:dyDescent="0.35">
      <c r="A1033">
        <v>2019</v>
      </c>
      <c r="B1033" t="s">
        <v>156</v>
      </c>
      <c r="C1033">
        <v>9</v>
      </c>
      <c r="D1033" t="s">
        <v>88</v>
      </c>
      <c r="E1033">
        <v>438</v>
      </c>
      <c r="F1033">
        <v>567</v>
      </c>
      <c r="G1033">
        <v>302</v>
      </c>
      <c r="H1033" t="s">
        <v>71</v>
      </c>
      <c r="I1033" t="s">
        <v>169</v>
      </c>
    </row>
    <row r="1034" spans="1:9" ht="15" customHeight="1" x14ac:dyDescent="0.35">
      <c r="A1034">
        <v>2019</v>
      </c>
      <c r="B1034" t="s">
        <v>157</v>
      </c>
      <c r="C1034">
        <v>10</v>
      </c>
      <c r="D1034" t="s">
        <v>88</v>
      </c>
      <c r="E1034">
        <v>454</v>
      </c>
      <c r="F1034">
        <v>587</v>
      </c>
      <c r="G1034">
        <v>255</v>
      </c>
      <c r="H1034" t="s">
        <v>71</v>
      </c>
      <c r="I1034" t="s">
        <v>169</v>
      </c>
    </row>
    <row r="1035" spans="1:9" ht="15" customHeight="1" x14ac:dyDescent="0.35">
      <c r="A1035">
        <v>2019</v>
      </c>
      <c r="B1035" t="s">
        <v>158</v>
      </c>
      <c r="C1035">
        <v>11</v>
      </c>
      <c r="D1035" t="s">
        <v>88</v>
      </c>
      <c r="E1035">
        <v>496</v>
      </c>
      <c r="F1035">
        <v>616</v>
      </c>
      <c r="G1035">
        <v>380</v>
      </c>
      <c r="H1035" t="s">
        <v>71</v>
      </c>
      <c r="I1035" t="s">
        <v>169</v>
      </c>
    </row>
    <row r="1036" spans="1:9" ht="15" customHeight="1" x14ac:dyDescent="0.35">
      <c r="A1036">
        <v>2019</v>
      </c>
      <c r="B1036" t="s">
        <v>159</v>
      </c>
      <c r="C1036">
        <v>12</v>
      </c>
      <c r="D1036" t="s">
        <v>88</v>
      </c>
      <c r="E1036">
        <v>485</v>
      </c>
      <c r="F1036">
        <v>612</v>
      </c>
      <c r="G1036">
        <v>375</v>
      </c>
      <c r="H1036" t="s">
        <v>71</v>
      </c>
      <c r="I1036" t="s">
        <v>169</v>
      </c>
    </row>
    <row r="1037" spans="1:9" ht="15" customHeight="1" x14ac:dyDescent="0.35">
      <c r="A1037">
        <v>2020</v>
      </c>
      <c r="B1037" t="s">
        <v>147</v>
      </c>
      <c r="C1037">
        <v>1</v>
      </c>
      <c r="D1037" t="s">
        <v>88</v>
      </c>
      <c r="E1037">
        <v>413</v>
      </c>
      <c r="F1037">
        <v>597</v>
      </c>
      <c r="G1037">
        <v>299</v>
      </c>
      <c r="H1037" t="s">
        <v>71</v>
      </c>
      <c r="I1037" t="s">
        <v>169</v>
      </c>
    </row>
    <row r="1038" spans="1:9" ht="15" customHeight="1" x14ac:dyDescent="0.35">
      <c r="A1038">
        <v>2020</v>
      </c>
      <c r="B1038" t="s">
        <v>149</v>
      </c>
      <c r="C1038">
        <v>2</v>
      </c>
      <c r="D1038" t="s">
        <v>88</v>
      </c>
      <c r="E1038">
        <v>426</v>
      </c>
      <c r="F1038">
        <v>609</v>
      </c>
      <c r="G1038">
        <v>292</v>
      </c>
      <c r="H1038" t="s">
        <v>71</v>
      </c>
      <c r="I1038" t="s">
        <v>169</v>
      </c>
    </row>
    <row r="1039" spans="1:9" ht="15" customHeight="1" x14ac:dyDescent="0.35">
      <c r="A1039">
        <v>2020</v>
      </c>
      <c r="B1039" t="s">
        <v>150</v>
      </c>
      <c r="C1039">
        <v>3</v>
      </c>
      <c r="D1039" t="s">
        <v>88</v>
      </c>
      <c r="E1039">
        <v>384</v>
      </c>
      <c r="F1039">
        <v>556</v>
      </c>
      <c r="G1039">
        <v>243</v>
      </c>
      <c r="H1039" t="s">
        <v>71</v>
      </c>
      <c r="I1039" t="s">
        <v>169</v>
      </c>
    </row>
    <row r="1040" spans="1:9" ht="15" customHeight="1" x14ac:dyDescent="0.35">
      <c r="A1040">
        <v>2020</v>
      </c>
      <c r="B1040" t="s">
        <v>151</v>
      </c>
      <c r="C1040">
        <v>4</v>
      </c>
      <c r="D1040" t="s">
        <v>88</v>
      </c>
      <c r="E1040">
        <v>349</v>
      </c>
      <c r="F1040">
        <v>478</v>
      </c>
      <c r="G1040">
        <v>184</v>
      </c>
      <c r="H1040" t="s">
        <v>72</v>
      </c>
      <c r="I1040" t="s">
        <v>169</v>
      </c>
    </row>
    <row r="1041" spans="1:9" ht="15" customHeight="1" x14ac:dyDescent="0.35">
      <c r="A1041">
        <v>2020</v>
      </c>
      <c r="B1041" t="s">
        <v>152</v>
      </c>
      <c r="C1041">
        <v>5</v>
      </c>
      <c r="D1041" t="s">
        <v>88</v>
      </c>
      <c r="E1041">
        <v>421</v>
      </c>
      <c r="F1041">
        <v>534</v>
      </c>
      <c r="G1041">
        <v>242</v>
      </c>
      <c r="H1041" t="s">
        <v>72</v>
      </c>
      <c r="I1041" t="s">
        <v>169</v>
      </c>
    </row>
    <row r="1042" spans="1:9" ht="15" customHeight="1" x14ac:dyDescent="0.35">
      <c r="A1042">
        <v>2020</v>
      </c>
      <c r="B1042" t="s">
        <v>153</v>
      </c>
      <c r="C1042">
        <v>6</v>
      </c>
      <c r="D1042" t="s">
        <v>88</v>
      </c>
      <c r="E1042">
        <v>363</v>
      </c>
      <c r="F1042">
        <v>510</v>
      </c>
      <c r="G1042">
        <v>245</v>
      </c>
      <c r="H1042" t="s">
        <v>72</v>
      </c>
      <c r="I1042" t="s">
        <v>169</v>
      </c>
    </row>
    <row r="1043" spans="1:9" ht="15" customHeight="1" x14ac:dyDescent="0.35">
      <c r="A1043">
        <v>2020</v>
      </c>
      <c r="B1043" t="s">
        <v>154</v>
      </c>
      <c r="C1043">
        <v>7</v>
      </c>
      <c r="D1043" t="s">
        <v>88</v>
      </c>
      <c r="E1043">
        <v>349</v>
      </c>
      <c r="F1043">
        <v>442</v>
      </c>
      <c r="G1043">
        <v>267</v>
      </c>
      <c r="H1043" t="s">
        <v>72</v>
      </c>
      <c r="I1043" t="s">
        <v>169</v>
      </c>
    </row>
    <row r="1044" spans="1:9" ht="15" customHeight="1" x14ac:dyDescent="0.35">
      <c r="A1044">
        <v>2020</v>
      </c>
      <c r="B1044" t="s">
        <v>155</v>
      </c>
      <c r="C1044">
        <v>8</v>
      </c>
      <c r="D1044" t="s">
        <v>88</v>
      </c>
      <c r="E1044">
        <v>341</v>
      </c>
      <c r="F1044">
        <v>526</v>
      </c>
      <c r="G1044">
        <v>196</v>
      </c>
      <c r="H1044" t="s">
        <v>72</v>
      </c>
      <c r="I1044" t="s">
        <v>169</v>
      </c>
    </row>
    <row r="1045" spans="1:9" ht="15" customHeight="1" x14ac:dyDescent="0.35">
      <c r="A1045">
        <v>2020</v>
      </c>
      <c r="B1045" t="s">
        <v>156</v>
      </c>
      <c r="C1045">
        <v>9</v>
      </c>
      <c r="D1045" t="s">
        <v>88</v>
      </c>
      <c r="E1045">
        <v>372</v>
      </c>
      <c r="F1045">
        <v>525</v>
      </c>
      <c r="G1045">
        <v>281</v>
      </c>
      <c r="H1045" t="s">
        <v>72</v>
      </c>
      <c r="I1045" t="s">
        <v>169</v>
      </c>
    </row>
    <row r="1046" spans="1:9" ht="15" customHeight="1" x14ac:dyDescent="0.35">
      <c r="A1046">
        <v>2020</v>
      </c>
      <c r="B1046" t="s">
        <v>157</v>
      </c>
      <c r="C1046">
        <v>10</v>
      </c>
      <c r="D1046" t="s">
        <v>88</v>
      </c>
      <c r="E1046">
        <v>385</v>
      </c>
      <c r="F1046">
        <v>539</v>
      </c>
      <c r="G1046">
        <v>233</v>
      </c>
      <c r="H1046" t="s">
        <v>72</v>
      </c>
      <c r="I1046" t="s">
        <v>169</v>
      </c>
    </row>
    <row r="1047" spans="1:9" ht="15" customHeight="1" x14ac:dyDescent="0.35">
      <c r="A1047">
        <v>2020</v>
      </c>
      <c r="B1047" t="s">
        <v>158</v>
      </c>
      <c r="C1047">
        <v>11</v>
      </c>
      <c r="D1047" t="s">
        <v>88</v>
      </c>
      <c r="E1047">
        <v>404</v>
      </c>
      <c r="F1047">
        <v>530</v>
      </c>
      <c r="G1047">
        <v>265</v>
      </c>
      <c r="H1047" t="s">
        <v>72</v>
      </c>
      <c r="I1047" t="s">
        <v>169</v>
      </c>
    </row>
    <row r="1048" spans="1:9" ht="15" customHeight="1" x14ac:dyDescent="0.35">
      <c r="A1048">
        <v>2020</v>
      </c>
      <c r="B1048" t="s">
        <v>159</v>
      </c>
      <c r="C1048">
        <v>12</v>
      </c>
      <c r="D1048" t="s">
        <v>88</v>
      </c>
      <c r="E1048">
        <v>416</v>
      </c>
      <c r="F1048">
        <v>519</v>
      </c>
      <c r="G1048">
        <v>327</v>
      </c>
      <c r="H1048" t="s">
        <v>72</v>
      </c>
      <c r="I1048" t="s">
        <v>169</v>
      </c>
    </row>
    <row r="1049" spans="1:9" ht="15" customHeight="1" x14ac:dyDescent="0.35">
      <c r="A1049">
        <v>2021</v>
      </c>
      <c r="B1049" t="s">
        <v>147</v>
      </c>
      <c r="C1049">
        <v>1</v>
      </c>
      <c r="D1049" t="s">
        <v>88</v>
      </c>
      <c r="E1049">
        <v>424</v>
      </c>
      <c r="F1049">
        <v>576</v>
      </c>
      <c r="G1049">
        <v>297</v>
      </c>
      <c r="H1049" t="s">
        <v>72</v>
      </c>
      <c r="I1049" t="s">
        <v>169</v>
      </c>
    </row>
    <row r="1050" spans="1:9" ht="15" customHeight="1" x14ac:dyDescent="0.35">
      <c r="A1050">
        <v>2021</v>
      </c>
      <c r="B1050" t="s">
        <v>149</v>
      </c>
      <c r="C1050">
        <v>2</v>
      </c>
      <c r="D1050" t="s">
        <v>88</v>
      </c>
      <c r="E1050">
        <v>404</v>
      </c>
      <c r="F1050">
        <v>554</v>
      </c>
      <c r="G1050">
        <v>296</v>
      </c>
      <c r="H1050" t="s">
        <v>72</v>
      </c>
      <c r="I1050" t="s">
        <v>169</v>
      </c>
    </row>
    <row r="1051" spans="1:9" ht="15" customHeight="1" x14ac:dyDescent="0.35">
      <c r="A1051">
        <v>2021</v>
      </c>
      <c r="B1051" t="s">
        <v>150</v>
      </c>
      <c r="C1051">
        <v>3</v>
      </c>
      <c r="D1051" t="s">
        <v>88</v>
      </c>
      <c r="E1051">
        <v>477</v>
      </c>
      <c r="F1051">
        <v>593</v>
      </c>
      <c r="G1051">
        <v>336</v>
      </c>
      <c r="H1051" t="s">
        <v>72</v>
      </c>
      <c r="I1051" t="s">
        <v>169</v>
      </c>
    </row>
    <row r="1052" spans="1:9" ht="15" customHeight="1" x14ac:dyDescent="0.35">
      <c r="A1052">
        <v>2021</v>
      </c>
      <c r="B1052" t="s">
        <v>151</v>
      </c>
      <c r="C1052">
        <v>4</v>
      </c>
      <c r="D1052" t="s">
        <v>88</v>
      </c>
      <c r="E1052">
        <v>473</v>
      </c>
      <c r="F1052">
        <v>587</v>
      </c>
      <c r="G1052">
        <v>279</v>
      </c>
      <c r="H1052" t="s">
        <v>73</v>
      </c>
      <c r="I1052" t="s">
        <v>169</v>
      </c>
    </row>
    <row r="1053" spans="1:9" ht="15" customHeight="1" x14ac:dyDescent="0.35">
      <c r="A1053">
        <v>2021</v>
      </c>
      <c r="B1053" t="s">
        <v>152</v>
      </c>
      <c r="C1053">
        <v>5</v>
      </c>
      <c r="D1053" t="s">
        <v>88</v>
      </c>
      <c r="E1053">
        <v>404</v>
      </c>
      <c r="F1053">
        <v>553</v>
      </c>
      <c r="G1053">
        <v>171</v>
      </c>
      <c r="H1053" t="s">
        <v>73</v>
      </c>
      <c r="I1053" t="s">
        <v>169</v>
      </c>
    </row>
    <row r="1054" spans="1:9" ht="15" customHeight="1" x14ac:dyDescent="0.35">
      <c r="A1054">
        <v>2021</v>
      </c>
      <c r="B1054" t="s">
        <v>153</v>
      </c>
      <c r="C1054">
        <v>6</v>
      </c>
      <c r="D1054" t="s">
        <v>88</v>
      </c>
      <c r="E1054">
        <v>387</v>
      </c>
      <c r="F1054">
        <v>511</v>
      </c>
      <c r="G1054">
        <v>279</v>
      </c>
      <c r="H1054" t="s">
        <v>73</v>
      </c>
      <c r="I1054" t="s">
        <v>169</v>
      </c>
    </row>
    <row r="1055" spans="1:9" ht="15" customHeight="1" x14ac:dyDescent="0.35">
      <c r="A1055">
        <v>2021</v>
      </c>
      <c r="B1055" t="s">
        <v>154</v>
      </c>
      <c r="C1055">
        <v>7</v>
      </c>
      <c r="D1055" t="s">
        <v>88</v>
      </c>
      <c r="E1055">
        <v>385</v>
      </c>
      <c r="F1055">
        <v>505</v>
      </c>
      <c r="G1055">
        <v>284</v>
      </c>
      <c r="H1055" t="s">
        <v>73</v>
      </c>
      <c r="I1055" t="s">
        <v>169</v>
      </c>
    </row>
    <row r="1056" spans="1:9" ht="15" customHeight="1" x14ac:dyDescent="0.35">
      <c r="A1056">
        <v>2021</v>
      </c>
      <c r="B1056" t="s">
        <v>155</v>
      </c>
      <c r="C1056">
        <v>8</v>
      </c>
      <c r="D1056" t="s">
        <v>88</v>
      </c>
      <c r="E1056">
        <v>414</v>
      </c>
      <c r="F1056">
        <v>522</v>
      </c>
      <c r="G1056">
        <v>311</v>
      </c>
      <c r="H1056" t="s">
        <v>73</v>
      </c>
      <c r="I1056" t="s">
        <v>169</v>
      </c>
    </row>
    <row r="1057" spans="1:9" ht="15" customHeight="1" x14ac:dyDescent="0.35">
      <c r="A1057">
        <v>2021</v>
      </c>
      <c r="B1057" t="s">
        <v>156</v>
      </c>
      <c r="C1057">
        <v>9</v>
      </c>
      <c r="D1057" t="s">
        <v>88</v>
      </c>
      <c r="E1057">
        <v>400</v>
      </c>
      <c r="F1057">
        <v>523</v>
      </c>
      <c r="G1057">
        <v>248</v>
      </c>
      <c r="H1057" t="s">
        <v>73</v>
      </c>
      <c r="I1057" t="s">
        <v>169</v>
      </c>
    </row>
    <row r="1058" spans="1:9" ht="15" customHeight="1" x14ac:dyDescent="0.35">
      <c r="A1058">
        <v>2021</v>
      </c>
      <c r="B1058" t="s">
        <v>157</v>
      </c>
      <c r="C1058">
        <v>10</v>
      </c>
      <c r="D1058" t="s">
        <v>88</v>
      </c>
      <c r="E1058">
        <v>443</v>
      </c>
      <c r="F1058">
        <v>556</v>
      </c>
      <c r="G1058">
        <v>345</v>
      </c>
      <c r="H1058" t="s">
        <v>73</v>
      </c>
      <c r="I1058" t="s">
        <v>169</v>
      </c>
    </row>
    <row r="1059" spans="1:9" ht="15" customHeight="1" x14ac:dyDescent="0.35">
      <c r="A1059">
        <v>2021</v>
      </c>
      <c r="B1059" t="s">
        <v>158</v>
      </c>
      <c r="C1059">
        <v>11</v>
      </c>
      <c r="D1059" t="s">
        <v>88</v>
      </c>
      <c r="E1059">
        <v>422</v>
      </c>
      <c r="F1059">
        <v>532</v>
      </c>
      <c r="G1059">
        <v>294</v>
      </c>
      <c r="H1059" t="s">
        <v>73</v>
      </c>
      <c r="I1059" t="s">
        <v>169</v>
      </c>
    </row>
    <row r="1060" spans="1:9" ht="15" customHeight="1" x14ac:dyDescent="0.35">
      <c r="A1060">
        <v>2021</v>
      </c>
      <c r="B1060" t="s">
        <v>159</v>
      </c>
      <c r="C1060">
        <v>12</v>
      </c>
      <c r="D1060" t="s">
        <v>88</v>
      </c>
      <c r="E1060">
        <v>420</v>
      </c>
      <c r="F1060">
        <v>534</v>
      </c>
      <c r="G1060">
        <v>306</v>
      </c>
      <c r="H1060" t="s">
        <v>73</v>
      </c>
      <c r="I1060" t="s">
        <v>169</v>
      </c>
    </row>
    <row r="1061" spans="1:9" ht="15" customHeight="1" x14ac:dyDescent="0.35">
      <c r="A1061">
        <v>2022</v>
      </c>
      <c r="B1061" t="s">
        <v>147</v>
      </c>
      <c r="C1061">
        <v>1</v>
      </c>
      <c r="D1061" t="s">
        <v>88</v>
      </c>
      <c r="E1061">
        <v>399</v>
      </c>
      <c r="F1061">
        <v>524</v>
      </c>
      <c r="G1061">
        <v>269</v>
      </c>
      <c r="H1061" t="s">
        <v>73</v>
      </c>
      <c r="I1061" t="s">
        <v>169</v>
      </c>
    </row>
    <row r="1062" spans="1:9" ht="15" customHeight="1" x14ac:dyDescent="0.35">
      <c r="A1062">
        <v>2022</v>
      </c>
      <c r="B1062" t="s">
        <v>149</v>
      </c>
      <c r="C1062">
        <v>2</v>
      </c>
      <c r="D1062" t="s">
        <v>88</v>
      </c>
      <c r="E1062">
        <v>421</v>
      </c>
      <c r="F1062">
        <v>531</v>
      </c>
      <c r="G1062">
        <v>318</v>
      </c>
      <c r="H1062" t="s">
        <v>73</v>
      </c>
      <c r="I1062" t="s">
        <v>169</v>
      </c>
    </row>
    <row r="1063" spans="1:9" ht="15" customHeight="1" x14ac:dyDescent="0.35">
      <c r="A1063">
        <v>2022</v>
      </c>
      <c r="B1063" t="s">
        <v>150</v>
      </c>
      <c r="C1063">
        <v>3</v>
      </c>
      <c r="D1063" t="s">
        <v>88</v>
      </c>
      <c r="E1063">
        <v>449</v>
      </c>
      <c r="F1063">
        <v>586</v>
      </c>
      <c r="G1063">
        <v>272</v>
      </c>
      <c r="H1063" t="s">
        <v>73</v>
      </c>
      <c r="I1063" t="s">
        <v>169</v>
      </c>
    </row>
    <row r="1064" spans="1:9" ht="15" customHeight="1" x14ac:dyDescent="0.35">
      <c r="A1064">
        <v>2022</v>
      </c>
      <c r="B1064" t="s">
        <v>151</v>
      </c>
      <c r="C1064">
        <v>4</v>
      </c>
      <c r="D1064" t="s">
        <v>88</v>
      </c>
      <c r="E1064">
        <v>481</v>
      </c>
      <c r="F1064">
        <v>591</v>
      </c>
      <c r="G1064">
        <v>270</v>
      </c>
      <c r="H1064" t="s">
        <v>74</v>
      </c>
      <c r="I1064" t="s">
        <v>169</v>
      </c>
    </row>
    <row r="1065" spans="1:9" ht="15" customHeight="1" x14ac:dyDescent="0.35">
      <c r="A1065">
        <v>2022</v>
      </c>
      <c r="B1065" t="s">
        <v>152</v>
      </c>
      <c r="C1065">
        <v>5</v>
      </c>
      <c r="D1065" t="s">
        <v>88</v>
      </c>
      <c r="E1065">
        <v>480</v>
      </c>
      <c r="F1065">
        <v>573</v>
      </c>
      <c r="G1065">
        <v>231</v>
      </c>
      <c r="H1065" t="s">
        <v>74</v>
      </c>
      <c r="I1065" t="s">
        <v>169</v>
      </c>
    </row>
    <row r="1066" spans="1:9" ht="15" customHeight="1" x14ac:dyDescent="0.35">
      <c r="A1066">
        <v>2022</v>
      </c>
      <c r="B1066" t="s">
        <v>153</v>
      </c>
      <c r="C1066">
        <v>6</v>
      </c>
      <c r="D1066" t="s">
        <v>88</v>
      </c>
      <c r="E1066">
        <v>439</v>
      </c>
      <c r="F1066">
        <v>575</v>
      </c>
      <c r="G1066">
        <v>319</v>
      </c>
      <c r="H1066" t="s">
        <v>74</v>
      </c>
      <c r="I1066" t="s">
        <v>169</v>
      </c>
    </row>
    <row r="1067" spans="1:9" ht="15" customHeight="1" x14ac:dyDescent="0.35">
      <c r="A1067">
        <v>2022</v>
      </c>
      <c r="B1067" t="s">
        <v>154</v>
      </c>
      <c r="C1067">
        <v>7</v>
      </c>
      <c r="D1067" t="s">
        <v>88</v>
      </c>
      <c r="E1067">
        <v>424</v>
      </c>
      <c r="F1067">
        <v>530</v>
      </c>
      <c r="G1067">
        <v>309</v>
      </c>
      <c r="H1067" t="s">
        <v>74</v>
      </c>
      <c r="I1067" t="s">
        <v>169</v>
      </c>
    </row>
    <row r="1068" spans="1:9" ht="15" customHeight="1" x14ac:dyDescent="0.35">
      <c r="A1068">
        <v>2022</v>
      </c>
      <c r="B1068" t="s">
        <v>155</v>
      </c>
      <c r="C1068">
        <v>8</v>
      </c>
      <c r="D1068" t="s">
        <v>88</v>
      </c>
      <c r="E1068">
        <v>442</v>
      </c>
      <c r="F1068">
        <v>552</v>
      </c>
      <c r="G1068">
        <v>332</v>
      </c>
      <c r="H1068" t="s">
        <v>74</v>
      </c>
      <c r="I1068" t="s">
        <v>169</v>
      </c>
    </row>
    <row r="1069" spans="1:9" ht="15" customHeight="1" x14ac:dyDescent="0.35">
      <c r="A1069">
        <v>2022</v>
      </c>
      <c r="B1069" t="s">
        <v>156</v>
      </c>
      <c r="C1069">
        <v>9</v>
      </c>
      <c r="D1069" t="s">
        <v>88</v>
      </c>
      <c r="E1069">
        <v>427</v>
      </c>
      <c r="F1069">
        <v>523</v>
      </c>
      <c r="G1069">
        <v>348</v>
      </c>
      <c r="H1069" t="s">
        <v>74</v>
      </c>
      <c r="I1069" t="s">
        <v>169</v>
      </c>
    </row>
    <row r="1070" spans="1:9" ht="15" customHeight="1" x14ac:dyDescent="0.35">
      <c r="A1070">
        <v>2022</v>
      </c>
      <c r="B1070" t="s">
        <v>157</v>
      </c>
      <c r="C1070">
        <v>10</v>
      </c>
      <c r="D1070" t="s">
        <v>88</v>
      </c>
      <c r="E1070">
        <v>436</v>
      </c>
      <c r="F1070">
        <v>553</v>
      </c>
      <c r="G1070">
        <v>281</v>
      </c>
      <c r="H1070" t="s">
        <v>74</v>
      </c>
      <c r="I1070" t="s">
        <v>169</v>
      </c>
    </row>
    <row r="1071" spans="1:9" ht="15" customHeight="1" x14ac:dyDescent="0.35">
      <c r="A1071">
        <v>2022</v>
      </c>
      <c r="B1071" t="s">
        <v>158</v>
      </c>
      <c r="C1071">
        <v>11</v>
      </c>
      <c r="D1071" t="s">
        <v>88</v>
      </c>
      <c r="E1071">
        <v>434</v>
      </c>
      <c r="F1071">
        <v>556</v>
      </c>
      <c r="G1071">
        <v>302</v>
      </c>
      <c r="H1071" t="s">
        <v>74</v>
      </c>
      <c r="I1071" t="s">
        <v>169</v>
      </c>
    </row>
    <row r="1072" spans="1:9" ht="15" customHeight="1" x14ac:dyDescent="0.35">
      <c r="A1072">
        <v>2022</v>
      </c>
      <c r="B1072" t="s">
        <v>159</v>
      </c>
      <c r="C1072">
        <v>12</v>
      </c>
      <c r="D1072" t="s">
        <v>88</v>
      </c>
      <c r="E1072">
        <v>426</v>
      </c>
      <c r="F1072">
        <v>581</v>
      </c>
      <c r="G1072">
        <v>303</v>
      </c>
      <c r="H1072" t="s">
        <v>74</v>
      </c>
      <c r="I1072" t="s">
        <v>169</v>
      </c>
    </row>
    <row r="1073" spans="1:9" ht="15" customHeight="1" x14ac:dyDescent="0.35">
      <c r="A1073">
        <v>2023</v>
      </c>
      <c r="B1073" t="s">
        <v>147</v>
      </c>
      <c r="C1073">
        <v>1</v>
      </c>
      <c r="D1073" t="s">
        <v>88</v>
      </c>
      <c r="E1073">
        <v>505</v>
      </c>
      <c r="F1073">
        <v>665</v>
      </c>
      <c r="G1073">
        <v>325</v>
      </c>
      <c r="H1073" t="s">
        <v>74</v>
      </c>
      <c r="I1073" t="s">
        <v>169</v>
      </c>
    </row>
    <row r="1074" spans="1:9" ht="15" customHeight="1" x14ac:dyDescent="0.35">
      <c r="A1074">
        <v>2023</v>
      </c>
      <c r="B1074" t="s">
        <v>149</v>
      </c>
      <c r="C1074">
        <v>2</v>
      </c>
      <c r="D1074" t="s">
        <v>88</v>
      </c>
      <c r="E1074">
        <v>418</v>
      </c>
      <c r="F1074">
        <v>675</v>
      </c>
      <c r="G1074">
        <v>219</v>
      </c>
      <c r="H1074" t="s">
        <v>74</v>
      </c>
      <c r="I1074" t="s">
        <v>169</v>
      </c>
    </row>
    <row r="1075" spans="1:9" ht="15" customHeight="1" x14ac:dyDescent="0.35">
      <c r="A1075">
        <v>2023</v>
      </c>
      <c r="B1075" t="s">
        <v>150</v>
      </c>
      <c r="C1075">
        <v>3</v>
      </c>
      <c r="D1075" t="s">
        <v>88</v>
      </c>
      <c r="E1075">
        <v>468</v>
      </c>
      <c r="F1075">
        <v>594</v>
      </c>
      <c r="G1075">
        <v>368</v>
      </c>
      <c r="H1075" t="s">
        <v>74</v>
      </c>
      <c r="I1075" t="s">
        <v>169</v>
      </c>
    </row>
    <row r="1076" spans="1:9" ht="15" customHeight="1" x14ac:dyDescent="0.35">
      <c r="A1076">
        <v>2023</v>
      </c>
      <c r="B1076" t="s">
        <v>151</v>
      </c>
      <c r="C1076">
        <v>4</v>
      </c>
      <c r="D1076" t="s">
        <v>88</v>
      </c>
      <c r="E1076">
        <v>510</v>
      </c>
      <c r="F1076">
        <v>622</v>
      </c>
      <c r="G1076">
        <v>247</v>
      </c>
      <c r="H1076" t="s">
        <v>75</v>
      </c>
      <c r="I1076" t="s">
        <v>169</v>
      </c>
    </row>
    <row r="1077" spans="1:9" ht="15" customHeight="1" x14ac:dyDescent="0.35">
      <c r="A1077">
        <v>2023</v>
      </c>
      <c r="B1077" t="s">
        <v>152</v>
      </c>
      <c r="C1077">
        <v>5</v>
      </c>
      <c r="D1077" t="s">
        <v>88</v>
      </c>
      <c r="E1077">
        <v>541</v>
      </c>
      <c r="F1077">
        <v>647</v>
      </c>
      <c r="G1077">
        <v>289</v>
      </c>
      <c r="H1077" t="s">
        <v>75</v>
      </c>
      <c r="I1077" t="s">
        <v>169</v>
      </c>
    </row>
    <row r="1078" spans="1:9" ht="15" customHeight="1" x14ac:dyDescent="0.35">
      <c r="A1078">
        <v>2023</v>
      </c>
      <c r="B1078" t="s">
        <v>153</v>
      </c>
      <c r="C1078">
        <v>6</v>
      </c>
      <c r="D1078" t="s">
        <v>88</v>
      </c>
      <c r="E1078">
        <v>507</v>
      </c>
      <c r="F1078">
        <v>657</v>
      </c>
      <c r="G1078">
        <v>345</v>
      </c>
      <c r="H1078" t="s">
        <v>75</v>
      </c>
      <c r="I1078" t="s">
        <v>169</v>
      </c>
    </row>
    <row r="1079" spans="1:9" ht="15" customHeight="1" x14ac:dyDescent="0.35">
      <c r="A1079">
        <v>2023</v>
      </c>
      <c r="B1079" t="s">
        <v>154</v>
      </c>
      <c r="C1079">
        <v>7</v>
      </c>
      <c r="D1079" t="s">
        <v>88</v>
      </c>
      <c r="E1079">
        <v>422</v>
      </c>
      <c r="F1079">
        <v>538</v>
      </c>
      <c r="G1079">
        <v>320</v>
      </c>
      <c r="H1079" t="s">
        <v>75</v>
      </c>
      <c r="I1079" t="s">
        <v>169</v>
      </c>
    </row>
    <row r="1080" spans="1:9" ht="15" customHeight="1" x14ac:dyDescent="0.35">
      <c r="A1080">
        <v>2023</v>
      </c>
      <c r="B1080" t="s">
        <v>155</v>
      </c>
      <c r="C1080">
        <v>8</v>
      </c>
      <c r="D1080" t="s">
        <v>88</v>
      </c>
      <c r="E1080">
        <v>450</v>
      </c>
      <c r="F1080">
        <v>619</v>
      </c>
      <c r="G1080">
        <v>321</v>
      </c>
      <c r="H1080" t="s">
        <v>75</v>
      </c>
      <c r="I1080" t="s">
        <v>169</v>
      </c>
    </row>
    <row r="1081" spans="1:9" ht="15" customHeight="1" x14ac:dyDescent="0.35">
      <c r="A1081">
        <v>2023</v>
      </c>
      <c r="B1081" t="s">
        <v>156</v>
      </c>
      <c r="C1081">
        <v>9</v>
      </c>
      <c r="D1081" t="s">
        <v>88</v>
      </c>
      <c r="E1081">
        <v>461</v>
      </c>
      <c r="F1081">
        <v>587</v>
      </c>
      <c r="G1081">
        <v>286</v>
      </c>
      <c r="H1081" t="s">
        <v>75</v>
      </c>
      <c r="I1081" t="s">
        <v>169</v>
      </c>
    </row>
    <row r="1082" spans="1:9" ht="15" customHeight="1" x14ac:dyDescent="0.35">
      <c r="A1082">
        <v>2023</v>
      </c>
      <c r="B1082" t="s">
        <v>157</v>
      </c>
      <c r="C1082">
        <v>10</v>
      </c>
      <c r="D1082" t="s">
        <v>88</v>
      </c>
      <c r="E1082">
        <v>489</v>
      </c>
      <c r="F1082">
        <v>651</v>
      </c>
      <c r="G1082">
        <v>342</v>
      </c>
      <c r="H1082" t="s">
        <v>75</v>
      </c>
      <c r="I1082" t="s">
        <v>169</v>
      </c>
    </row>
    <row r="1083" spans="1:9" ht="15" customHeight="1" x14ac:dyDescent="0.35">
      <c r="A1083">
        <v>2023</v>
      </c>
      <c r="B1083" t="s">
        <v>158</v>
      </c>
      <c r="C1083">
        <v>11</v>
      </c>
      <c r="D1083" t="s">
        <v>88</v>
      </c>
      <c r="E1083">
        <v>483</v>
      </c>
      <c r="F1083">
        <v>602</v>
      </c>
      <c r="G1083">
        <v>208</v>
      </c>
      <c r="H1083" t="s">
        <v>75</v>
      </c>
      <c r="I1083" t="s">
        <v>169</v>
      </c>
    </row>
    <row r="1084" spans="1:9" ht="15" customHeight="1" x14ac:dyDescent="0.35">
      <c r="A1084">
        <v>2023</v>
      </c>
      <c r="B1084" t="s">
        <v>159</v>
      </c>
      <c r="C1084">
        <v>12</v>
      </c>
      <c r="D1084" t="s">
        <v>88</v>
      </c>
      <c r="E1084">
        <v>477</v>
      </c>
      <c r="F1084">
        <v>622</v>
      </c>
      <c r="G1084">
        <v>364</v>
      </c>
      <c r="H1084" t="s">
        <v>75</v>
      </c>
      <c r="I1084" t="s">
        <v>169</v>
      </c>
    </row>
    <row r="1085" spans="1:9" ht="15" customHeight="1" x14ac:dyDescent="0.35">
      <c r="A1085">
        <v>2024</v>
      </c>
      <c r="B1085" t="s">
        <v>147</v>
      </c>
      <c r="C1085">
        <v>1</v>
      </c>
      <c r="D1085" t="s">
        <v>88</v>
      </c>
      <c r="E1085">
        <v>463</v>
      </c>
      <c r="F1085">
        <v>619</v>
      </c>
      <c r="G1085">
        <v>345</v>
      </c>
      <c r="H1085" t="s">
        <v>75</v>
      </c>
      <c r="I1085" t="s">
        <v>169</v>
      </c>
    </row>
    <row r="1086" spans="1:9" ht="15" customHeight="1" x14ac:dyDescent="0.35">
      <c r="A1086">
        <v>2024</v>
      </c>
      <c r="B1086" t="s">
        <v>149</v>
      </c>
      <c r="C1086">
        <v>2</v>
      </c>
      <c r="D1086" t="s">
        <v>88</v>
      </c>
      <c r="E1086">
        <v>492</v>
      </c>
      <c r="F1086">
        <v>637</v>
      </c>
      <c r="G1086">
        <v>354</v>
      </c>
      <c r="H1086" t="s">
        <v>75</v>
      </c>
      <c r="I1086" t="s">
        <v>169</v>
      </c>
    </row>
    <row r="1087" spans="1:9" ht="15" customHeight="1" x14ac:dyDescent="0.35">
      <c r="A1087">
        <v>2024</v>
      </c>
      <c r="B1087" t="s">
        <v>150</v>
      </c>
      <c r="C1087">
        <v>3</v>
      </c>
      <c r="D1087" t="s">
        <v>88</v>
      </c>
      <c r="E1087">
        <v>508</v>
      </c>
      <c r="F1087">
        <v>702</v>
      </c>
      <c r="G1087">
        <v>335</v>
      </c>
      <c r="H1087" t="s">
        <v>75</v>
      </c>
      <c r="I1087" t="s">
        <v>169</v>
      </c>
    </row>
    <row r="1088" spans="1:9" ht="15" customHeight="1" x14ac:dyDescent="0.35">
      <c r="A1088">
        <v>2024</v>
      </c>
      <c r="B1088" t="s">
        <v>151</v>
      </c>
      <c r="C1088">
        <v>4</v>
      </c>
      <c r="D1088" t="s">
        <v>88</v>
      </c>
      <c r="E1088">
        <v>508</v>
      </c>
      <c r="F1088">
        <v>702</v>
      </c>
      <c r="G1088">
        <v>335</v>
      </c>
      <c r="H1088" t="s">
        <v>77</v>
      </c>
      <c r="I1088" t="s">
        <v>169</v>
      </c>
    </row>
    <row r="1089" spans="1:9" ht="15" customHeight="1" x14ac:dyDescent="0.35">
      <c r="A1089">
        <v>2024</v>
      </c>
      <c r="B1089" t="s">
        <v>152</v>
      </c>
      <c r="C1089">
        <v>5</v>
      </c>
      <c r="D1089" t="s">
        <v>88</v>
      </c>
      <c r="E1089">
        <v>483</v>
      </c>
      <c r="F1089">
        <v>619</v>
      </c>
      <c r="G1089">
        <v>251</v>
      </c>
      <c r="H1089" t="s">
        <v>77</v>
      </c>
      <c r="I1089" t="s">
        <v>169</v>
      </c>
    </row>
    <row r="1090" spans="1:9" ht="15" customHeight="1" x14ac:dyDescent="0.35">
      <c r="A1090">
        <v>2024</v>
      </c>
      <c r="B1090" t="s">
        <v>153</v>
      </c>
      <c r="C1090">
        <v>6</v>
      </c>
      <c r="D1090" t="s">
        <v>88</v>
      </c>
      <c r="E1090">
        <v>442</v>
      </c>
      <c r="F1090">
        <v>696</v>
      </c>
      <c r="G1090">
        <v>296</v>
      </c>
      <c r="H1090" t="s">
        <v>77</v>
      </c>
      <c r="I1090" t="s">
        <v>169</v>
      </c>
    </row>
    <row r="1091" spans="1:9" ht="15" customHeight="1" x14ac:dyDescent="0.35">
      <c r="A1091">
        <v>2024</v>
      </c>
      <c r="B1091" t="s">
        <v>154</v>
      </c>
      <c r="C1091">
        <v>7</v>
      </c>
      <c r="D1091" t="s">
        <v>88</v>
      </c>
      <c r="E1091">
        <v>462</v>
      </c>
      <c r="F1091">
        <v>669</v>
      </c>
      <c r="G1091">
        <v>329</v>
      </c>
      <c r="H1091" t="s">
        <v>77</v>
      </c>
      <c r="I1091" t="s">
        <v>169</v>
      </c>
    </row>
    <row r="1092" spans="1:9" ht="15" customHeight="1" x14ac:dyDescent="0.35">
      <c r="A1092">
        <v>2024</v>
      </c>
      <c r="B1092" t="s">
        <v>155</v>
      </c>
      <c r="C1092">
        <v>8</v>
      </c>
      <c r="D1092" t="s">
        <v>88</v>
      </c>
      <c r="E1092">
        <v>473</v>
      </c>
      <c r="F1092">
        <v>619</v>
      </c>
      <c r="G1092">
        <v>354</v>
      </c>
      <c r="H1092" t="s">
        <v>77</v>
      </c>
      <c r="I1092" t="s">
        <v>169</v>
      </c>
    </row>
    <row r="1093" spans="1:9" ht="15" customHeight="1" x14ac:dyDescent="0.35">
      <c r="A1093">
        <v>2024</v>
      </c>
      <c r="B1093" t="s">
        <v>156</v>
      </c>
      <c r="C1093">
        <v>9</v>
      </c>
      <c r="D1093" t="s">
        <v>88</v>
      </c>
      <c r="E1093">
        <v>468</v>
      </c>
      <c r="F1093">
        <v>611</v>
      </c>
      <c r="G1093">
        <v>336</v>
      </c>
      <c r="H1093" t="s">
        <v>77</v>
      </c>
      <c r="I1093" t="s">
        <v>169</v>
      </c>
    </row>
    <row r="1094" spans="1:9" ht="15" customHeight="1" x14ac:dyDescent="0.35">
      <c r="A1094">
        <v>2024</v>
      </c>
      <c r="B1094" t="s">
        <v>157</v>
      </c>
      <c r="C1094">
        <v>10</v>
      </c>
      <c r="D1094" t="s">
        <v>88</v>
      </c>
      <c r="E1094">
        <v>509</v>
      </c>
      <c r="F1094">
        <v>665</v>
      </c>
      <c r="G1094">
        <v>357</v>
      </c>
      <c r="H1094" t="s">
        <v>77</v>
      </c>
      <c r="I1094" t="s">
        <v>169</v>
      </c>
    </row>
    <row r="1095" spans="1:9" ht="15" customHeight="1" x14ac:dyDescent="0.35">
      <c r="A1095">
        <v>2024</v>
      </c>
      <c r="B1095" t="s">
        <v>158</v>
      </c>
      <c r="C1095">
        <v>11</v>
      </c>
      <c r="D1095" t="s">
        <v>88</v>
      </c>
      <c r="E1095">
        <v>480</v>
      </c>
      <c r="F1095">
        <v>672</v>
      </c>
      <c r="G1095">
        <v>344</v>
      </c>
      <c r="H1095" t="s">
        <v>77</v>
      </c>
      <c r="I1095" t="s">
        <v>169</v>
      </c>
    </row>
    <row r="1096" spans="1:9" ht="15" customHeight="1" x14ac:dyDescent="0.35">
      <c r="A1096">
        <v>2024</v>
      </c>
      <c r="B1096" t="s">
        <v>159</v>
      </c>
      <c r="C1096">
        <v>12</v>
      </c>
      <c r="D1096" t="s">
        <v>88</v>
      </c>
      <c r="E1096">
        <v>480</v>
      </c>
      <c r="F1096">
        <v>650</v>
      </c>
      <c r="G1096">
        <v>300</v>
      </c>
      <c r="H1096" t="s">
        <v>77</v>
      </c>
      <c r="I1096" t="s">
        <v>169</v>
      </c>
    </row>
    <row r="1097" spans="1:9" ht="15" customHeight="1" x14ac:dyDescent="0.35">
      <c r="A1097">
        <v>2025</v>
      </c>
      <c r="B1097" t="s">
        <v>147</v>
      </c>
      <c r="C1097">
        <v>1</v>
      </c>
      <c r="D1097" t="s">
        <v>88</v>
      </c>
      <c r="E1097">
        <v>477</v>
      </c>
      <c r="F1097">
        <v>619</v>
      </c>
      <c r="G1097">
        <v>245</v>
      </c>
      <c r="H1097" t="s">
        <v>77</v>
      </c>
      <c r="I1097" t="s">
        <v>169</v>
      </c>
    </row>
    <row r="1098" spans="1:9" ht="15" customHeight="1" x14ac:dyDescent="0.35">
      <c r="A1098">
        <v>2025</v>
      </c>
      <c r="B1098" t="s">
        <v>149</v>
      </c>
      <c r="C1098">
        <v>2</v>
      </c>
      <c r="D1098" t="s">
        <v>88</v>
      </c>
      <c r="E1098">
        <v>518</v>
      </c>
      <c r="F1098">
        <v>743</v>
      </c>
      <c r="G1098">
        <v>392</v>
      </c>
      <c r="H1098" t="s">
        <v>77</v>
      </c>
      <c r="I1098" t="s">
        <v>169</v>
      </c>
    </row>
    <row r="1099" spans="1:9" ht="15" customHeight="1" x14ac:dyDescent="0.35">
      <c r="A1099">
        <v>2025</v>
      </c>
      <c r="B1099" t="s">
        <v>150</v>
      </c>
      <c r="C1099">
        <v>3</v>
      </c>
      <c r="D1099" t="s">
        <v>88</v>
      </c>
      <c r="E1099">
        <v>559</v>
      </c>
      <c r="F1099">
        <v>737</v>
      </c>
      <c r="G1099">
        <v>435</v>
      </c>
      <c r="H1099" t="s">
        <v>77</v>
      </c>
      <c r="I1099" t="s">
        <v>169</v>
      </c>
    </row>
    <row r="1100" spans="1:9" ht="15" customHeight="1" x14ac:dyDescent="0.35">
      <c r="A1100">
        <v>2025</v>
      </c>
      <c r="B1100" t="s">
        <v>151</v>
      </c>
      <c r="C1100">
        <v>4</v>
      </c>
      <c r="D1100" t="s">
        <v>88</v>
      </c>
      <c r="E1100">
        <v>591</v>
      </c>
      <c r="F1100">
        <v>701</v>
      </c>
      <c r="G1100">
        <v>469</v>
      </c>
      <c r="H1100" t="s">
        <v>78</v>
      </c>
      <c r="I1100" t="s">
        <v>169</v>
      </c>
    </row>
    <row r="1101" spans="1:9" ht="15" customHeight="1" x14ac:dyDescent="0.35">
      <c r="A1101">
        <v>2025</v>
      </c>
      <c r="B1101" t="s">
        <v>152</v>
      </c>
      <c r="C1101">
        <v>5</v>
      </c>
      <c r="D1101" t="s">
        <v>88</v>
      </c>
      <c r="E1101">
        <v>568</v>
      </c>
      <c r="F1101">
        <v>716</v>
      </c>
      <c r="G1101">
        <v>366</v>
      </c>
      <c r="H1101" t="s">
        <v>78</v>
      </c>
      <c r="I1101" t="s">
        <v>169</v>
      </c>
    </row>
    <row r="1102" spans="1:9" ht="15" customHeight="1" x14ac:dyDescent="0.35">
      <c r="A1102">
        <v>2025</v>
      </c>
      <c r="B1102" t="s">
        <v>153</v>
      </c>
      <c r="C1102">
        <v>6</v>
      </c>
      <c r="D1102" t="s">
        <v>88</v>
      </c>
      <c r="E1102">
        <v>526</v>
      </c>
      <c r="F1102">
        <v>713</v>
      </c>
      <c r="G1102">
        <v>376</v>
      </c>
      <c r="H1102" t="s">
        <v>78</v>
      </c>
      <c r="I1102" t="s">
        <v>169</v>
      </c>
    </row>
    <row r="1103" spans="1:9" ht="15" customHeight="1" x14ac:dyDescent="0.35">
      <c r="A1103">
        <v>2025</v>
      </c>
      <c r="B1103" t="s">
        <v>154</v>
      </c>
      <c r="C1103">
        <v>7</v>
      </c>
      <c r="D1103" t="s">
        <v>88</v>
      </c>
      <c r="E1103">
        <v>489</v>
      </c>
      <c r="F1103">
        <v>612</v>
      </c>
      <c r="G1103">
        <v>366</v>
      </c>
      <c r="H1103" t="s">
        <v>78</v>
      </c>
      <c r="I1103" t="s">
        <v>169</v>
      </c>
    </row>
    <row r="1104" spans="1:9" ht="15" customHeight="1" x14ac:dyDescent="0.35">
      <c r="A1104">
        <v>2025</v>
      </c>
      <c r="B1104" t="s">
        <v>155</v>
      </c>
      <c r="C1104">
        <v>8</v>
      </c>
      <c r="D1104" t="s">
        <v>88</v>
      </c>
      <c r="E1104">
        <v>471</v>
      </c>
      <c r="F1104">
        <v>622</v>
      </c>
      <c r="G1104">
        <v>319</v>
      </c>
      <c r="H1104" t="s">
        <v>78</v>
      </c>
      <c r="I1104" t="s">
        <v>169</v>
      </c>
    </row>
    <row r="1105" spans="1:9" ht="15" customHeight="1" x14ac:dyDescent="0.35">
      <c r="A1105">
        <v>2025</v>
      </c>
      <c r="B1105" t="s">
        <v>156</v>
      </c>
      <c r="C1105">
        <v>9</v>
      </c>
      <c r="D1105" t="s">
        <v>88</v>
      </c>
      <c r="E1105">
        <v>499</v>
      </c>
      <c r="F1105">
        <v>680</v>
      </c>
      <c r="G1105">
        <v>374</v>
      </c>
      <c r="H1105" t="s">
        <v>78</v>
      </c>
      <c r="I1105" t="s">
        <v>169</v>
      </c>
    </row>
    <row r="1106" spans="1:9" ht="15" customHeight="1" x14ac:dyDescent="0.35">
      <c r="A1106">
        <v>2025</v>
      </c>
      <c r="B1106" t="s">
        <v>157</v>
      </c>
      <c r="C1106">
        <v>10</v>
      </c>
      <c r="D1106" t="s">
        <v>88</v>
      </c>
      <c r="E1106">
        <v>507</v>
      </c>
      <c r="F1106">
        <v>680</v>
      </c>
      <c r="G1106">
        <v>321</v>
      </c>
      <c r="H1106" t="s">
        <v>78</v>
      </c>
      <c r="I1106" t="s">
        <v>169</v>
      </c>
    </row>
    <row r="1107" spans="1:9" ht="15" customHeight="1" x14ac:dyDescent="0.35">
      <c r="A1107">
        <v>2025</v>
      </c>
      <c r="B1107" t="s">
        <v>158</v>
      </c>
      <c r="C1107">
        <v>11</v>
      </c>
      <c r="D1107" t="s">
        <v>88</v>
      </c>
      <c r="E1107">
        <v>494</v>
      </c>
      <c r="F1107">
        <v>627</v>
      </c>
      <c r="G1107">
        <v>358</v>
      </c>
      <c r="H1107" t="s">
        <v>78</v>
      </c>
      <c r="I1107" t="s">
        <v>169</v>
      </c>
    </row>
    <row r="1108" spans="1:9" ht="15" customHeight="1" x14ac:dyDescent="0.35">
      <c r="A1108">
        <v>2025</v>
      </c>
      <c r="B1108" t="s">
        <v>159</v>
      </c>
      <c r="C1108">
        <v>12</v>
      </c>
      <c r="D1108" t="s">
        <v>88</v>
      </c>
      <c r="E1108">
        <v>459</v>
      </c>
      <c r="F1108">
        <v>628</v>
      </c>
      <c r="G1108">
        <v>315</v>
      </c>
      <c r="H1108" t="s">
        <v>78</v>
      </c>
      <c r="I1108" t="s">
        <v>169</v>
      </c>
    </row>
    <row r="1109" spans="1:9" ht="15" customHeight="1" x14ac:dyDescent="0.35">
      <c r="A1109">
        <v>2026</v>
      </c>
      <c r="B1109" t="s">
        <v>147</v>
      </c>
      <c r="C1109">
        <v>1</v>
      </c>
      <c r="D1109" t="s">
        <v>88</v>
      </c>
      <c r="E1109">
        <v>490</v>
      </c>
      <c r="F1109">
        <v>634</v>
      </c>
      <c r="G1109">
        <v>364</v>
      </c>
      <c r="H1109" t="s">
        <v>78</v>
      </c>
      <c r="I1109" t="s">
        <v>169</v>
      </c>
    </row>
    <row r="1110" spans="1:9" ht="15" customHeight="1" x14ac:dyDescent="0.35">
      <c r="A1110">
        <v>2026</v>
      </c>
      <c r="B1110" t="s">
        <v>149</v>
      </c>
      <c r="C1110">
        <v>2</v>
      </c>
      <c r="D1110" t="s">
        <v>88</v>
      </c>
      <c r="E1110">
        <v>509</v>
      </c>
      <c r="F1110">
        <v>659</v>
      </c>
      <c r="G1110">
        <v>380</v>
      </c>
      <c r="H1110" t="s">
        <v>78</v>
      </c>
      <c r="I1110" t="s">
        <v>169</v>
      </c>
    </row>
    <row r="1111" spans="1:9" ht="15" customHeight="1" x14ac:dyDescent="0.35">
      <c r="A1111">
        <v>2026</v>
      </c>
      <c r="B1111" t="s">
        <v>150</v>
      </c>
      <c r="C1111">
        <v>3</v>
      </c>
      <c r="D1111" t="s">
        <v>88</v>
      </c>
      <c r="E1111">
        <v>490</v>
      </c>
      <c r="F1111">
        <v>634</v>
      </c>
      <c r="G1111">
        <v>364</v>
      </c>
      <c r="H1111" t="s">
        <v>78</v>
      </c>
      <c r="I1111" t="s">
        <v>169</v>
      </c>
    </row>
    <row r="1112" spans="1:9" ht="15" customHeight="1" x14ac:dyDescent="0.35">
      <c r="A1112">
        <v>2017</v>
      </c>
      <c r="B1112" t="s">
        <v>147</v>
      </c>
      <c r="C1112">
        <v>1</v>
      </c>
      <c r="D1112" t="s">
        <v>89</v>
      </c>
      <c r="E1112">
        <v>11302</v>
      </c>
      <c r="F1112">
        <v>13390</v>
      </c>
      <c r="G1112">
        <v>7230</v>
      </c>
      <c r="H1112" t="s">
        <v>122</v>
      </c>
      <c r="I1112" t="s">
        <v>170</v>
      </c>
    </row>
    <row r="1113" spans="1:9" ht="15" customHeight="1" x14ac:dyDescent="0.35">
      <c r="A1113">
        <v>2017</v>
      </c>
      <c r="B1113" t="s">
        <v>149</v>
      </c>
      <c r="C1113">
        <v>2</v>
      </c>
      <c r="D1113" t="s">
        <v>89</v>
      </c>
      <c r="E1113">
        <v>11889</v>
      </c>
      <c r="F1113">
        <v>13823</v>
      </c>
      <c r="G1113">
        <v>9571</v>
      </c>
      <c r="H1113" t="s">
        <v>122</v>
      </c>
      <c r="I1113" t="s">
        <v>170</v>
      </c>
    </row>
    <row r="1114" spans="1:9" ht="15" customHeight="1" x14ac:dyDescent="0.35">
      <c r="A1114">
        <v>2017</v>
      </c>
      <c r="B1114" t="s">
        <v>150</v>
      </c>
      <c r="C1114">
        <v>3</v>
      </c>
      <c r="D1114" t="s">
        <v>89</v>
      </c>
      <c r="E1114">
        <v>12378</v>
      </c>
      <c r="F1114">
        <v>14717</v>
      </c>
      <c r="G1114">
        <v>7697</v>
      </c>
      <c r="H1114" t="s">
        <v>122</v>
      </c>
      <c r="I1114" t="s">
        <v>170</v>
      </c>
    </row>
    <row r="1115" spans="1:9" ht="15" customHeight="1" x14ac:dyDescent="0.35">
      <c r="A1115">
        <v>2017</v>
      </c>
      <c r="B1115" t="s">
        <v>151</v>
      </c>
      <c r="C1115">
        <v>4</v>
      </c>
      <c r="D1115" t="s">
        <v>89</v>
      </c>
      <c r="E1115">
        <v>13405</v>
      </c>
      <c r="F1115">
        <v>15439</v>
      </c>
      <c r="G1115">
        <v>10982</v>
      </c>
      <c r="H1115" t="s">
        <v>123</v>
      </c>
      <c r="I1115" t="s">
        <v>170</v>
      </c>
    </row>
    <row r="1116" spans="1:9" ht="15" customHeight="1" x14ac:dyDescent="0.35">
      <c r="A1116">
        <v>2017</v>
      </c>
      <c r="B1116" t="s">
        <v>152</v>
      </c>
      <c r="C1116">
        <v>5</v>
      </c>
      <c r="D1116" t="s">
        <v>89</v>
      </c>
      <c r="E1116">
        <v>13175</v>
      </c>
      <c r="F1116">
        <v>15220</v>
      </c>
      <c r="G1116">
        <v>10424</v>
      </c>
      <c r="H1116" t="s">
        <v>123</v>
      </c>
      <c r="I1116" t="s">
        <v>170</v>
      </c>
    </row>
    <row r="1117" spans="1:9" ht="15" customHeight="1" x14ac:dyDescent="0.35">
      <c r="A1117">
        <v>2017</v>
      </c>
      <c r="B1117" t="s">
        <v>153</v>
      </c>
      <c r="C1117">
        <v>6</v>
      </c>
      <c r="D1117" t="s">
        <v>89</v>
      </c>
      <c r="E1117">
        <v>12300</v>
      </c>
      <c r="F1117">
        <v>15036</v>
      </c>
      <c r="G1117">
        <v>8710</v>
      </c>
      <c r="H1117" t="s">
        <v>123</v>
      </c>
      <c r="I1117" t="s">
        <v>170</v>
      </c>
    </row>
    <row r="1118" spans="1:9" ht="15" customHeight="1" x14ac:dyDescent="0.35">
      <c r="A1118">
        <v>2017</v>
      </c>
      <c r="B1118" t="s">
        <v>154</v>
      </c>
      <c r="C1118">
        <v>7</v>
      </c>
      <c r="D1118" t="s">
        <v>89</v>
      </c>
      <c r="E1118">
        <v>9396</v>
      </c>
      <c r="F1118">
        <v>11552</v>
      </c>
      <c r="G1118">
        <v>7450</v>
      </c>
      <c r="H1118" t="s">
        <v>123</v>
      </c>
      <c r="I1118" t="s">
        <v>170</v>
      </c>
    </row>
    <row r="1119" spans="1:9" ht="15" customHeight="1" x14ac:dyDescent="0.35">
      <c r="A1119">
        <v>2017</v>
      </c>
      <c r="B1119" t="s">
        <v>155</v>
      </c>
      <c r="C1119">
        <v>8</v>
      </c>
      <c r="D1119" t="s">
        <v>89</v>
      </c>
      <c r="E1119">
        <v>10652</v>
      </c>
      <c r="F1119">
        <v>14461</v>
      </c>
      <c r="G1119">
        <v>7853</v>
      </c>
      <c r="H1119" t="s">
        <v>123</v>
      </c>
      <c r="I1119" t="s">
        <v>170</v>
      </c>
    </row>
    <row r="1120" spans="1:9" ht="15" customHeight="1" x14ac:dyDescent="0.35">
      <c r="A1120">
        <v>2017</v>
      </c>
      <c r="B1120" t="s">
        <v>156</v>
      </c>
      <c r="C1120">
        <v>9</v>
      </c>
      <c r="D1120" t="s">
        <v>89</v>
      </c>
      <c r="E1120">
        <v>12221</v>
      </c>
      <c r="F1120">
        <v>15694</v>
      </c>
      <c r="G1120">
        <v>8802</v>
      </c>
      <c r="H1120" t="s">
        <v>123</v>
      </c>
      <c r="I1120" t="s">
        <v>170</v>
      </c>
    </row>
    <row r="1121" spans="1:9" ht="15" customHeight="1" x14ac:dyDescent="0.35">
      <c r="A1121">
        <v>2017</v>
      </c>
      <c r="B1121" t="s">
        <v>157</v>
      </c>
      <c r="C1121">
        <v>10</v>
      </c>
      <c r="D1121" t="s">
        <v>89</v>
      </c>
      <c r="E1121">
        <v>12942</v>
      </c>
      <c r="F1121">
        <v>16536</v>
      </c>
      <c r="G1121">
        <v>8297</v>
      </c>
      <c r="H1121" t="s">
        <v>123</v>
      </c>
      <c r="I1121" t="s">
        <v>170</v>
      </c>
    </row>
    <row r="1122" spans="1:9" ht="15" customHeight="1" x14ac:dyDescent="0.35">
      <c r="A1122">
        <v>2017</v>
      </c>
      <c r="B1122" t="s">
        <v>158</v>
      </c>
      <c r="C1122">
        <v>11</v>
      </c>
      <c r="D1122" t="s">
        <v>89</v>
      </c>
      <c r="E1122">
        <v>12493</v>
      </c>
      <c r="F1122">
        <v>14488</v>
      </c>
      <c r="G1122">
        <v>10121</v>
      </c>
      <c r="H1122" t="s">
        <v>123</v>
      </c>
      <c r="I1122" t="s">
        <v>170</v>
      </c>
    </row>
    <row r="1123" spans="1:9" ht="15" customHeight="1" x14ac:dyDescent="0.35">
      <c r="A1123">
        <v>2017</v>
      </c>
      <c r="B1123" t="s">
        <v>159</v>
      </c>
      <c r="C1123">
        <v>12</v>
      </c>
      <c r="D1123" t="s">
        <v>89</v>
      </c>
      <c r="E1123">
        <v>12012</v>
      </c>
      <c r="F1123">
        <v>14571</v>
      </c>
      <c r="G1123">
        <v>7516</v>
      </c>
      <c r="H1123" t="s">
        <v>123</v>
      </c>
      <c r="I1123" t="s">
        <v>170</v>
      </c>
    </row>
    <row r="1124" spans="1:9" ht="15" customHeight="1" x14ac:dyDescent="0.35">
      <c r="A1124">
        <v>2018</v>
      </c>
      <c r="B1124" t="s">
        <v>147</v>
      </c>
      <c r="C1124">
        <v>1</v>
      </c>
      <c r="D1124" t="s">
        <v>89</v>
      </c>
      <c r="E1124">
        <v>12283</v>
      </c>
      <c r="F1124">
        <v>14611</v>
      </c>
      <c r="G1124">
        <v>9022</v>
      </c>
      <c r="H1124" t="s">
        <v>123</v>
      </c>
      <c r="I1124" t="s">
        <v>170</v>
      </c>
    </row>
    <row r="1125" spans="1:9" ht="15" customHeight="1" x14ac:dyDescent="0.35">
      <c r="A1125">
        <v>2018</v>
      </c>
      <c r="B1125" t="s">
        <v>149</v>
      </c>
      <c r="C1125">
        <v>2</v>
      </c>
      <c r="D1125" t="s">
        <v>89</v>
      </c>
      <c r="E1125">
        <v>12485</v>
      </c>
      <c r="F1125">
        <v>14554</v>
      </c>
      <c r="G1125">
        <v>10373</v>
      </c>
      <c r="H1125" t="s">
        <v>123</v>
      </c>
      <c r="I1125" t="s">
        <v>170</v>
      </c>
    </row>
    <row r="1126" spans="1:9" ht="15" customHeight="1" x14ac:dyDescent="0.35">
      <c r="A1126">
        <v>2018</v>
      </c>
      <c r="B1126" t="s">
        <v>150</v>
      </c>
      <c r="C1126">
        <v>3</v>
      </c>
      <c r="D1126" t="s">
        <v>89</v>
      </c>
      <c r="E1126">
        <v>13194</v>
      </c>
      <c r="F1126">
        <v>15451</v>
      </c>
      <c r="G1126">
        <v>8790</v>
      </c>
      <c r="H1126" t="s">
        <v>123</v>
      </c>
      <c r="I1126" t="s">
        <v>170</v>
      </c>
    </row>
    <row r="1127" spans="1:9" ht="15" customHeight="1" x14ac:dyDescent="0.35">
      <c r="A1127">
        <v>2018</v>
      </c>
      <c r="B1127" t="s">
        <v>151</v>
      </c>
      <c r="C1127">
        <v>4</v>
      </c>
      <c r="D1127" t="s">
        <v>89</v>
      </c>
      <c r="E1127">
        <v>14200</v>
      </c>
      <c r="F1127">
        <v>15847</v>
      </c>
      <c r="G1127">
        <v>12453</v>
      </c>
      <c r="H1127" t="s">
        <v>124</v>
      </c>
      <c r="I1127" t="s">
        <v>170</v>
      </c>
    </row>
    <row r="1128" spans="1:9" ht="15" customHeight="1" x14ac:dyDescent="0.35">
      <c r="A1128">
        <v>2018</v>
      </c>
      <c r="B1128" t="s">
        <v>152</v>
      </c>
      <c r="C1128">
        <v>5</v>
      </c>
      <c r="D1128" t="s">
        <v>89</v>
      </c>
      <c r="E1128">
        <v>14538</v>
      </c>
      <c r="F1128">
        <v>16816</v>
      </c>
      <c r="G1128">
        <v>12892</v>
      </c>
      <c r="H1128" t="s">
        <v>124</v>
      </c>
      <c r="I1128" t="s">
        <v>170</v>
      </c>
    </row>
    <row r="1129" spans="1:9" ht="15" customHeight="1" x14ac:dyDescent="0.35">
      <c r="A1129">
        <v>2018</v>
      </c>
      <c r="B1129" t="s">
        <v>153</v>
      </c>
      <c r="C1129">
        <v>6</v>
      </c>
      <c r="D1129" t="s">
        <v>89</v>
      </c>
      <c r="E1129">
        <v>14495</v>
      </c>
      <c r="F1129">
        <v>16924</v>
      </c>
      <c r="G1129">
        <v>11941</v>
      </c>
      <c r="H1129" t="s">
        <v>124</v>
      </c>
      <c r="I1129" t="s">
        <v>170</v>
      </c>
    </row>
    <row r="1130" spans="1:9" ht="15" customHeight="1" x14ac:dyDescent="0.35">
      <c r="A1130">
        <v>2018</v>
      </c>
      <c r="B1130" t="s">
        <v>154</v>
      </c>
      <c r="C1130">
        <v>7</v>
      </c>
      <c r="D1130" t="s">
        <v>89</v>
      </c>
      <c r="E1130">
        <v>12121</v>
      </c>
      <c r="F1130">
        <v>14778</v>
      </c>
      <c r="G1130">
        <v>9858</v>
      </c>
      <c r="H1130" t="s">
        <v>124</v>
      </c>
      <c r="I1130" t="s">
        <v>170</v>
      </c>
    </row>
    <row r="1131" spans="1:9" ht="15" customHeight="1" x14ac:dyDescent="0.35">
      <c r="A1131">
        <v>2018</v>
      </c>
      <c r="B1131" t="s">
        <v>155</v>
      </c>
      <c r="C1131">
        <v>8</v>
      </c>
      <c r="D1131" t="s">
        <v>89</v>
      </c>
      <c r="E1131">
        <v>13301</v>
      </c>
      <c r="F1131">
        <v>16615</v>
      </c>
      <c r="G1131">
        <v>9483</v>
      </c>
      <c r="H1131" t="s">
        <v>124</v>
      </c>
      <c r="I1131" t="s">
        <v>170</v>
      </c>
    </row>
    <row r="1132" spans="1:9" ht="15" customHeight="1" x14ac:dyDescent="0.35">
      <c r="A1132">
        <v>2018</v>
      </c>
      <c r="B1132" t="s">
        <v>156</v>
      </c>
      <c r="C1132">
        <v>9</v>
      </c>
      <c r="D1132" t="s">
        <v>89</v>
      </c>
      <c r="E1132">
        <v>14590</v>
      </c>
      <c r="F1132">
        <v>18015</v>
      </c>
      <c r="G1132">
        <v>9583</v>
      </c>
      <c r="H1132" t="s">
        <v>124</v>
      </c>
      <c r="I1132" t="s">
        <v>170</v>
      </c>
    </row>
    <row r="1133" spans="1:9" ht="15" customHeight="1" x14ac:dyDescent="0.35">
      <c r="A1133">
        <v>2018</v>
      </c>
      <c r="B1133" t="s">
        <v>157</v>
      </c>
      <c r="C1133">
        <v>10</v>
      </c>
      <c r="D1133" t="s">
        <v>89</v>
      </c>
      <c r="E1133">
        <v>15602</v>
      </c>
      <c r="F1133">
        <v>17846</v>
      </c>
      <c r="G1133">
        <v>13361</v>
      </c>
      <c r="H1133" t="s">
        <v>124</v>
      </c>
      <c r="I1133" t="s">
        <v>170</v>
      </c>
    </row>
    <row r="1134" spans="1:9" ht="15" customHeight="1" x14ac:dyDescent="0.35">
      <c r="A1134">
        <v>2018</v>
      </c>
      <c r="B1134" t="s">
        <v>158</v>
      </c>
      <c r="C1134">
        <v>11</v>
      </c>
      <c r="D1134" t="s">
        <v>89</v>
      </c>
      <c r="E1134">
        <v>13059</v>
      </c>
      <c r="F1134">
        <v>15655</v>
      </c>
      <c r="G1134">
        <v>8932</v>
      </c>
      <c r="H1134" t="s">
        <v>124</v>
      </c>
      <c r="I1134" t="s">
        <v>170</v>
      </c>
    </row>
    <row r="1135" spans="1:9" ht="15" customHeight="1" x14ac:dyDescent="0.35">
      <c r="A1135">
        <v>2018</v>
      </c>
      <c r="B1135" t="s">
        <v>159</v>
      </c>
      <c r="C1135">
        <v>12</v>
      </c>
      <c r="D1135" t="s">
        <v>89</v>
      </c>
      <c r="E1135">
        <v>13303</v>
      </c>
      <c r="F1135">
        <v>15354</v>
      </c>
      <c r="G1135">
        <v>11030</v>
      </c>
      <c r="H1135" t="s">
        <v>124</v>
      </c>
      <c r="I1135" t="s">
        <v>170</v>
      </c>
    </row>
    <row r="1136" spans="1:9" ht="15" customHeight="1" x14ac:dyDescent="0.35">
      <c r="A1136">
        <v>2019</v>
      </c>
      <c r="B1136" t="s">
        <v>147</v>
      </c>
      <c r="C1136">
        <v>1</v>
      </c>
      <c r="D1136" t="s">
        <v>89</v>
      </c>
      <c r="E1136">
        <v>13213</v>
      </c>
      <c r="F1136">
        <v>15498</v>
      </c>
      <c r="G1136">
        <v>9339</v>
      </c>
      <c r="H1136" t="s">
        <v>124</v>
      </c>
      <c r="I1136" t="s">
        <v>170</v>
      </c>
    </row>
    <row r="1137" spans="1:9" ht="15" customHeight="1" x14ac:dyDescent="0.35">
      <c r="A1137">
        <v>2019</v>
      </c>
      <c r="B1137" t="s">
        <v>149</v>
      </c>
      <c r="C1137">
        <v>2</v>
      </c>
      <c r="D1137" t="s">
        <v>89</v>
      </c>
      <c r="E1137">
        <v>13392</v>
      </c>
      <c r="F1137">
        <v>15243</v>
      </c>
      <c r="G1137">
        <v>11187</v>
      </c>
      <c r="H1137" t="s">
        <v>124</v>
      </c>
      <c r="I1137" t="s">
        <v>170</v>
      </c>
    </row>
    <row r="1138" spans="1:9" ht="15" customHeight="1" x14ac:dyDescent="0.35">
      <c r="A1138">
        <v>2019</v>
      </c>
      <c r="B1138" t="s">
        <v>150</v>
      </c>
      <c r="C1138">
        <v>3</v>
      </c>
      <c r="D1138" t="s">
        <v>89</v>
      </c>
      <c r="E1138">
        <v>13729</v>
      </c>
      <c r="F1138">
        <v>16176</v>
      </c>
      <c r="G1138">
        <v>9208</v>
      </c>
      <c r="H1138" t="s">
        <v>124</v>
      </c>
      <c r="I1138" t="s">
        <v>170</v>
      </c>
    </row>
    <row r="1139" spans="1:9" ht="15" customHeight="1" x14ac:dyDescent="0.35">
      <c r="A1139">
        <v>2019</v>
      </c>
      <c r="B1139" t="s">
        <v>151</v>
      </c>
      <c r="C1139">
        <v>4</v>
      </c>
      <c r="D1139" t="s">
        <v>89</v>
      </c>
      <c r="E1139">
        <v>15442</v>
      </c>
      <c r="F1139">
        <v>17705</v>
      </c>
      <c r="G1139">
        <v>12894</v>
      </c>
      <c r="H1139" t="s">
        <v>71</v>
      </c>
      <c r="I1139" t="s">
        <v>170</v>
      </c>
    </row>
    <row r="1140" spans="1:9" ht="15" customHeight="1" x14ac:dyDescent="0.35">
      <c r="A1140">
        <v>2019</v>
      </c>
      <c r="B1140" t="s">
        <v>152</v>
      </c>
      <c r="C1140">
        <v>5</v>
      </c>
      <c r="D1140" t="s">
        <v>89</v>
      </c>
      <c r="E1140">
        <v>15728</v>
      </c>
      <c r="F1140">
        <v>18214</v>
      </c>
      <c r="G1140">
        <v>13997</v>
      </c>
      <c r="H1140" t="s">
        <v>71</v>
      </c>
      <c r="I1140" t="s">
        <v>170</v>
      </c>
    </row>
    <row r="1141" spans="1:9" ht="15" customHeight="1" x14ac:dyDescent="0.35">
      <c r="A1141">
        <v>2019</v>
      </c>
      <c r="B1141" t="s">
        <v>153</v>
      </c>
      <c r="C1141">
        <v>6</v>
      </c>
      <c r="D1141" t="s">
        <v>89</v>
      </c>
      <c r="E1141">
        <v>14691</v>
      </c>
      <c r="F1141">
        <v>18391</v>
      </c>
      <c r="G1141">
        <v>10869</v>
      </c>
      <c r="H1141" t="s">
        <v>71</v>
      </c>
      <c r="I1141" t="s">
        <v>170</v>
      </c>
    </row>
    <row r="1142" spans="1:9" ht="15" customHeight="1" x14ac:dyDescent="0.35">
      <c r="A1142">
        <v>2019</v>
      </c>
      <c r="B1142" t="s">
        <v>154</v>
      </c>
      <c r="C1142">
        <v>7</v>
      </c>
      <c r="D1142" t="s">
        <v>89</v>
      </c>
      <c r="E1142">
        <v>14077</v>
      </c>
      <c r="F1142">
        <v>17404</v>
      </c>
      <c r="G1142">
        <v>10265</v>
      </c>
      <c r="H1142" t="s">
        <v>71</v>
      </c>
      <c r="I1142" t="s">
        <v>170</v>
      </c>
    </row>
    <row r="1143" spans="1:9" ht="15" customHeight="1" x14ac:dyDescent="0.35">
      <c r="A1143">
        <v>2019</v>
      </c>
      <c r="B1143" t="s">
        <v>155</v>
      </c>
      <c r="C1143">
        <v>8</v>
      </c>
      <c r="D1143" t="s">
        <v>89</v>
      </c>
      <c r="E1143">
        <v>11962</v>
      </c>
      <c r="F1143">
        <v>14387</v>
      </c>
      <c r="G1143">
        <v>8541</v>
      </c>
      <c r="H1143" t="s">
        <v>71</v>
      </c>
      <c r="I1143" t="s">
        <v>170</v>
      </c>
    </row>
    <row r="1144" spans="1:9" ht="15" customHeight="1" x14ac:dyDescent="0.35">
      <c r="A1144">
        <v>2019</v>
      </c>
      <c r="B1144" t="s">
        <v>156</v>
      </c>
      <c r="C1144">
        <v>9</v>
      </c>
      <c r="D1144" t="s">
        <v>89</v>
      </c>
      <c r="E1144">
        <v>12107</v>
      </c>
      <c r="F1144">
        <v>14226</v>
      </c>
      <c r="G1144">
        <v>10138</v>
      </c>
      <c r="H1144" t="s">
        <v>71</v>
      </c>
      <c r="I1144" t="s">
        <v>170</v>
      </c>
    </row>
    <row r="1145" spans="1:9" ht="15" customHeight="1" x14ac:dyDescent="0.35">
      <c r="A1145">
        <v>2019</v>
      </c>
      <c r="B1145" t="s">
        <v>157</v>
      </c>
      <c r="C1145">
        <v>10</v>
      </c>
      <c r="D1145" t="s">
        <v>89</v>
      </c>
      <c r="E1145">
        <v>12661</v>
      </c>
      <c r="F1145">
        <v>16153</v>
      </c>
      <c r="G1145">
        <v>7963</v>
      </c>
      <c r="H1145" t="s">
        <v>71</v>
      </c>
      <c r="I1145" t="s">
        <v>170</v>
      </c>
    </row>
    <row r="1146" spans="1:9" ht="15" customHeight="1" x14ac:dyDescent="0.35">
      <c r="A1146">
        <v>2019</v>
      </c>
      <c r="B1146" t="s">
        <v>158</v>
      </c>
      <c r="C1146">
        <v>11</v>
      </c>
      <c r="D1146" t="s">
        <v>89</v>
      </c>
      <c r="E1146">
        <v>12909</v>
      </c>
      <c r="F1146">
        <v>15900</v>
      </c>
      <c r="G1146">
        <v>10181</v>
      </c>
      <c r="H1146" t="s">
        <v>71</v>
      </c>
      <c r="I1146" t="s">
        <v>170</v>
      </c>
    </row>
    <row r="1147" spans="1:9" ht="15" customHeight="1" x14ac:dyDescent="0.35">
      <c r="A1147">
        <v>2019</v>
      </c>
      <c r="B1147" t="s">
        <v>159</v>
      </c>
      <c r="C1147">
        <v>12</v>
      </c>
      <c r="D1147" t="s">
        <v>89</v>
      </c>
      <c r="E1147">
        <v>13471</v>
      </c>
      <c r="F1147">
        <v>16103</v>
      </c>
      <c r="G1147">
        <v>10731</v>
      </c>
      <c r="H1147" t="s">
        <v>71</v>
      </c>
      <c r="I1147" t="s">
        <v>170</v>
      </c>
    </row>
    <row r="1148" spans="1:9" ht="15" customHeight="1" x14ac:dyDescent="0.35">
      <c r="A1148">
        <v>2020</v>
      </c>
      <c r="B1148" t="s">
        <v>147</v>
      </c>
      <c r="C1148">
        <v>1</v>
      </c>
      <c r="D1148" t="s">
        <v>89</v>
      </c>
      <c r="E1148">
        <v>13238</v>
      </c>
      <c r="F1148">
        <v>16358</v>
      </c>
      <c r="G1148">
        <v>9003</v>
      </c>
      <c r="H1148" t="s">
        <v>71</v>
      </c>
      <c r="I1148" t="s">
        <v>170</v>
      </c>
    </row>
    <row r="1149" spans="1:9" ht="15" customHeight="1" x14ac:dyDescent="0.35">
      <c r="A1149">
        <v>2020</v>
      </c>
      <c r="B1149" t="s">
        <v>149</v>
      </c>
      <c r="C1149">
        <v>2</v>
      </c>
      <c r="D1149" t="s">
        <v>89</v>
      </c>
      <c r="E1149">
        <v>14214</v>
      </c>
      <c r="F1149">
        <v>16470</v>
      </c>
      <c r="G1149">
        <v>11099</v>
      </c>
      <c r="H1149" t="s">
        <v>71</v>
      </c>
      <c r="I1149" t="s">
        <v>170</v>
      </c>
    </row>
    <row r="1150" spans="1:9" ht="15" customHeight="1" x14ac:dyDescent="0.35">
      <c r="A1150">
        <v>2020</v>
      </c>
      <c r="B1150" t="s">
        <v>150</v>
      </c>
      <c r="C1150">
        <v>3</v>
      </c>
      <c r="D1150" t="s">
        <v>89</v>
      </c>
      <c r="E1150">
        <v>12464</v>
      </c>
      <c r="F1150">
        <v>16438</v>
      </c>
      <c r="G1150">
        <v>6511</v>
      </c>
      <c r="H1150" t="s">
        <v>71</v>
      </c>
      <c r="I1150" t="s">
        <v>170</v>
      </c>
    </row>
    <row r="1151" spans="1:9" ht="15" customHeight="1" x14ac:dyDescent="0.35">
      <c r="A1151">
        <v>2020</v>
      </c>
      <c r="B1151" t="s">
        <v>151</v>
      </c>
      <c r="C1151">
        <v>4</v>
      </c>
      <c r="D1151" t="s">
        <v>89</v>
      </c>
      <c r="E1151">
        <v>10646</v>
      </c>
      <c r="F1151">
        <v>13320</v>
      </c>
      <c r="G1151">
        <v>8025</v>
      </c>
      <c r="H1151" t="s">
        <v>72</v>
      </c>
      <c r="I1151" t="s">
        <v>170</v>
      </c>
    </row>
    <row r="1152" spans="1:9" ht="15" customHeight="1" x14ac:dyDescent="0.35">
      <c r="A1152">
        <v>2020</v>
      </c>
      <c r="B1152" t="s">
        <v>152</v>
      </c>
      <c r="C1152">
        <v>5</v>
      </c>
      <c r="D1152" t="s">
        <v>89</v>
      </c>
      <c r="E1152">
        <v>12673</v>
      </c>
      <c r="F1152">
        <v>15604</v>
      </c>
      <c r="G1152">
        <v>10803</v>
      </c>
      <c r="H1152" t="s">
        <v>72</v>
      </c>
      <c r="I1152" t="s">
        <v>170</v>
      </c>
    </row>
    <row r="1153" spans="1:9" ht="15" customHeight="1" x14ac:dyDescent="0.35">
      <c r="A1153">
        <v>2020</v>
      </c>
      <c r="B1153" t="s">
        <v>153</v>
      </c>
      <c r="C1153">
        <v>6</v>
      </c>
      <c r="D1153" t="s">
        <v>89</v>
      </c>
      <c r="E1153">
        <v>12329</v>
      </c>
      <c r="F1153">
        <v>15733</v>
      </c>
      <c r="G1153">
        <v>9364</v>
      </c>
      <c r="H1153" t="s">
        <v>72</v>
      </c>
      <c r="I1153" t="s">
        <v>170</v>
      </c>
    </row>
    <row r="1154" spans="1:9" ht="15" customHeight="1" x14ac:dyDescent="0.35">
      <c r="A1154">
        <v>2020</v>
      </c>
      <c r="B1154" t="s">
        <v>154</v>
      </c>
      <c r="C1154">
        <v>7</v>
      </c>
      <c r="D1154" t="s">
        <v>89</v>
      </c>
      <c r="E1154">
        <v>12137</v>
      </c>
      <c r="F1154">
        <v>15618</v>
      </c>
      <c r="G1154">
        <v>9159</v>
      </c>
      <c r="H1154" t="s">
        <v>72</v>
      </c>
      <c r="I1154" t="s">
        <v>170</v>
      </c>
    </row>
    <row r="1155" spans="1:9" ht="15" customHeight="1" x14ac:dyDescent="0.35">
      <c r="A1155">
        <v>2020</v>
      </c>
      <c r="B1155" t="s">
        <v>155</v>
      </c>
      <c r="C1155">
        <v>8</v>
      </c>
      <c r="D1155" t="s">
        <v>89</v>
      </c>
      <c r="E1155">
        <v>11006</v>
      </c>
      <c r="F1155">
        <v>14784</v>
      </c>
      <c r="G1155">
        <v>8521</v>
      </c>
      <c r="H1155" t="s">
        <v>72</v>
      </c>
      <c r="I1155" t="s">
        <v>170</v>
      </c>
    </row>
    <row r="1156" spans="1:9" ht="15" customHeight="1" x14ac:dyDescent="0.35">
      <c r="A1156">
        <v>2020</v>
      </c>
      <c r="B1156" t="s">
        <v>156</v>
      </c>
      <c r="C1156">
        <v>9</v>
      </c>
      <c r="D1156" t="s">
        <v>89</v>
      </c>
      <c r="E1156">
        <v>13030</v>
      </c>
      <c r="F1156">
        <v>15617</v>
      </c>
      <c r="G1156">
        <v>9906</v>
      </c>
      <c r="H1156" t="s">
        <v>72</v>
      </c>
      <c r="I1156" t="s">
        <v>170</v>
      </c>
    </row>
    <row r="1157" spans="1:9" ht="15" customHeight="1" x14ac:dyDescent="0.35">
      <c r="A1157">
        <v>2020</v>
      </c>
      <c r="B1157" t="s">
        <v>157</v>
      </c>
      <c r="C1157">
        <v>10</v>
      </c>
      <c r="D1157" t="s">
        <v>89</v>
      </c>
      <c r="E1157">
        <v>14853</v>
      </c>
      <c r="F1157">
        <v>17486</v>
      </c>
      <c r="G1157">
        <v>12237</v>
      </c>
      <c r="H1157" t="s">
        <v>72</v>
      </c>
      <c r="I1157" t="s">
        <v>170</v>
      </c>
    </row>
    <row r="1158" spans="1:9" ht="15" customHeight="1" x14ac:dyDescent="0.35">
      <c r="A1158">
        <v>2020</v>
      </c>
      <c r="B1158" t="s">
        <v>158</v>
      </c>
      <c r="C1158">
        <v>11</v>
      </c>
      <c r="D1158" t="s">
        <v>89</v>
      </c>
      <c r="E1158">
        <v>13422</v>
      </c>
      <c r="F1158">
        <v>16341</v>
      </c>
      <c r="G1158">
        <v>8528</v>
      </c>
      <c r="H1158" t="s">
        <v>72</v>
      </c>
      <c r="I1158" t="s">
        <v>170</v>
      </c>
    </row>
    <row r="1159" spans="1:9" ht="15" customHeight="1" x14ac:dyDescent="0.35">
      <c r="A1159">
        <v>2020</v>
      </c>
      <c r="B1159" t="s">
        <v>159</v>
      </c>
      <c r="C1159">
        <v>12</v>
      </c>
      <c r="D1159" t="s">
        <v>89</v>
      </c>
      <c r="E1159">
        <v>14021</v>
      </c>
      <c r="F1159">
        <v>16637</v>
      </c>
      <c r="G1159">
        <v>11262</v>
      </c>
      <c r="H1159" t="s">
        <v>72</v>
      </c>
      <c r="I1159" t="s">
        <v>170</v>
      </c>
    </row>
    <row r="1160" spans="1:9" ht="15" customHeight="1" x14ac:dyDescent="0.35">
      <c r="A1160">
        <v>2021</v>
      </c>
      <c r="B1160" t="s">
        <v>147</v>
      </c>
      <c r="C1160">
        <v>1</v>
      </c>
      <c r="D1160" t="s">
        <v>89</v>
      </c>
      <c r="E1160">
        <v>14181</v>
      </c>
      <c r="F1160">
        <v>17078</v>
      </c>
      <c r="G1160">
        <v>9852</v>
      </c>
      <c r="H1160" t="s">
        <v>72</v>
      </c>
      <c r="I1160" t="s">
        <v>170</v>
      </c>
    </row>
    <row r="1161" spans="1:9" ht="15" customHeight="1" x14ac:dyDescent="0.35">
      <c r="A1161">
        <v>2021</v>
      </c>
      <c r="B1161" t="s">
        <v>149</v>
      </c>
      <c r="C1161">
        <v>2</v>
      </c>
      <c r="D1161" t="s">
        <v>89</v>
      </c>
      <c r="E1161">
        <v>14801</v>
      </c>
      <c r="F1161">
        <v>17069</v>
      </c>
      <c r="G1161">
        <v>11865</v>
      </c>
      <c r="H1161" t="s">
        <v>72</v>
      </c>
      <c r="I1161" t="s">
        <v>170</v>
      </c>
    </row>
    <row r="1162" spans="1:9" ht="15" customHeight="1" x14ac:dyDescent="0.35">
      <c r="A1162">
        <v>2021</v>
      </c>
      <c r="B1162" t="s">
        <v>150</v>
      </c>
      <c r="C1162">
        <v>3</v>
      </c>
      <c r="D1162" t="s">
        <v>89</v>
      </c>
      <c r="E1162">
        <v>15909</v>
      </c>
      <c r="F1162">
        <v>18290</v>
      </c>
      <c r="G1162">
        <v>11664</v>
      </c>
      <c r="H1162" t="s">
        <v>72</v>
      </c>
      <c r="I1162" t="s">
        <v>170</v>
      </c>
    </row>
    <row r="1163" spans="1:9" ht="15" customHeight="1" x14ac:dyDescent="0.35">
      <c r="A1163">
        <v>2021</v>
      </c>
      <c r="B1163" t="s">
        <v>151</v>
      </c>
      <c r="C1163">
        <v>4</v>
      </c>
      <c r="D1163" t="s">
        <v>89</v>
      </c>
      <c r="E1163">
        <v>16404</v>
      </c>
      <c r="F1163">
        <v>19125</v>
      </c>
      <c r="G1163">
        <v>13753</v>
      </c>
      <c r="H1163" t="s">
        <v>73</v>
      </c>
      <c r="I1163" t="s">
        <v>170</v>
      </c>
    </row>
    <row r="1164" spans="1:9" ht="15" customHeight="1" x14ac:dyDescent="0.35">
      <c r="A1164">
        <v>2021</v>
      </c>
      <c r="B1164" t="s">
        <v>152</v>
      </c>
      <c r="C1164">
        <v>5</v>
      </c>
      <c r="D1164" t="s">
        <v>89</v>
      </c>
      <c r="E1164">
        <v>14079</v>
      </c>
      <c r="F1164">
        <v>17892</v>
      </c>
      <c r="G1164">
        <v>5686</v>
      </c>
      <c r="H1164" t="s">
        <v>73</v>
      </c>
      <c r="I1164" t="s">
        <v>170</v>
      </c>
    </row>
    <row r="1165" spans="1:9" ht="15" customHeight="1" x14ac:dyDescent="0.35">
      <c r="A1165">
        <v>2021</v>
      </c>
      <c r="B1165" t="s">
        <v>153</v>
      </c>
      <c r="C1165">
        <v>6</v>
      </c>
      <c r="D1165" t="s">
        <v>89</v>
      </c>
      <c r="E1165">
        <v>14357</v>
      </c>
      <c r="F1165">
        <v>18073</v>
      </c>
      <c r="G1165">
        <v>10769</v>
      </c>
      <c r="H1165" t="s">
        <v>73</v>
      </c>
      <c r="I1165" t="s">
        <v>170</v>
      </c>
    </row>
    <row r="1166" spans="1:9" ht="15" customHeight="1" x14ac:dyDescent="0.35">
      <c r="A1166">
        <v>2021</v>
      </c>
      <c r="B1166" t="s">
        <v>154</v>
      </c>
      <c r="C1166">
        <v>7</v>
      </c>
      <c r="D1166" t="s">
        <v>89</v>
      </c>
      <c r="E1166">
        <v>14467</v>
      </c>
      <c r="F1166">
        <v>18923</v>
      </c>
      <c r="G1166">
        <v>11021</v>
      </c>
      <c r="H1166" t="s">
        <v>73</v>
      </c>
      <c r="I1166" t="s">
        <v>170</v>
      </c>
    </row>
    <row r="1167" spans="1:9" ht="15" customHeight="1" x14ac:dyDescent="0.35">
      <c r="A1167">
        <v>2021</v>
      </c>
      <c r="B1167" t="s">
        <v>155</v>
      </c>
      <c r="C1167">
        <v>8</v>
      </c>
      <c r="D1167" t="s">
        <v>89</v>
      </c>
      <c r="E1167">
        <v>16012</v>
      </c>
      <c r="F1167">
        <v>19416</v>
      </c>
      <c r="G1167">
        <v>11451</v>
      </c>
      <c r="H1167" t="s">
        <v>73</v>
      </c>
      <c r="I1167" t="s">
        <v>170</v>
      </c>
    </row>
    <row r="1168" spans="1:9" ht="15" customHeight="1" x14ac:dyDescent="0.35">
      <c r="A1168">
        <v>2021</v>
      </c>
      <c r="B1168" t="s">
        <v>156</v>
      </c>
      <c r="C1168">
        <v>9</v>
      </c>
      <c r="D1168" t="s">
        <v>89</v>
      </c>
      <c r="E1168">
        <v>12879</v>
      </c>
      <c r="F1168">
        <v>15311</v>
      </c>
      <c r="G1168">
        <v>10711</v>
      </c>
      <c r="H1168" t="s">
        <v>73</v>
      </c>
      <c r="I1168" t="s">
        <v>170</v>
      </c>
    </row>
    <row r="1169" spans="1:9" ht="15" customHeight="1" x14ac:dyDescent="0.35">
      <c r="A1169">
        <v>2021</v>
      </c>
      <c r="B1169" t="s">
        <v>157</v>
      </c>
      <c r="C1169">
        <v>10</v>
      </c>
      <c r="D1169" t="s">
        <v>89</v>
      </c>
      <c r="E1169">
        <v>14767</v>
      </c>
      <c r="F1169">
        <v>17538</v>
      </c>
      <c r="G1169">
        <v>11642</v>
      </c>
      <c r="H1169" t="s">
        <v>73</v>
      </c>
      <c r="I1169" t="s">
        <v>170</v>
      </c>
    </row>
    <row r="1170" spans="1:9" ht="15" customHeight="1" x14ac:dyDescent="0.35">
      <c r="A1170">
        <v>2021</v>
      </c>
      <c r="B1170" t="s">
        <v>158</v>
      </c>
      <c r="C1170">
        <v>11</v>
      </c>
      <c r="D1170" t="s">
        <v>89</v>
      </c>
      <c r="E1170">
        <v>13654</v>
      </c>
      <c r="F1170">
        <v>16925</v>
      </c>
      <c r="G1170">
        <v>9292</v>
      </c>
      <c r="H1170" t="s">
        <v>73</v>
      </c>
      <c r="I1170" t="s">
        <v>170</v>
      </c>
    </row>
    <row r="1171" spans="1:9" ht="15" customHeight="1" x14ac:dyDescent="0.35">
      <c r="A1171">
        <v>2021</v>
      </c>
      <c r="B1171" t="s">
        <v>159</v>
      </c>
      <c r="C1171">
        <v>12</v>
      </c>
      <c r="D1171" t="s">
        <v>89</v>
      </c>
      <c r="E1171">
        <v>14362</v>
      </c>
      <c r="F1171">
        <v>17502</v>
      </c>
      <c r="G1171">
        <v>10710</v>
      </c>
      <c r="H1171" t="s">
        <v>73</v>
      </c>
      <c r="I1171" t="s">
        <v>170</v>
      </c>
    </row>
    <row r="1172" spans="1:9" ht="15" customHeight="1" x14ac:dyDescent="0.35">
      <c r="A1172">
        <v>2022</v>
      </c>
      <c r="B1172" t="s">
        <v>147</v>
      </c>
      <c r="C1172">
        <v>1</v>
      </c>
      <c r="D1172" t="s">
        <v>89</v>
      </c>
      <c r="E1172">
        <v>14225</v>
      </c>
      <c r="F1172">
        <v>17480</v>
      </c>
      <c r="G1172">
        <v>9594</v>
      </c>
      <c r="H1172" t="s">
        <v>73</v>
      </c>
      <c r="I1172" t="s">
        <v>170</v>
      </c>
    </row>
    <row r="1173" spans="1:9" ht="15" customHeight="1" x14ac:dyDescent="0.35">
      <c r="A1173">
        <v>2022</v>
      </c>
      <c r="B1173" t="s">
        <v>149</v>
      </c>
      <c r="C1173">
        <v>2</v>
      </c>
      <c r="D1173" t="s">
        <v>89</v>
      </c>
      <c r="E1173">
        <v>14991</v>
      </c>
      <c r="F1173">
        <v>17526</v>
      </c>
      <c r="G1173">
        <v>12603</v>
      </c>
      <c r="H1173" t="s">
        <v>73</v>
      </c>
      <c r="I1173" t="s">
        <v>170</v>
      </c>
    </row>
    <row r="1174" spans="1:9" ht="15" customHeight="1" x14ac:dyDescent="0.35">
      <c r="A1174">
        <v>2022</v>
      </c>
      <c r="B1174" t="s">
        <v>150</v>
      </c>
      <c r="C1174">
        <v>3</v>
      </c>
      <c r="D1174" t="s">
        <v>89</v>
      </c>
      <c r="E1174">
        <v>16342</v>
      </c>
      <c r="F1174">
        <v>19046</v>
      </c>
      <c r="G1174">
        <v>11041</v>
      </c>
      <c r="H1174" t="s">
        <v>73</v>
      </c>
      <c r="I1174" t="s">
        <v>170</v>
      </c>
    </row>
    <row r="1175" spans="1:9" ht="15" customHeight="1" x14ac:dyDescent="0.35">
      <c r="A1175">
        <v>2022</v>
      </c>
      <c r="B1175" t="s">
        <v>151</v>
      </c>
      <c r="C1175">
        <v>4</v>
      </c>
      <c r="D1175" t="s">
        <v>89</v>
      </c>
      <c r="E1175">
        <v>17962</v>
      </c>
      <c r="F1175">
        <v>21166</v>
      </c>
      <c r="G1175">
        <v>15670</v>
      </c>
      <c r="H1175" t="s">
        <v>74</v>
      </c>
      <c r="I1175" t="s">
        <v>170</v>
      </c>
    </row>
    <row r="1176" spans="1:9" ht="15" customHeight="1" x14ac:dyDescent="0.35">
      <c r="A1176">
        <v>2022</v>
      </c>
      <c r="B1176" t="s">
        <v>152</v>
      </c>
      <c r="C1176">
        <v>5</v>
      </c>
      <c r="D1176" t="s">
        <v>89</v>
      </c>
      <c r="E1176">
        <v>17850</v>
      </c>
      <c r="F1176">
        <v>20630</v>
      </c>
      <c r="G1176">
        <v>15536</v>
      </c>
      <c r="H1176" t="s">
        <v>74</v>
      </c>
      <c r="I1176" t="s">
        <v>170</v>
      </c>
    </row>
    <row r="1177" spans="1:9" ht="15" customHeight="1" x14ac:dyDescent="0.35">
      <c r="A1177">
        <v>2022</v>
      </c>
      <c r="B1177" t="s">
        <v>153</v>
      </c>
      <c r="C1177">
        <v>6</v>
      </c>
      <c r="D1177" t="s">
        <v>89</v>
      </c>
      <c r="E1177">
        <v>17341</v>
      </c>
      <c r="F1177">
        <v>21202</v>
      </c>
      <c r="G1177">
        <v>13995</v>
      </c>
      <c r="H1177" t="s">
        <v>74</v>
      </c>
      <c r="I1177" t="s">
        <v>170</v>
      </c>
    </row>
    <row r="1178" spans="1:9" ht="15" customHeight="1" x14ac:dyDescent="0.35">
      <c r="A1178">
        <v>2022</v>
      </c>
      <c r="B1178" t="s">
        <v>154</v>
      </c>
      <c r="C1178">
        <v>7</v>
      </c>
      <c r="D1178" t="s">
        <v>89</v>
      </c>
      <c r="E1178">
        <v>13563</v>
      </c>
      <c r="F1178">
        <v>17283</v>
      </c>
      <c r="G1178">
        <v>11247</v>
      </c>
      <c r="H1178" t="s">
        <v>74</v>
      </c>
      <c r="I1178" t="s">
        <v>170</v>
      </c>
    </row>
    <row r="1179" spans="1:9" ht="15" customHeight="1" x14ac:dyDescent="0.35">
      <c r="A1179">
        <v>2022</v>
      </c>
      <c r="B1179" t="s">
        <v>155</v>
      </c>
      <c r="C1179">
        <v>8</v>
      </c>
      <c r="D1179" t="s">
        <v>89</v>
      </c>
      <c r="E1179">
        <v>13484</v>
      </c>
      <c r="F1179">
        <v>17400</v>
      </c>
      <c r="G1179">
        <v>9871</v>
      </c>
      <c r="H1179" t="s">
        <v>74</v>
      </c>
      <c r="I1179" t="s">
        <v>170</v>
      </c>
    </row>
    <row r="1180" spans="1:9" ht="15" customHeight="1" x14ac:dyDescent="0.35">
      <c r="A1180">
        <v>2022</v>
      </c>
      <c r="B1180" t="s">
        <v>156</v>
      </c>
      <c r="C1180">
        <v>9</v>
      </c>
      <c r="D1180" t="s">
        <v>89</v>
      </c>
      <c r="E1180">
        <v>15896</v>
      </c>
      <c r="F1180">
        <v>20212</v>
      </c>
      <c r="G1180">
        <v>12343</v>
      </c>
      <c r="H1180" t="s">
        <v>74</v>
      </c>
      <c r="I1180" t="s">
        <v>170</v>
      </c>
    </row>
    <row r="1181" spans="1:9" ht="15" customHeight="1" x14ac:dyDescent="0.35">
      <c r="A1181">
        <v>2022</v>
      </c>
      <c r="B1181" t="s">
        <v>157</v>
      </c>
      <c r="C1181">
        <v>10</v>
      </c>
      <c r="D1181" t="s">
        <v>89</v>
      </c>
      <c r="E1181">
        <v>15840</v>
      </c>
      <c r="F1181">
        <v>20237</v>
      </c>
      <c r="G1181">
        <v>9671</v>
      </c>
      <c r="H1181" t="s">
        <v>74</v>
      </c>
      <c r="I1181" t="s">
        <v>170</v>
      </c>
    </row>
    <row r="1182" spans="1:9" ht="15" customHeight="1" x14ac:dyDescent="0.35">
      <c r="A1182">
        <v>2022</v>
      </c>
      <c r="B1182" t="s">
        <v>158</v>
      </c>
      <c r="C1182">
        <v>11</v>
      </c>
      <c r="D1182" t="s">
        <v>89</v>
      </c>
      <c r="E1182">
        <v>16310</v>
      </c>
      <c r="F1182">
        <v>19547</v>
      </c>
      <c r="G1182">
        <v>12578</v>
      </c>
      <c r="H1182" t="s">
        <v>74</v>
      </c>
      <c r="I1182" t="s">
        <v>170</v>
      </c>
    </row>
    <row r="1183" spans="1:9" ht="15" customHeight="1" x14ac:dyDescent="0.35">
      <c r="A1183">
        <v>2022</v>
      </c>
      <c r="B1183" t="s">
        <v>159</v>
      </c>
      <c r="C1183">
        <v>12</v>
      </c>
      <c r="D1183" t="s">
        <v>89</v>
      </c>
      <c r="E1183">
        <v>16253</v>
      </c>
      <c r="F1183">
        <v>19998</v>
      </c>
      <c r="G1183">
        <v>12435</v>
      </c>
      <c r="H1183" t="s">
        <v>74</v>
      </c>
      <c r="I1183" t="s">
        <v>170</v>
      </c>
    </row>
    <row r="1184" spans="1:9" ht="15" customHeight="1" x14ac:dyDescent="0.35">
      <c r="A1184">
        <v>2023</v>
      </c>
      <c r="B1184" t="s">
        <v>147</v>
      </c>
      <c r="C1184">
        <v>1</v>
      </c>
      <c r="D1184" t="s">
        <v>89</v>
      </c>
      <c r="E1184">
        <v>15602</v>
      </c>
      <c r="F1184">
        <v>19841</v>
      </c>
      <c r="G1184">
        <v>10220</v>
      </c>
      <c r="H1184" t="s">
        <v>74</v>
      </c>
      <c r="I1184" t="s">
        <v>170</v>
      </c>
    </row>
    <row r="1185" spans="1:9" ht="15" customHeight="1" x14ac:dyDescent="0.35">
      <c r="A1185">
        <v>2023</v>
      </c>
      <c r="B1185" t="s">
        <v>149</v>
      </c>
      <c r="C1185">
        <v>2</v>
      </c>
      <c r="D1185" t="s">
        <v>89</v>
      </c>
      <c r="E1185">
        <v>16362</v>
      </c>
      <c r="F1185">
        <v>19069</v>
      </c>
      <c r="G1185">
        <v>13233</v>
      </c>
      <c r="H1185" t="s">
        <v>74</v>
      </c>
      <c r="I1185" t="s">
        <v>170</v>
      </c>
    </row>
    <row r="1186" spans="1:9" ht="15" customHeight="1" x14ac:dyDescent="0.35">
      <c r="A1186">
        <v>2023</v>
      </c>
      <c r="B1186" t="s">
        <v>150</v>
      </c>
      <c r="C1186">
        <v>3</v>
      </c>
      <c r="D1186" t="s">
        <v>89</v>
      </c>
      <c r="E1186">
        <v>16363</v>
      </c>
      <c r="F1186">
        <v>19574</v>
      </c>
      <c r="G1186">
        <v>11136</v>
      </c>
      <c r="H1186" t="s">
        <v>74</v>
      </c>
      <c r="I1186" t="s">
        <v>170</v>
      </c>
    </row>
    <row r="1187" spans="1:9" ht="15" customHeight="1" x14ac:dyDescent="0.35">
      <c r="A1187">
        <v>2023</v>
      </c>
      <c r="B1187" t="s">
        <v>151</v>
      </c>
      <c r="C1187">
        <v>4</v>
      </c>
      <c r="D1187" t="s">
        <v>89</v>
      </c>
      <c r="E1187">
        <v>18160</v>
      </c>
      <c r="F1187">
        <v>21597</v>
      </c>
      <c r="G1187">
        <v>14814</v>
      </c>
      <c r="H1187" t="s">
        <v>75</v>
      </c>
      <c r="I1187" t="s">
        <v>170</v>
      </c>
    </row>
    <row r="1188" spans="1:9" ht="15" customHeight="1" x14ac:dyDescent="0.35">
      <c r="A1188">
        <v>2023</v>
      </c>
      <c r="B1188" t="s">
        <v>152</v>
      </c>
      <c r="C1188">
        <v>5</v>
      </c>
      <c r="D1188" t="s">
        <v>89</v>
      </c>
      <c r="E1188">
        <v>17853</v>
      </c>
      <c r="F1188">
        <v>21328</v>
      </c>
      <c r="G1188">
        <v>11454</v>
      </c>
      <c r="H1188" t="s">
        <v>75</v>
      </c>
      <c r="I1188" t="s">
        <v>170</v>
      </c>
    </row>
    <row r="1189" spans="1:9" ht="15" customHeight="1" x14ac:dyDescent="0.35">
      <c r="A1189">
        <v>2023</v>
      </c>
      <c r="B1189" t="s">
        <v>153</v>
      </c>
      <c r="C1189">
        <v>6</v>
      </c>
      <c r="D1189" t="s">
        <v>89</v>
      </c>
      <c r="E1189">
        <v>16496</v>
      </c>
      <c r="F1189">
        <v>22316</v>
      </c>
      <c r="G1189">
        <v>10701</v>
      </c>
      <c r="H1189" t="s">
        <v>75</v>
      </c>
      <c r="I1189" t="s">
        <v>170</v>
      </c>
    </row>
    <row r="1190" spans="1:9" ht="15" customHeight="1" x14ac:dyDescent="0.35">
      <c r="A1190">
        <v>2023</v>
      </c>
      <c r="B1190" t="s">
        <v>154</v>
      </c>
      <c r="C1190">
        <v>7</v>
      </c>
      <c r="D1190" t="s">
        <v>89</v>
      </c>
      <c r="E1190">
        <v>15054</v>
      </c>
      <c r="F1190">
        <v>17475</v>
      </c>
      <c r="G1190">
        <v>12596</v>
      </c>
      <c r="H1190" t="s">
        <v>75</v>
      </c>
      <c r="I1190" t="s">
        <v>170</v>
      </c>
    </row>
    <row r="1191" spans="1:9" ht="15" customHeight="1" x14ac:dyDescent="0.35">
      <c r="A1191">
        <v>2023</v>
      </c>
      <c r="B1191" t="s">
        <v>155</v>
      </c>
      <c r="C1191">
        <v>8</v>
      </c>
      <c r="D1191" t="s">
        <v>89</v>
      </c>
      <c r="E1191">
        <v>17543</v>
      </c>
      <c r="F1191">
        <v>22888</v>
      </c>
      <c r="G1191">
        <v>13338</v>
      </c>
      <c r="H1191" t="s">
        <v>75</v>
      </c>
      <c r="I1191" t="s">
        <v>170</v>
      </c>
    </row>
    <row r="1192" spans="1:9" ht="15" customHeight="1" x14ac:dyDescent="0.35">
      <c r="A1192">
        <v>2023</v>
      </c>
      <c r="B1192" t="s">
        <v>156</v>
      </c>
      <c r="C1192">
        <v>9</v>
      </c>
      <c r="D1192" t="s">
        <v>89</v>
      </c>
      <c r="E1192">
        <v>17953</v>
      </c>
      <c r="F1192">
        <v>24184</v>
      </c>
      <c r="G1192">
        <v>12968</v>
      </c>
      <c r="H1192" t="s">
        <v>75</v>
      </c>
      <c r="I1192" t="s">
        <v>170</v>
      </c>
    </row>
    <row r="1193" spans="1:9" ht="15" customHeight="1" x14ac:dyDescent="0.35">
      <c r="A1193">
        <v>2023</v>
      </c>
      <c r="B1193" t="s">
        <v>157</v>
      </c>
      <c r="C1193">
        <v>10</v>
      </c>
      <c r="D1193" t="s">
        <v>89</v>
      </c>
      <c r="E1193">
        <v>18410</v>
      </c>
      <c r="F1193">
        <v>21498</v>
      </c>
      <c r="G1193">
        <v>14844</v>
      </c>
      <c r="H1193" t="s">
        <v>75</v>
      </c>
      <c r="I1193" t="s">
        <v>170</v>
      </c>
    </row>
    <row r="1194" spans="1:9" ht="15" customHeight="1" x14ac:dyDescent="0.35">
      <c r="A1194">
        <v>2023</v>
      </c>
      <c r="B1194" t="s">
        <v>158</v>
      </c>
      <c r="C1194">
        <v>11</v>
      </c>
      <c r="D1194" t="s">
        <v>89</v>
      </c>
      <c r="E1194">
        <v>15734</v>
      </c>
      <c r="F1194">
        <v>21667</v>
      </c>
      <c r="G1194">
        <v>9076</v>
      </c>
      <c r="H1194" t="s">
        <v>75</v>
      </c>
      <c r="I1194" t="s">
        <v>170</v>
      </c>
    </row>
    <row r="1195" spans="1:9" ht="15" customHeight="1" x14ac:dyDescent="0.35">
      <c r="A1195">
        <v>2023</v>
      </c>
      <c r="B1195" t="s">
        <v>159</v>
      </c>
      <c r="C1195">
        <v>12</v>
      </c>
      <c r="D1195" t="s">
        <v>89</v>
      </c>
      <c r="E1195">
        <v>16388</v>
      </c>
      <c r="F1195">
        <v>21416</v>
      </c>
      <c r="G1195">
        <v>12311</v>
      </c>
      <c r="H1195" t="s">
        <v>75</v>
      </c>
      <c r="I1195" t="s">
        <v>170</v>
      </c>
    </row>
    <row r="1196" spans="1:9" ht="15" customHeight="1" x14ac:dyDescent="0.35">
      <c r="A1196">
        <v>2024</v>
      </c>
      <c r="B1196" t="s">
        <v>147</v>
      </c>
      <c r="C1196">
        <v>1</v>
      </c>
      <c r="D1196" t="s">
        <v>89</v>
      </c>
      <c r="E1196">
        <v>16705</v>
      </c>
      <c r="F1196">
        <v>21745</v>
      </c>
      <c r="G1196">
        <v>11369</v>
      </c>
      <c r="H1196" t="s">
        <v>75</v>
      </c>
      <c r="I1196" t="s">
        <v>170</v>
      </c>
    </row>
    <row r="1197" spans="1:9" ht="15" customHeight="1" x14ac:dyDescent="0.35">
      <c r="A1197">
        <v>2024</v>
      </c>
      <c r="B1197" t="s">
        <v>149</v>
      </c>
      <c r="C1197">
        <v>2</v>
      </c>
      <c r="D1197" t="s">
        <v>89</v>
      </c>
      <c r="E1197">
        <v>16957</v>
      </c>
      <c r="F1197">
        <v>21025</v>
      </c>
      <c r="G1197">
        <v>13229</v>
      </c>
      <c r="H1197" t="s">
        <v>75</v>
      </c>
      <c r="I1197" t="s">
        <v>170</v>
      </c>
    </row>
    <row r="1198" spans="1:9" ht="15" customHeight="1" x14ac:dyDescent="0.35">
      <c r="A1198">
        <v>2024</v>
      </c>
      <c r="B1198" t="s">
        <v>150</v>
      </c>
      <c r="C1198">
        <v>3</v>
      </c>
      <c r="D1198" t="s">
        <v>89</v>
      </c>
      <c r="E1198">
        <v>17452</v>
      </c>
      <c r="F1198">
        <v>21804</v>
      </c>
      <c r="G1198">
        <v>11769</v>
      </c>
      <c r="H1198" t="s">
        <v>75</v>
      </c>
      <c r="I1198" t="s">
        <v>170</v>
      </c>
    </row>
    <row r="1199" spans="1:9" ht="15" customHeight="1" x14ac:dyDescent="0.35">
      <c r="A1199">
        <v>2024</v>
      </c>
      <c r="B1199" t="s">
        <v>151</v>
      </c>
      <c r="C1199">
        <v>4</v>
      </c>
      <c r="D1199" t="s">
        <v>89</v>
      </c>
      <c r="E1199">
        <v>17438</v>
      </c>
      <c r="F1199">
        <v>21804</v>
      </c>
      <c r="G1199">
        <v>11769</v>
      </c>
      <c r="H1199" t="s">
        <v>77</v>
      </c>
      <c r="I1199" t="s">
        <v>170</v>
      </c>
    </row>
    <row r="1200" spans="1:9" ht="15" customHeight="1" x14ac:dyDescent="0.35">
      <c r="A1200">
        <v>2024</v>
      </c>
      <c r="B1200" t="s">
        <v>152</v>
      </c>
      <c r="C1200">
        <v>5</v>
      </c>
      <c r="D1200" t="s">
        <v>89</v>
      </c>
      <c r="E1200">
        <v>20069</v>
      </c>
      <c r="F1200">
        <v>24939</v>
      </c>
      <c r="G1200">
        <v>14399</v>
      </c>
      <c r="H1200" t="s">
        <v>77</v>
      </c>
      <c r="I1200" t="s">
        <v>170</v>
      </c>
    </row>
    <row r="1201" spans="1:9" ht="15" customHeight="1" x14ac:dyDescent="0.35">
      <c r="A1201">
        <v>2024</v>
      </c>
      <c r="B1201" t="s">
        <v>153</v>
      </c>
      <c r="C1201">
        <v>6</v>
      </c>
      <c r="D1201" t="s">
        <v>89</v>
      </c>
      <c r="E1201">
        <v>19941</v>
      </c>
      <c r="F1201">
        <v>26054</v>
      </c>
      <c r="G1201">
        <v>14933</v>
      </c>
      <c r="H1201" t="s">
        <v>77</v>
      </c>
      <c r="I1201" t="s">
        <v>170</v>
      </c>
    </row>
    <row r="1202" spans="1:9" ht="15" customHeight="1" x14ac:dyDescent="0.35">
      <c r="A1202">
        <v>2024</v>
      </c>
      <c r="B1202" t="s">
        <v>154</v>
      </c>
      <c r="C1202">
        <v>7</v>
      </c>
      <c r="D1202" t="s">
        <v>89</v>
      </c>
      <c r="E1202">
        <v>16595</v>
      </c>
      <c r="F1202">
        <v>19819</v>
      </c>
      <c r="G1202">
        <v>13829</v>
      </c>
      <c r="H1202" t="s">
        <v>77</v>
      </c>
      <c r="I1202" t="s">
        <v>170</v>
      </c>
    </row>
    <row r="1203" spans="1:9" ht="15" customHeight="1" x14ac:dyDescent="0.35">
      <c r="A1203">
        <v>2024</v>
      </c>
      <c r="B1203" t="s">
        <v>155</v>
      </c>
      <c r="C1203">
        <v>8</v>
      </c>
      <c r="D1203" t="s">
        <v>89</v>
      </c>
      <c r="E1203">
        <v>15807</v>
      </c>
      <c r="F1203">
        <v>22036</v>
      </c>
      <c r="G1203">
        <v>10348</v>
      </c>
      <c r="H1203" t="s">
        <v>77</v>
      </c>
      <c r="I1203" t="s">
        <v>170</v>
      </c>
    </row>
    <row r="1204" spans="1:9" ht="15" customHeight="1" x14ac:dyDescent="0.35">
      <c r="A1204">
        <v>2024</v>
      </c>
      <c r="B1204" t="s">
        <v>156</v>
      </c>
      <c r="C1204">
        <v>9</v>
      </c>
      <c r="D1204" t="s">
        <v>89</v>
      </c>
      <c r="E1204">
        <v>17214</v>
      </c>
      <c r="F1204">
        <v>24172</v>
      </c>
      <c r="G1204">
        <v>13644</v>
      </c>
      <c r="H1204" t="s">
        <v>77</v>
      </c>
      <c r="I1204" t="s">
        <v>170</v>
      </c>
    </row>
    <row r="1205" spans="1:9" ht="15" customHeight="1" x14ac:dyDescent="0.35">
      <c r="A1205">
        <v>2024</v>
      </c>
      <c r="B1205" t="s">
        <v>157</v>
      </c>
      <c r="C1205">
        <v>10</v>
      </c>
      <c r="D1205" t="s">
        <v>89</v>
      </c>
      <c r="E1205">
        <v>17700</v>
      </c>
      <c r="F1205">
        <v>22289</v>
      </c>
      <c r="G1205">
        <v>11530</v>
      </c>
      <c r="H1205" t="s">
        <v>77</v>
      </c>
      <c r="I1205" t="s">
        <v>170</v>
      </c>
    </row>
    <row r="1206" spans="1:9" ht="15" customHeight="1" x14ac:dyDescent="0.35">
      <c r="A1206">
        <v>2024</v>
      </c>
      <c r="B1206" t="s">
        <v>158</v>
      </c>
      <c r="C1206">
        <v>11</v>
      </c>
      <c r="D1206" t="s">
        <v>89</v>
      </c>
      <c r="E1206">
        <v>16375</v>
      </c>
      <c r="F1206">
        <v>21486</v>
      </c>
      <c r="G1206">
        <v>10573</v>
      </c>
      <c r="H1206" t="s">
        <v>77</v>
      </c>
      <c r="I1206" t="s">
        <v>170</v>
      </c>
    </row>
    <row r="1207" spans="1:9" ht="15" customHeight="1" x14ac:dyDescent="0.35">
      <c r="A1207">
        <v>2024</v>
      </c>
      <c r="B1207" t="s">
        <v>159</v>
      </c>
      <c r="C1207">
        <v>12</v>
      </c>
      <c r="D1207" t="s">
        <v>89</v>
      </c>
      <c r="E1207">
        <v>16984</v>
      </c>
      <c r="F1207">
        <v>24979</v>
      </c>
      <c r="G1207">
        <v>11819</v>
      </c>
      <c r="H1207" t="s">
        <v>77</v>
      </c>
      <c r="I1207" t="s">
        <v>170</v>
      </c>
    </row>
    <row r="1208" spans="1:9" ht="15" customHeight="1" x14ac:dyDescent="0.35">
      <c r="A1208">
        <v>2025</v>
      </c>
      <c r="B1208" t="s">
        <v>147</v>
      </c>
      <c r="C1208">
        <v>1</v>
      </c>
      <c r="D1208" t="s">
        <v>89</v>
      </c>
      <c r="E1208">
        <v>17193</v>
      </c>
      <c r="F1208">
        <v>23944</v>
      </c>
      <c r="G1208">
        <v>9707</v>
      </c>
      <c r="H1208" t="s">
        <v>77</v>
      </c>
      <c r="I1208" t="s">
        <v>170</v>
      </c>
    </row>
    <row r="1209" spans="1:9" ht="15" customHeight="1" x14ac:dyDescent="0.35">
      <c r="A1209">
        <v>2025</v>
      </c>
      <c r="B1209" t="s">
        <v>149</v>
      </c>
      <c r="C1209">
        <v>2</v>
      </c>
      <c r="D1209" t="s">
        <v>89</v>
      </c>
      <c r="E1209">
        <v>18240</v>
      </c>
      <c r="F1209">
        <v>24026</v>
      </c>
      <c r="G1209">
        <v>12866</v>
      </c>
      <c r="H1209" t="s">
        <v>77</v>
      </c>
      <c r="I1209" t="s">
        <v>170</v>
      </c>
    </row>
    <row r="1210" spans="1:9" ht="15" customHeight="1" x14ac:dyDescent="0.35">
      <c r="A1210">
        <v>2025</v>
      </c>
      <c r="B1210" t="s">
        <v>150</v>
      </c>
      <c r="C1210">
        <v>3</v>
      </c>
      <c r="D1210" t="s">
        <v>89</v>
      </c>
      <c r="E1210">
        <v>18768</v>
      </c>
      <c r="F1210">
        <v>24742</v>
      </c>
      <c r="G1210">
        <v>10953</v>
      </c>
      <c r="H1210" t="s">
        <v>77</v>
      </c>
      <c r="I1210" t="s">
        <v>170</v>
      </c>
    </row>
    <row r="1211" spans="1:9" ht="15" customHeight="1" x14ac:dyDescent="0.35">
      <c r="A1211">
        <v>2025</v>
      </c>
      <c r="B1211" t="s">
        <v>151</v>
      </c>
      <c r="C1211">
        <v>4</v>
      </c>
      <c r="D1211" t="s">
        <v>89</v>
      </c>
      <c r="E1211">
        <v>20548</v>
      </c>
      <c r="F1211">
        <v>26503</v>
      </c>
      <c r="G1211">
        <v>15136</v>
      </c>
      <c r="H1211" t="s">
        <v>78</v>
      </c>
      <c r="I1211" t="s">
        <v>170</v>
      </c>
    </row>
    <row r="1212" spans="1:9" ht="15" customHeight="1" x14ac:dyDescent="0.35">
      <c r="A1212">
        <v>2025</v>
      </c>
      <c r="B1212" t="s">
        <v>152</v>
      </c>
      <c r="C1212">
        <v>5</v>
      </c>
      <c r="D1212" t="s">
        <v>89</v>
      </c>
      <c r="E1212">
        <v>18949</v>
      </c>
      <c r="F1212">
        <v>25883</v>
      </c>
      <c r="G1212">
        <v>12044</v>
      </c>
      <c r="H1212" t="s">
        <v>78</v>
      </c>
      <c r="I1212" t="s">
        <v>170</v>
      </c>
    </row>
    <row r="1213" spans="1:9" ht="15" customHeight="1" x14ac:dyDescent="0.35">
      <c r="A1213">
        <v>2025</v>
      </c>
      <c r="B1213" t="s">
        <v>153</v>
      </c>
      <c r="C1213">
        <v>6</v>
      </c>
      <c r="D1213" t="s">
        <v>89</v>
      </c>
      <c r="E1213">
        <v>18459</v>
      </c>
      <c r="F1213">
        <v>26403</v>
      </c>
      <c r="G1213">
        <v>14186</v>
      </c>
      <c r="H1213" t="s">
        <v>78</v>
      </c>
      <c r="I1213" t="s">
        <v>170</v>
      </c>
    </row>
    <row r="1214" spans="1:9" ht="15" customHeight="1" x14ac:dyDescent="0.35">
      <c r="A1214">
        <v>2025</v>
      </c>
      <c r="B1214" t="s">
        <v>154</v>
      </c>
      <c r="C1214">
        <v>7</v>
      </c>
      <c r="D1214" t="s">
        <v>89</v>
      </c>
      <c r="E1214">
        <v>17212</v>
      </c>
      <c r="F1214">
        <v>20663</v>
      </c>
      <c r="G1214">
        <v>14596</v>
      </c>
      <c r="H1214" t="s">
        <v>78</v>
      </c>
      <c r="I1214" t="s">
        <v>170</v>
      </c>
    </row>
    <row r="1215" spans="1:9" ht="15" customHeight="1" x14ac:dyDescent="0.35">
      <c r="A1215">
        <v>2025</v>
      </c>
      <c r="B1215" t="s">
        <v>155</v>
      </c>
      <c r="C1215">
        <v>8</v>
      </c>
      <c r="D1215" t="s">
        <v>89</v>
      </c>
      <c r="E1215">
        <v>18028</v>
      </c>
      <c r="F1215">
        <v>24897</v>
      </c>
      <c r="G1215">
        <v>13809</v>
      </c>
      <c r="H1215" t="s">
        <v>78</v>
      </c>
      <c r="I1215" t="s">
        <v>170</v>
      </c>
    </row>
    <row r="1216" spans="1:9" ht="15" customHeight="1" x14ac:dyDescent="0.35">
      <c r="A1216">
        <v>2025</v>
      </c>
      <c r="B1216" t="s">
        <v>156</v>
      </c>
      <c r="C1216">
        <v>9</v>
      </c>
      <c r="D1216" t="s">
        <v>89</v>
      </c>
      <c r="E1216">
        <v>18422</v>
      </c>
      <c r="F1216">
        <v>24413</v>
      </c>
      <c r="G1216">
        <v>13414</v>
      </c>
      <c r="H1216" t="s">
        <v>78</v>
      </c>
      <c r="I1216" t="s">
        <v>170</v>
      </c>
    </row>
    <row r="1217" spans="1:9" ht="15" customHeight="1" x14ac:dyDescent="0.35">
      <c r="A1217">
        <v>2025</v>
      </c>
      <c r="B1217" t="s">
        <v>157</v>
      </c>
      <c r="C1217">
        <v>10</v>
      </c>
      <c r="D1217" t="s">
        <v>89</v>
      </c>
      <c r="E1217">
        <v>16405</v>
      </c>
      <c r="F1217">
        <v>22166</v>
      </c>
      <c r="G1217">
        <v>10146</v>
      </c>
      <c r="H1217" t="s">
        <v>78</v>
      </c>
      <c r="I1217" t="s">
        <v>170</v>
      </c>
    </row>
    <row r="1218" spans="1:9" ht="15" customHeight="1" x14ac:dyDescent="0.35">
      <c r="A1218">
        <v>2025</v>
      </c>
      <c r="B1218" t="s">
        <v>158</v>
      </c>
      <c r="C1218">
        <v>11</v>
      </c>
      <c r="D1218" t="s">
        <v>89</v>
      </c>
      <c r="E1218">
        <v>16831</v>
      </c>
      <c r="F1218">
        <v>23507</v>
      </c>
      <c r="G1218">
        <v>12707</v>
      </c>
      <c r="H1218" t="s">
        <v>78</v>
      </c>
      <c r="I1218" t="s">
        <v>170</v>
      </c>
    </row>
    <row r="1219" spans="1:9" ht="15" customHeight="1" x14ac:dyDescent="0.35">
      <c r="A1219">
        <v>2025</v>
      </c>
      <c r="B1219" t="s">
        <v>159</v>
      </c>
      <c r="C1219">
        <v>12</v>
      </c>
      <c r="D1219" t="s">
        <v>89</v>
      </c>
      <c r="E1219">
        <v>18264</v>
      </c>
      <c r="F1219">
        <v>24472</v>
      </c>
      <c r="G1219">
        <v>13210</v>
      </c>
      <c r="H1219" t="s">
        <v>78</v>
      </c>
      <c r="I1219" t="s">
        <v>170</v>
      </c>
    </row>
    <row r="1220" spans="1:9" ht="15" customHeight="1" x14ac:dyDescent="0.35">
      <c r="A1220">
        <v>2026</v>
      </c>
      <c r="B1220" t="s">
        <v>147</v>
      </c>
      <c r="C1220">
        <v>1</v>
      </c>
      <c r="D1220" t="s">
        <v>89</v>
      </c>
      <c r="E1220">
        <v>17894</v>
      </c>
      <c r="F1220">
        <v>25768</v>
      </c>
      <c r="G1220">
        <v>10304</v>
      </c>
      <c r="H1220" t="s">
        <v>78</v>
      </c>
      <c r="I1220" t="s">
        <v>170</v>
      </c>
    </row>
    <row r="1221" spans="1:9" ht="15" customHeight="1" x14ac:dyDescent="0.35">
      <c r="A1221">
        <v>2026</v>
      </c>
      <c r="B1221" t="s">
        <v>149</v>
      </c>
      <c r="C1221">
        <v>2</v>
      </c>
      <c r="D1221" t="s">
        <v>89</v>
      </c>
      <c r="E1221">
        <v>19053</v>
      </c>
      <c r="F1221">
        <v>24999</v>
      </c>
      <c r="G1221">
        <v>13663</v>
      </c>
      <c r="H1221" t="s">
        <v>78</v>
      </c>
      <c r="I1221" t="s">
        <v>170</v>
      </c>
    </row>
    <row r="1222" spans="1:9" ht="15" customHeight="1" x14ac:dyDescent="0.35">
      <c r="A1222">
        <v>2026</v>
      </c>
      <c r="B1222" t="s">
        <v>150</v>
      </c>
      <c r="C1222">
        <v>3</v>
      </c>
      <c r="D1222" t="s">
        <v>89</v>
      </c>
      <c r="E1222">
        <v>17894</v>
      </c>
      <c r="F1222">
        <v>25768</v>
      </c>
      <c r="G1222">
        <v>10304</v>
      </c>
      <c r="H1222" t="s">
        <v>78</v>
      </c>
      <c r="I1222" t="s">
        <v>170</v>
      </c>
    </row>
    <row r="1223" spans="1:9" ht="15" customHeight="1" x14ac:dyDescent="0.35">
      <c r="A1223">
        <v>2017</v>
      </c>
      <c r="B1223" t="s">
        <v>147</v>
      </c>
      <c r="C1223">
        <v>1</v>
      </c>
      <c r="D1223" t="s">
        <v>90</v>
      </c>
      <c r="E1223">
        <v>4635</v>
      </c>
      <c r="F1223">
        <v>6625</v>
      </c>
      <c r="G1223">
        <v>1632</v>
      </c>
      <c r="H1223" t="s">
        <v>122</v>
      </c>
      <c r="I1223" t="s">
        <v>171</v>
      </c>
    </row>
    <row r="1224" spans="1:9" ht="15" customHeight="1" x14ac:dyDescent="0.35">
      <c r="A1224">
        <v>2017</v>
      </c>
      <c r="B1224" t="s">
        <v>149</v>
      </c>
      <c r="C1224">
        <v>2</v>
      </c>
      <c r="D1224" t="s">
        <v>90</v>
      </c>
      <c r="E1224">
        <v>4805</v>
      </c>
      <c r="F1224">
        <v>6430</v>
      </c>
      <c r="G1224">
        <v>2495</v>
      </c>
      <c r="H1224" t="s">
        <v>122</v>
      </c>
      <c r="I1224" t="s">
        <v>171</v>
      </c>
    </row>
    <row r="1225" spans="1:9" ht="15" customHeight="1" x14ac:dyDescent="0.35">
      <c r="A1225">
        <v>2017</v>
      </c>
      <c r="B1225" t="s">
        <v>150</v>
      </c>
      <c r="C1225">
        <v>3</v>
      </c>
      <c r="D1225" t="s">
        <v>90</v>
      </c>
      <c r="E1225">
        <v>4785</v>
      </c>
      <c r="F1225">
        <v>6580</v>
      </c>
      <c r="G1225">
        <v>2079</v>
      </c>
      <c r="H1225" t="s">
        <v>122</v>
      </c>
      <c r="I1225" t="s">
        <v>171</v>
      </c>
    </row>
    <row r="1226" spans="1:9" ht="15" customHeight="1" x14ac:dyDescent="0.35">
      <c r="A1226">
        <v>2017</v>
      </c>
      <c r="B1226" t="s">
        <v>151</v>
      </c>
      <c r="C1226">
        <v>4</v>
      </c>
      <c r="D1226" t="s">
        <v>90</v>
      </c>
      <c r="E1226">
        <v>5053</v>
      </c>
      <c r="F1226">
        <v>7282</v>
      </c>
      <c r="G1226">
        <v>2623</v>
      </c>
      <c r="H1226" t="s">
        <v>123</v>
      </c>
      <c r="I1226" t="s">
        <v>171</v>
      </c>
    </row>
    <row r="1227" spans="1:9" ht="15" customHeight="1" x14ac:dyDescent="0.35">
      <c r="A1227">
        <v>2017</v>
      </c>
      <c r="B1227" t="s">
        <v>152</v>
      </c>
      <c r="C1227">
        <v>5</v>
      </c>
      <c r="D1227" t="s">
        <v>90</v>
      </c>
      <c r="E1227">
        <v>6249</v>
      </c>
      <c r="F1227">
        <v>7706</v>
      </c>
      <c r="G1227">
        <v>2759</v>
      </c>
      <c r="H1227" t="s">
        <v>123</v>
      </c>
      <c r="I1227" t="s">
        <v>171</v>
      </c>
    </row>
    <row r="1228" spans="1:9" ht="15" customHeight="1" x14ac:dyDescent="0.35">
      <c r="A1228">
        <v>2017</v>
      </c>
      <c r="B1228" t="s">
        <v>153</v>
      </c>
      <c r="C1228">
        <v>6</v>
      </c>
      <c r="D1228" t="s">
        <v>90</v>
      </c>
      <c r="E1228">
        <v>6340</v>
      </c>
      <c r="F1228">
        <v>8698</v>
      </c>
      <c r="G1228">
        <v>3339</v>
      </c>
      <c r="H1228" t="s">
        <v>123</v>
      </c>
      <c r="I1228" t="s">
        <v>171</v>
      </c>
    </row>
    <row r="1229" spans="1:9" ht="15" customHeight="1" x14ac:dyDescent="0.35">
      <c r="A1229">
        <v>2017</v>
      </c>
      <c r="B1229" t="s">
        <v>154</v>
      </c>
      <c r="C1229">
        <v>7</v>
      </c>
      <c r="D1229" t="s">
        <v>90</v>
      </c>
      <c r="E1229">
        <v>7659</v>
      </c>
      <c r="F1229">
        <v>9461</v>
      </c>
      <c r="G1229">
        <v>4275</v>
      </c>
      <c r="H1229" t="s">
        <v>123</v>
      </c>
      <c r="I1229" t="s">
        <v>171</v>
      </c>
    </row>
    <row r="1230" spans="1:9" ht="15" customHeight="1" x14ac:dyDescent="0.35">
      <c r="A1230">
        <v>2017</v>
      </c>
      <c r="B1230" t="s">
        <v>155</v>
      </c>
      <c r="C1230">
        <v>8</v>
      </c>
      <c r="D1230" t="s">
        <v>90</v>
      </c>
      <c r="E1230">
        <v>7300</v>
      </c>
      <c r="F1230">
        <v>9369</v>
      </c>
      <c r="G1230">
        <v>4947</v>
      </c>
      <c r="H1230" t="s">
        <v>123</v>
      </c>
      <c r="I1230" t="s">
        <v>171</v>
      </c>
    </row>
    <row r="1231" spans="1:9" ht="15" customHeight="1" x14ac:dyDescent="0.35">
      <c r="A1231">
        <v>2017</v>
      </c>
      <c r="B1231" t="s">
        <v>156</v>
      </c>
      <c r="C1231">
        <v>9</v>
      </c>
      <c r="D1231" t="s">
        <v>90</v>
      </c>
      <c r="E1231">
        <v>6410</v>
      </c>
      <c r="F1231">
        <v>8719</v>
      </c>
      <c r="G1231">
        <v>3569</v>
      </c>
      <c r="H1231" t="s">
        <v>123</v>
      </c>
      <c r="I1231" t="s">
        <v>171</v>
      </c>
    </row>
    <row r="1232" spans="1:9" ht="15" customHeight="1" x14ac:dyDescent="0.35">
      <c r="A1232">
        <v>2017</v>
      </c>
      <c r="B1232" t="s">
        <v>157</v>
      </c>
      <c r="C1232">
        <v>10</v>
      </c>
      <c r="D1232" t="s">
        <v>90</v>
      </c>
      <c r="E1232">
        <v>5738</v>
      </c>
      <c r="F1232">
        <v>7634</v>
      </c>
      <c r="G1232">
        <v>3939</v>
      </c>
      <c r="H1232" t="s">
        <v>123</v>
      </c>
      <c r="I1232" t="s">
        <v>171</v>
      </c>
    </row>
    <row r="1233" spans="1:9" ht="15" customHeight="1" x14ac:dyDescent="0.35">
      <c r="A1233">
        <v>2017</v>
      </c>
      <c r="B1233" t="s">
        <v>158</v>
      </c>
      <c r="C1233">
        <v>11</v>
      </c>
      <c r="D1233" t="s">
        <v>90</v>
      </c>
      <c r="E1233">
        <v>4574</v>
      </c>
      <c r="F1233">
        <v>6431</v>
      </c>
      <c r="G1233">
        <v>3003</v>
      </c>
      <c r="H1233" t="s">
        <v>123</v>
      </c>
      <c r="I1233" t="s">
        <v>171</v>
      </c>
    </row>
    <row r="1234" spans="1:9" ht="15" customHeight="1" x14ac:dyDescent="0.35">
      <c r="A1234">
        <v>2017</v>
      </c>
      <c r="B1234" t="s">
        <v>159</v>
      </c>
      <c r="C1234">
        <v>12</v>
      </c>
      <c r="D1234" t="s">
        <v>90</v>
      </c>
      <c r="E1234">
        <v>4878</v>
      </c>
      <c r="F1234">
        <v>6893</v>
      </c>
      <c r="G1234">
        <v>2018</v>
      </c>
      <c r="H1234" t="s">
        <v>123</v>
      </c>
      <c r="I1234" t="s">
        <v>171</v>
      </c>
    </row>
    <row r="1235" spans="1:9" ht="15" customHeight="1" x14ac:dyDescent="0.35">
      <c r="A1235">
        <v>2018</v>
      </c>
      <c r="B1235" t="s">
        <v>147</v>
      </c>
      <c r="C1235">
        <v>1</v>
      </c>
      <c r="D1235" t="s">
        <v>90</v>
      </c>
      <c r="E1235">
        <v>4995</v>
      </c>
      <c r="F1235">
        <v>6774</v>
      </c>
      <c r="G1235">
        <v>3261</v>
      </c>
      <c r="H1235" t="s">
        <v>123</v>
      </c>
      <c r="I1235" t="s">
        <v>171</v>
      </c>
    </row>
    <row r="1236" spans="1:9" ht="15" customHeight="1" x14ac:dyDescent="0.35">
      <c r="A1236">
        <v>2018</v>
      </c>
      <c r="B1236" t="s">
        <v>149</v>
      </c>
      <c r="C1236">
        <v>2</v>
      </c>
      <c r="D1236" t="s">
        <v>90</v>
      </c>
      <c r="E1236">
        <v>5017</v>
      </c>
      <c r="F1236">
        <v>6932</v>
      </c>
      <c r="G1236">
        <v>3354</v>
      </c>
      <c r="H1236" t="s">
        <v>123</v>
      </c>
      <c r="I1236" t="s">
        <v>171</v>
      </c>
    </row>
    <row r="1237" spans="1:9" ht="15" customHeight="1" x14ac:dyDescent="0.35">
      <c r="A1237">
        <v>2018</v>
      </c>
      <c r="B1237" t="s">
        <v>150</v>
      </c>
      <c r="C1237">
        <v>3</v>
      </c>
      <c r="D1237" t="s">
        <v>90</v>
      </c>
      <c r="E1237">
        <v>5104</v>
      </c>
      <c r="F1237">
        <v>6644</v>
      </c>
      <c r="G1237">
        <v>3315</v>
      </c>
      <c r="H1237" t="s">
        <v>123</v>
      </c>
      <c r="I1237" t="s">
        <v>171</v>
      </c>
    </row>
    <row r="1238" spans="1:9" ht="15" customHeight="1" x14ac:dyDescent="0.35">
      <c r="A1238">
        <v>2018</v>
      </c>
      <c r="B1238" t="s">
        <v>151</v>
      </c>
      <c r="C1238">
        <v>4</v>
      </c>
      <c r="D1238" t="s">
        <v>90</v>
      </c>
      <c r="E1238">
        <v>4914</v>
      </c>
      <c r="F1238">
        <v>7426</v>
      </c>
      <c r="G1238">
        <v>2322</v>
      </c>
      <c r="H1238" t="s">
        <v>124</v>
      </c>
      <c r="I1238" t="s">
        <v>171</v>
      </c>
    </row>
    <row r="1239" spans="1:9" ht="15" customHeight="1" x14ac:dyDescent="0.35">
      <c r="A1239">
        <v>2018</v>
      </c>
      <c r="B1239" t="s">
        <v>152</v>
      </c>
      <c r="C1239">
        <v>5</v>
      </c>
      <c r="D1239" t="s">
        <v>90</v>
      </c>
      <c r="E1239">
        <v>6117</v>
      </c>
      <c r="F1239">
        <v>8135</v>
      </c>
      <c r="G1239">
        <v>2041</v>
      </c>
      <c r="H1239" t="s">
        <v>124</v>
      </c>
      <c r="I1239" t="s">
        <v>171</v>
      </c>
    </row>
    <row r="1240" spans="1:9" ht="15" customHeight="1" x14ac:dyDescent="0.35">
      <c r="A1240">
        <v>2018</v>
      </c>
      <c r="B1240" t="s">
        <v>153</v>
      </c>
      <c r="C1240">
        <v>6</v>
      </c>
      <c r="D1240" t="s">
        <v>90</v>
      </c>
      <c r="E1240">
        <v>7292</v>
      </c>
      <c r="F1240">
        <v>9836</v>
      </c>
      <c r="G1240">
        <v>1992</v>
      </c>
      <c r="H1240" t="s">
        <v>124</v>
      </c>
      <c r="I1240" t="s">
        <v>171</v>
      </c>
    </row>
    <row r="1241" spans="1:9" ht="15" customHeight="1" x14ac:dyDescent="0.35">
      <c r="A1241">
        <v>2018</v>
      </c>
      <c r="B1241" t="s">
        <v>154</v>
      </c>
      <c r="C1241">
        <v>7</v>
      </c>
      <c r="D1241" t="s">
        <v>90</v>
      </c>
      <c r="E1241">
        <v>7657</v>
      </c>
      <c r="F1241">
        <v>10120</v>
      </c>
      <c r="G1241">
        <v>4438</v>
      </c>
      <c r="H1241" t="s">
        <v>124</v>
      </c>
      <c r="I1241" t="s">
        <v>171</v>
      </c>
    </row>
    <row r="1242" spans="1:9" ht="15" customHeight="1" x14ac:dyDescent="0.35">
      <c r="A1242">
        <v>2018</v>
      </c>
      <c r="B1242" t="s">
        <v>155</v>
      </c>
      <c r="C1242">
        <v>8</v>
      </c>
      <c r="D1242" t="s">
        <v>90</v>
      </c>
      <c r="E1242">
        <v>7591</v>
      </c>
      <c r="F1242">
        <v>9312</v>
      </c>
      <c r="G1242">
        <v>4931</v>
      </c>
      <c r="H1242" t="s">
        <v>124</v>
      </c>
      <c r="I1242" t="s">
        <v>171</v>
      </c>
    </row>
    <row r="1243" spans="1:9" ht="15" customHeight="1" x14ac:dyDescent="0.35">
      <c r="A1243">
        <v>2018</v>
      </c>
      <c r="B1243" t="s">
        <v>156</v>
      </c>
      <c r="C1243">
        <v>9</v>
      </c>
      <c r="D1243" t="s">
        <v>90</v>
      </c>
      <c r="E1243">
        <v>6284</v>
      </c>
      <c r="F1243">
        <v>8859</v>
      </c>
      <c r="G1243">
        <v>2935</v>
      </c>
      <c r="H1243" t="s">
        <v>124</v>
      </c>
      <c r="I1243" t="s">
        <v>171</v>
      </c>
    </row>
    <row r="1244" spans="1:9" ht="15" customHeight="1" x14ac:dyDescent="0.35">
      <c r="A1244">
        <v>2018</v>
      </c>
      <c r="B1244" t="s">
        <v>157</v>
      </c>
      <c r="C1244">
        <v>10</v>
      </c>
      <c r="D1244" t="s">
        <v>90</v>
      </c>
      <c r="E1244">
        <v>5693</v>
      </c>
      <c r="F1244">
        <v>7679</v>
      </c>
      <c r="G1244">
        <v>4125</v>
      </c>
      <c r="H1244" t="s">
        <v>124</v>
      </c>
      <c r="I1244" t="s">
        <v>171</v>
      </c>
    </row>
    <row r="1245" spans="1:9" ht="15" customHeight="1" x14ac:dyDescent="0.35">
      <c r="A1245">
        <v>2018</v>
      </c>
      <c r="B1245" t="s">
        <v>158</v>
      </c>
      <c r="C1245">
        <v>11</v>
      </c>
      <c r="D1245" t="s">
        <v>90</v>
      </c>
      <c r="E1245">
        <v>4646</v>
      </c>
      <c r="F1245">
        <v>6306</v>
      </c>
      <c r="G1245">
        <v>3010</v>
      </c>
      <c r="H1245" t="s">
        <v>124</v>
      </c>
      <c r="I1245" t="s">
        <v>171</v>
      </c>
    </row>
    <row r="1246" spans="1:9" ht="15" customHeight="1" x14ac:dyDescent="0.35">
      <c r="A1246">
        <v>2018</v>
      </c>
      <c r="B1246" t="s">
        <v>159</v>
      </c>
      <c r="C1246">
        <v>12</v>
      </c>
      <c r="D1246" t="s">
        <v>90</v>
      </c>
      <c r="E1246">
        <v>5078</v>
      </c>
      <c r="F1246">
        <v>6737</v>
      </c>
      <c r="G1246">
        <v>3480</v>
      </c>
      <c r="H1246" t="s">
        <v>124</v>
      </c>
      <c r="I1246" t="s">
        <v>171</v>
      </c>
    </row>
    <row r="1247" spans="1:9" ht="15" customHeight="1" x14ac:dyDescent="0.35">
      <c r="A1247">
        <v>2019</v>
      </c>
      <c r="B1247" t="s">
        <v>147</v>
      </c>
      <c r="C1247">
        <v>1</v>
      </c>
      <c r="D1247" t="s">
        <v>90</v>
      </c>
      <c r="E1247">
        <v>5041</v>
      </c>
      <c r="F1247">
        <v>6871</v>
      </c>
      <c r="G1247">
        <v>2655</v>
      </c>
      <c r="H1247" t="s">
        <v>124</v>
      </c>
      <c r="I1247" t="s">
        <v>171</v>
      </c>
    </row>
    <row r="1248" spans="1:9" ht="15" customHeight="1" x14ac:dyDescent="0.35">
      <c r="A1248">
        <v>2019</v>
      </c>
      <c r="B1248" t="s">
        <v>149</v>
      </c>
      <c r="C1248">
        <v>2</v>
      </c>
      <c r="D1248" t="s">
        <v>90</v>
      </c>
      <c r="E1248">
        <v>4865</v>
      </c>
      <c r="F1248">
        <v>6611</v>
      </c>
      <c r="G1248">
        <v>3317</v>
      </c>
      <c r="H1248" t="s">
        <v>124</v>
      </c>
      <c r="I1248" t="s">
        <v>171</v>
      </c>
    </row>
    <row r="1249" spans="1:9" ht="15" customHeight="1" x14ac:dyDescent="0.35">
      <c r="A1249">
        <v>2019</v>
      </c>
      <c r="B1249" t="s">
        <v>150</v>
      </c>
      <c r="C1249">
        <v>3</v>
      </c>
      <c r="D1249" t="s">
        <v>90</v>
      </c>
      <c r="E1249">
        <v>4848</v>
      </c>
      <c r="F1249">
        <v>6329</v>
      </c>
      <c r="G1249">
        <v>2961</v>
      </c>
      <c r="H1249" t="s">
        <v>124</v>
      </c>
      <c r="I1249" t="s">
        <v>171</v>
      </c>
    </row>
    <row r="1250" spans="1:9" ht="15" customHeight="1" x14ac:dyDescent="0.35">
      <c r="A1250">
        <v>2019</v>
      </c>
      <c r="B1250" t="s">
        <v>151</v>
      </c>
      <c r="C1250">
        <v>4</v>
      </c>
      <c r="D1250" t="s">
        <v>90</v>
      </c>
      <c r="E1250">
        <v>5194</v>
      </c>
      <c r="F1250">
        <v>7959</v>
      </c>
      <c r="G1250">
        <v>2203</v>
      </c>
      <c r="H1250" t="s">
        <v>71</v>
      </c>
      <c r="I1250" t="s">
        <v>171</v>
      </c>
    </row>
    <row r="1251" spans="1:9" ht="15" customHeight="1" x14ac:dyDescent="0.35">
      <c r="A1251">
        <v>2019</v>
      </c>
      <c r="B1251" t="s">
        <v>152</v>
      </c>
      <c r="C1251">
        <v>5</v>
      </c>
      <c r="D1251" t="s">
        <v>90</v>
      </c>
      <c r="E1251">
        <v>6568</v>
      </c>
      <c r="F1251">
        <v>8761</v>
      </c>
      <c r="G1251">
        <v>3440</v>
      </c>
      <c r="H1251" t="s">
        <v>71</v>
      </c>
      <c r="I1251" t="s">
        <v>171</v>
      </c>
    </row>
    <row r="1252" spans="1:9" ht="15" customHeight="1" x14ac:dyDescent="0.35">
      <c r="A1252">
        <v>2019</v>
      </c>
      <c r="B1252" t="s">
        <v>153</v>
      </c>
      <c r="C1252">
        <v>6</v>
      </c>
      <c r="D1252" t="s">
        <v>90</v>
      </c>
      <c r="E1252">
        <v>7951</v>
      </c>
      <c r="F1252">
        <v>10176</v>
      </c>
      <c r="G1252">
        <v>3917</v>
      </c>
      <c r="H1252" t="s">
        <v>71</v>
      </c>
      <c r="I1252" t="s">
        <v>171</v>
      </c>
    </row>
    <row r="1253" spans="1:9" ht="15" customHeight="1" x14ac:dyDescent="0.35">
      <c r="A1253">
        <v>2019</v>
      </c>
      <c r="B1253" t="s">
        <v>154</v>
      </c>
      <c r="C1253">
        <v>7</v>
      </c>
      <c r="D1253" t="s">
        <v>90</v>
      </c>
      <c r="E1253">
        <v>8016</v>
      </c>
      <c r="F1253">
        <v>10838</v>
      </c>
      <c r="G1253">
        <v>4568</v>
      </c>
      <c r="H1253" t="s">
        <v>71</v>
      </c>
      <c r="I1253" t="s">
        <v>171</v>
      </c>
    </row>
    <row r="1254" spans="1:9" ht="15" customHeight="1" x14ac:dyDescent="0.35">
      <c r="A1254">
        <v>2019</v>
      </c>
      <c r="B1254" t="s">
        <v>155</v>
      </c>
      <c r="C1254">
        <v>8</v>
      </c>
      <c r="D1254" t="s">
        <v>90</v>
      </c>
      <c r="E1254">
        <v>7910</v>
      </c>
      <c r="F1254">
        <v>9988</v>
      </c>
      <c r="G1254">
        <v>4044</v>
      </c>
      <c r="H1254" t="s">
        <v>71</v>
      </c>
      <c r="I1254" t="s">
        <v>171</v>
      </c>
    </row>
    <row r="1255" spans="1:9" ht="15" customHeight="1" x14ac:dyDescent="0.35">
      <c r="A1255">
        <v>2019</v>
      </c>
      <c r="B1255" t="s">
        <v>156</v>
      </c>
      <c r="C1255">
        <v>9</v>
      </c>
      <c r="D1255" t="s">
        <v>90</v>
      </c>
      <c r="E1255">
        <v>8258</v>
      </c>
      <c r="F1255">
        <v>10298</v>
      </c>
      <c r="G1255">
        <v>5123</v>
      </c>
      <c r="H1255" t="s">
        <v>71</v>
      </c>
      <c r="I1255" t="s">
        <v>171</v>
      </c>
    </row>
    <row r="1256" spans="1:9" ht="15" customHeight="1" x14ac:dyDescent="0.35">
      <c r="A1256">
        <v>2019</v>
      </c>
      <c r="B1256" t="s">
        <v>157</v>
      </c>
      <c r="C1256">
        <v>10</v>
      </c>
      <c r="D1256" t="s">
        <v>90</v>
      </c>
      <c r="E1256">
        <v>5787</v>
      </c>
      <c r="F1256">
        <v>7507</v>
      </c>
      <c r="G1256">
        <v>3479</v>
      </c>
      <c r="H1256" t="s">
        <v>71</v>
      </c>
      <c r="I1256" t="s">
        <v>171</v>
      </c>
    </row>
    <row r="1257" spans="1:9" ht="15" customHeight="1" x14ac:dyDescent="0.35">
      <c r="A1257">
        <v>2019</v>
      </c>
      <c r="B1257" t="s">
        <v>158</v>
      </c>
      <c r="C1257">
        <v>11</v>
      </c>
      <c r="D1257" t="s">
        <v>90</v>
      </c>
      <c r="E1257">
        <v>4688</v>
      </c>
      <c r="F1257">
        <v>6107</v>
      </c>
      <c r="G1257">
        <v>3071</v>
      </c>
      <c r="H1257" t="s">
        <v>71</v>
      </c>
      <c r="I1257" t="s">
        <v>171</v>
      </c>
    </row>
    <row r="1258" spans="1:9" ht="15" customHeight="1" x14ac:dyDescent="0.35">
      <c r="A1258">
        <v>2019</v>
      </c>
      <c r="B1258" t="s">
        <v>159</v>
      </c>
      <c r="C1258">
        <v>12</v>
      </c>
      <c r="D1258" t="s">
        <v>90</v>
      </c>
      <c r="E1258">
        <v>4961</v>
      </c>
      <c r="F1258">
        <v>6935</v>
      </c>
      <c r="G1258">
        <v>2129</v>
      </c>
      <c r="H1258" t="s">
        <v>71</v>
      </c>
      <c r="I1258" t="s">
        <v>171</v>
      </c>
    </row>
    <row r="1259" spans="1:9" ht="15" customHeight="1" x14ac:dyDescent="0.35">
      <c r="A1259">
        <v>2020</v>
      </c>
      <c r="B1259" t="s">
        <v>147</v>
      </c>
      <c r="C1259">
        <v>1</v>
      </c>
      <c r="D1259" t="s">
        <v>90</v>
      </c>
      <c r="E1259">
        <v>5199</v>
      </c>
      <c r="F1259">
        <v>6841</v>
      </c>
      <c r="G1259">
        <v>3297</v>
      </c>
      <c r="H1259" t="s">
        <v>71</v>
      </c>
      <c r="I1259" t="s">
        <v>171</v>
      </c>
    </row>
    <row r="1260" spans="1:9" ht="15" customHeight="1" x14ac:dyDescent="0.35">
      <c r="A1260">
        <v>2020</v>
      </c>
      <c r="B1260" t="s">
        <v>149</v>
      </c>
      <c r="C1260">
        <v>2</v>
      </c>
      <c r="D1260" t="s">
        <v>90</v>
      </c>
      <c r="E1260">
        <v>5275</v>
      </c>
      <c r="F1260">
        <v>7305</v>
      </c>
      <c r="G1260">
        <v>3172</v>
      </c>
      <c r="H1260" t="s">
        <v>71</v>
      </c>
      <c r="I1260" t="s">
        <v>171</v>
      </c>
    </row>
    <row r="1261" spans="1:9" ht="15" customHeight="1" x14ac:dyDescent="0.35">
      <c r="A1261">
        <v>2020</v>
      </c>
      <c r="B1261" t="s">
        <v>150</v>
      </c>
      <c r="C1261">
        <v>3</v>
      </c>
      <c r="D1261" t="s">
        <v>90</v>
      </c>
      <c r="E1261">
        <v>3824</v>
      </c>
      <c r="F1261">
        <v>6160</v>
      </c>
      <c r="G1261">
        <v>1846</v>
      </c>
      <c r="H1261" t="s">
        <v>71</v>
      </c>
      <c r="I1261" t="s">
        <v>171</v>
      </c>
    </row>
    <row r="1262" spans="1:9" ht="15" customHeight="1" x14ac:dyDescent="0.35">
      <c r="A1262">
        <v>2020</v>
      </c>
      <c r="B1262" t="s">
        <v>151</v>
      </c>
      <c r="C1262">
        <v>4</v>
      </c>
      <c r="D1262" t="s">
        <v>90</v>
      </c>
      <c r="E1262">
        <v>3448</v>
      </c>
      <c r="F1262">
        <v>6340</v>
      </c>
      <c r="G1262">
        <v>1591</v>
      </c>
      <c r="H1262" t="s">
        <v>72</v>
      </c>
      <c r="I1262" t="s">
        <v>171</v>
      </c>
    </row>
    <row r="1263" spans="1:9" ht="15" customHeight="1" x14ac:dyDescent="0.35">
      <c r="A1263">
        <v>2020</v>
      </c>
      <c r="B1263" t="s">
        <v>152</v>
      </c>
      <c r="C1263">
        <v>5</v>
      </c>
      <c r="D1263" t="s">
        <v>90</v>
      </c>
      <c r="E1263">
        <v>5216</v>
      </c>
      <c r="F1263">
        <v>7960</v>
      </c>
      <c r="G1263">
        <v>1306</v>
      </c>
      <c r="H1263" t="s">
        <v>72</v>
      </c>
      <c r="I1263" t="s">
        <v>171</v>
      </c>
    </row>
    <row r="1264" spans="1:9" ht="15" customHeight="1" x14ac:dyDescent="0.35">
      <c r="A1264">
        <v>2020</v>
      </c>
      <c r="B1264" t="s">
        <v>153</v>
      </c>
      <c r="C1264">
        <v>6</v>
      </c>
      <c r="D1264" t="s">
        <v>90</v>
      </c>
      <c r="E1264">
        <v>7157</v>
      </c>
      <c r="F1264">
        <v>10100</v>
      </c>
      <c r="G1264">
        <v>3677</v>
      </c>
      <c r="H1264" t="s">
        <v>72</v>
      </c>
      <c r="I1264" t="s">
        <v>171</v>
      </c>
    </row>
    <row r="1265" spans="1:9" ht="15" customHeight="1" x14ac:dyDescent="0.35">
      <c r="A1265">
        <v>2020</v>
      </c>
      <c r="B1265" t="s">
        <v>154</v>
      </c>
      <c r="C1265">
        <v>7</v>
      </c>
      <c r="D1265" t="s">
        <v>90</v>
      </c>
      <c r="E1265">
        <v>7930</v>
      </c>
      <c r="F1265">
        <v>10837</v>
      </c>
      <c r="G1265">
        <v>3419</v>
      </c>
      <c r="H1265" t="s">
        <v>72</v>
      </c>
      <c r="I1265" t="s">
        <v>171</v>
      </c>
    </row>
    <row r="1266" spans="1:9" ht="15" customHeight="1" x14ac:dyDescent="0.35">
      <c r="A1266">
        <v>2020</v>
      </c>
      <c r="B1266" t="s">
        <v>155</v>
      </c>
      <c r="C1266">
        <v>8</v>
      </c>
      <c r="D1266" t="s">
        <v>90</v>
      </c>
      <c r="E1266">
        <v>7724</v>
      </c>
      <c r="F1266">
        <v>10037</v>
      </c>
      <c r="G1266">
        <v>4488</v>
      </c>
      <c r="H1266" t="s">
        <v>72</v>
      </c>
      <c r="I1266" t="s">
        <v>171</v>
      </c>
    </row>
    <row r="1267" spans="1:9" ht="15" customHeight="1" x14ac:dyDescent="0.35">
      <c r="A1267">
        <v>2020</v>
      </c>
      <c r="B1267" t="s">
        <v>156</v>
      </c>
      <c r="C1267">
        <v>9</v>
      </c>
      <c r="D1267" t="s">
        <v>90</v>
      </c>
      <c r="E1267">
        <v>8329</v>
      </c>
      <c r="F1267">
        <v>9934</v>
      </c>
      <c r="G1267">
        <v>5693</v>
      </c>
      <c r="H1267" t="s">
        <v>72</v>
      </c>
      <c r="I1267" t="s">
        <v>171</v>
      </c>
    </row>
    <row r="1268" spans="1:9" ht="15" customHeight="1" x14ac:dyDescent="0.35">
      <c r="A1268">
        <v>2020</v>
      </c>
      <c r="B1268" t="s">
        <v>157</v>
      </c>
      <c r="C1268">
        <v>10</v>
      </c>
      <c r="D1268" t="s">
        <v>90</v>
      </c>
      <c r="E1268">
        <v>6430</v>
      </c>
      <c r="F1268">
        <v>8215</v>
      </c>
      <c r="G1268">
        <v>3981</v>
      </c>
      <c r="H1268" t="s">
        <v>72</v>
      </c>
      <c r="I1268" t="s">
        <v>171</v>
      </c>
    </row>
    <row r="1269" spans="1:9" ht="15" customHeight="1" x14ac:dyDescent="0.35">
      <c r="A1269">
        <v>2020</v>
      </c>
      <c r="B1269" t="s">
        <v>158</v>
      </c>
      <c r="C1269">
        <v>11</v>
      </c>
      <c r="D1269" t="s">
        <v>90</v>
      </c>
      <c r="E1269">
        <v>4734</v>
      </c>
      <c r="F1269">
        <v>6316</v>
      </c>
      <c r="G1269">
        <v>2138</v>
      </c>
      <c r="H1269" t="s">
        <v>72</v>
      </c>
      <c r="I1269" t="s">
        <v>171</v>
      </c>
    </row>
    <row r="1270" spans="1:9" ht="15" customHeight="1" x14ac:dyDescent="0.35">
      <c r="A1270">
        <v>2020</v>
      </c>
      <c r="B1270" t="s">
        <v>159</v>
      </c>
      <c r="C1270">
        <v>12</v>
      </c>
      <c r="D1270" t="s">
        <v>90</v>
      </c>
      <c r="E1270">
        <v>5407</v>
      </c>
      <c r="F1270">
        <v>6887</v>
      </c>
      <c r="G1270">
        <v>3722</v>
      </c>
      <c r="H1270" t="s">
        <v>72</v>
      </c>
      <c r="I1270" t="s">
        <v>171</v>
      </c>
    </row>
    <row r="1271" spans="1:9" ht="15" customHeight="1" x14ac:dyDescent="0.35">
      <c r="A1271">
        <v>2021</v>
      </c>
      <c r="B1271" t="s">
        <v>147</v>
      </c>
      <c r="C1271">
        <v>1</v>
      </c>
      <c r="D1271" t="s">
        <v>90</v>
      </c>
      <c r="E1271">
        <v>5231</v>
      </c>
      <c r="F1271">
        <v>7150</v>
      </c>
      <c r="G1271">
        <v>2906</v>
      </c>
      <c r="H1271" t="s">
        <v>72</v>
      </c>
      <c r="I1271" t="s">
        <v>171</v>
      </c>
    </row>
    <row r="1272" spans="1:9" ht="15" customHeight="1" x14ac:dyDescent="0.35">
      <c r="A1272">
        <v>2021</v>
      </c>
      <c r="B1272" t="s">
        <v>149</v>
      </c>
      <c r="C1272">
        <v>2</v>
      </c>
      <c r="D1272" t="s">
        <v>90</v>
      </c>
      <c r="E1272">
        <v>5474</v>
      </c>
      <c r="F1272">
        <v>7222</v>
      </c>
      <c r="G1272">
        <v>3820</v>
      </c>
      <c r="H1272" t="s">
        <v>72</v>
      </c>
      <c r="I1272" t="s">
        <v>171</v>
      </c>
    </row>
    <row r="1273" spans="1:9" ht="15" customHeight="1" x14ac:dyDescent="0.35">
      <c r="A1273">
        <v>2021</v>
      </c>
      <c r="B1273" t="s">
        <v>150</v>
      </c>
      <c r="C1273">
        <v>3</v>
      </c>
      <c r="D1273" t="s">
        <v>90</v>
      </c>
      <c r="E1273">
        <v>5393</v>
      </c>
      <c r="F1273">
        <v>6876</v>
      </c>
      <c r="G1273">
        <v>3153</v>
      </c>
      <c r="H1273" t="s">
        <v>72</v>
      </c>
      <c r="I1273" t="s">
        <v>171</v>
      </c>
    </row>
    <row r="1274" spans="1:9" ht="15" customHeight="1" x14ac:dyDescent="0.35">
      <c r="A1274">
        <v>2021</v>
      </c>
      <c r="B1274" t="s">
        <v>151</v>
      </c>
      <c r="C1274">
        <v>4</v>
      </c>
      <c r="D1274" t="s">
        <v>90</v>
      </c>
      <c r="E1274">
        <v>5435</v>
      </c>
      <c r="F1274">
        <v>7747</v>
      </c>
      <c r="G1274">
        <v>2927</v>
      </c>
      <c r="H1274" t="s">
        <v>73</v>
      </c>
      <c r="I1274" t="s">
        <v>171</v>
      </c>
    </row>
    <row r="1275" spans="1:9" ht="15" customHeight="1" x14ac:dyDescent="0.35">
      <c r="A1275">
        <v>2021</v>
      </c>
      <c r="B1275" t="s">
        <v>152</v>
      </c>
      <c r="C1275">
        <v>5</v>
      </c>
      <c r="D1275" t="s">
        <v>90</v>
      </c>
      <c r="E1275">
        <v>5648</v>
      </c>
      <c r="F1275">
        <v>8243</v>
      </c>
      <c r="G1275">
        <v>2747</v>
      </c>
      <c r="H1275" t="s">
        <v>73</v>
      </c>
      <c r="I1275" t="s">
        <v>171</v>
      </c>
    </row>
    <row r="1276" spans="1:9" ht="15" customHeight="1" x14ac:dyDescent="0.35">
      <c r="A1276">
        <v>2021</v>
      </c>
      <c r="B1276" t="s">
        <v>153</v>
      </c>
      <c r="C1276">
        <v>6</v>
      </c>
      <c r="D1276" t="s">
        <v>90</v>
      </c>
      <c r="E1276">
        <v>7908</v>
      </c>
      <c r="F1276">
        <v>11405</v>
      </c>
      <c r="G1276">
        <v>1958</v>
      </c>
      <c r="H1276" t="s">
        <v>73</v>
      </c>
      <c r="I1276" t="s">
        <v>171</v>
      </c>
    </row>
    <row r="1277" spans="1:9" ht="15" customHeight="1" x14ac:dyDescent="0.35">
      <c r="A1277">
        <v>2021</v>
      </c>
      <c r="B1277" t="s">
        <v>154</v>
      </c>
      <c r="C1277">
        <v>7</v>
      </c>
      <c r="D1277" t="s">
        <v>90</v>
      </c>
      <c r="E1277">
        <v>8827</v>
      </c>
      <c r="F1277">
        <v>12090</v>
      </c>
      <c r="G1277">
        <v>5389</v>
      </c>
      <c r="H1277" t="s">
        <v>73</v>
      </c>
      <c r="I1277" t="s">
        <v>171</v>
      </c>
    </row>
    <row r="1278" spans="1:9" ht="15" customHeight="1" x14ac:dyDescent="0.35">
      <c r="A1278">
        <v>2021</v>
      </c>
      <c r="B1278" t="s">
        <v>155</v>
      </c>
      <c r="C1278">
        <v>8</v>
      </c>
      <c r="D1278" t="s">
        <v>90</v>
      </c>
      <c r="E1278">
        <v>8709</v>
      </c>
      <c r="F1278">
        <v>11388</v>
      </c>
      <c r="G1278">
        <v>5318</v>
      </c>
      <c r="H1278" t="s">
        <v>73</v>
      </c>
      <c r="I1278" t="s">
        <v>171</v>
      </c>
    </row>
    <row r="1279" spans="1:9" ht="15" customHeight="1" x14ac:dyDescent="0.35">
      <c r="A1279">
        <v>2021</v>
      </c>
      <c r="B1279" t="s">
        <v>156</v>
      </c>
      <c r="C1279">
        <v>9</v>
      </c>
      <c r="D1279" t="s">
        <v>90</v>
      </c>
      <c r="E1279">
        <v>6972</v>
      </c>
      <c r="F1279">
        <v>8957</v>
      </c>
      <c r="G1279">
        <v>4715</v>
      </c>
      <c r="H1279" t="s">
        <v>73</v>
      </c>
      <c r="I1279" t="s">
        <v>171</v>
      </c>
    </row>
    <row r="1280" spans="1:9" ht="15" customHeight="1" x14ac:dyDescent="0.35">
      <c r="A1280">
        <v>2021</v>
      </c>
      <c r="B1280" t="s">
        <v>157</v>
      </c>
      <c r="C1280">
        <v>10</v>
      </c>
      <c r="D1280" t="s">
        <v>90</v>
      </c>
      <c r="E1280">
        <v>6314</v>
      </c>
      <c r="F1280">
        <v>8672</v>
      </c>
      <c r="G1280">
        <v>3746</v>
      </c>
      <c r="H1280" t="s">
        <v>73</v>
      </c>
      <c r="I1280" t="s">
        <v>171</v>
      </c>
    </row>
    <row r="1281" spans="1:9" ht="15" customHeight="1" x14ac:dyDescent="0.35">
      <c r="A1281">
        <v>2021</v>
      </c>
      <c r="B1281" t="s">
        <v>158</v>
      </c>
      <c r="C1281">
        <v>11</v>
      </c>
      <c r="D1281" t="s">
        <v>90</v>
      </c>
      <c r="E1281">
        <v>4834</v>
      </c>
      <c r="F1281">
        <v>6808</v>
      </c>
      <c r="G1281">
        <v>3043</v>
      </c>
      <c r="H1281" t="s">
        <v>73</v>
      </c>
      <c r="I1281" t="s">
        <v>171</v>
      </c>
    </row>
    <row r="1282" spans="1:9" ht="15" customHeight="1" x14ac:dyDescent="0.35">
      <c r="A1282">
        <v>2021</v>
      </c>
      <c r="B1282" t="s">
        <v>159</v>
      </c>
      <c r="C1282">
        <v>12</v>
      </c>
      <c r="D1282" t="s">
        <v>90</v>
      </c>
      <c r="E1282">
        <v>5415</v>
      </c>
      <c r="F1282">
        <v>7550</v>
      </c>
      <c r="G1282">
        <v>2908</v>
      </c>
      <c r="H1282" t="s">
        <v>73</v>
      </c>
      <c r="I1282" t="s">
        <v>171</v>
      </c>
    </row>
    <row r="1283" spans="1:9" ht="15" customHeight="1" x14ac:dyDescent="0.35">
      <c r="A1283">
        <v>2022</v>
      </c>
      <c r="B1283" t="s">
        <v>147</v>
      </c>
      <c r="C1283">
        <v>1</v>
      </c>
      <c r="D1283" t="s">
        <v>90</v>
      </c>
      <c r="E1283">
        <v>5004</v>
      </c>
      <c r="F1283">
        <v>7108</v>
      </c>
      <c r="G1283">
        <v>2644</v>
      </c>
      <c r="H1283" t="s">
        <v>73</v>
      </c>
      <c r="I1283" t="s">
        <v>171</v>
      </c>
    </row>
    <row r="1284" spans="1:9" ht="15" customHeight="1" x14ac:dyDescent="0.35">
      <c r="A1284">
        <v>2022</v>
      </c>
      <c r="B1284" t="s">
        <v>149</v>
      </c>
      <c r="C1284">
        <v>2</v>
      </c>
      <c r="D1284" t="s">
        <v>90</v>
      </c>
      <c r="E1284">
        <v>5232</v>
      </c>
      <c r="F1284">
        <v>7085</v>
      </c>
      <c r="G1284">
        <v>3290</v>
      </c>
      <c r="H1284" t="s">
        <v>73</v>
      </c>
      <c r="I1284" t="s">
        <v>171</v>
      </c>
    </row>
    <row r="1285" spans="1:9" ht="15" customHeight="1" x14ac:dyDescent="0.35">
      <c r="A1285">
        <v>2022</v>
      </c>
      <c r="B1285" t="s">
        <v>150</v>
      </c>
      <c r="C1285">
        <v>3</v>
      </c>
      <c r="D1285" t="s">
        <v>90</v>
      </c>
      <c r="E1285">
        <v>5692</v>
      </c>
      <c r="F1285">
        <v>7560</v>
      </c>
      <c r="G1285">
        <v>4005</v>
      </c>
      <c r="H1285" t="s">
        <v>73</v>
      </c>
      <c r="I1285" t="s">
        <v>171</v>
      </c>
    </row>
    <row r="1286" spans="1:9" ht="15" customHeight="1" x14ac:dyDescent="0.35">
      <c r="A1286">
        <v>2022</v>
      </c>
      <c r="B1286" t="s">
        <v>151</v>
      </c>
      <c r="C1286">
        <v>4</v>
      </c>
      <c r="D1286" t="s">
        <v>90</v>
      </c>
      <c r="E1286">
        <v>6319</v>
      </c>
      <c r="F1286">
        <v>9046</v>
      </c>
      <c r="G1286">
        <v>3988</v>
      </c>
      <c r="H1286" t="s">
        <v>74</v>
      </c>
      <c r="I1286" t="s">
        <v>171</v>
      </c>
    </row>
    <row r="1287" spans="1:9" ht="15" customHeight="1" x14ac:dyDescent="0.35">
      <c r="A1287">
        <v>2022</v>
      </c>
      <c r="B1287" t="s">
        <v>152</v>
      </c>
      <c r="C1287">
        <v>5</v>
      </c>
      <c r="D1287" t="s">
        <v>90</v>
      </c>
      <c r="E1287">
        <v>7593</v>
      </c>
      <c r="F1287">
        <v>9668</v>
      </c>
      <c r="G1287">
        <v>2687</v>
      </c>
      <c r="H1287" t="s">
        <v>74</v>
      </c>
      <c r="I1287" t="s">
        <v>171</v>
      </c>
    </row>
    <row r="1288" spans="1:9" ht="15" customHeight="1" x14ac:dyDescent="0.35">
      <c r="A1288">
        <v>2022</v>
      </c>
      <c r="B1288" t="s">
        <v>153</v>
      </c>
      <c r="C1288">
        <v>6</v>
      </c>
      <c r="D1288" t="s">
        <v>90</v>
      </c>
      <c r="E1288">
        <v>8817</v>
      </c>
      <c r="F1288">
        <v>12312</v>
      </c>
      <c r="G1288">
        <v>5866</v>
      </c>
      <c r="H1288" t="s">
        <v>74</v>
      </c>
      <c r="I1288" t="s">
        <v>171</v>
      </c>
    </row>
    <row r="1289" spans="1:9" ht="15" customHeight="1" x14ac:dyDescent="0.35">
      <c r="A1289">
        <v>2022</v>
      </c>
      <c r="B1289" t="s">
        <v>154</v>
      </c>
      <c r="C1289">
        <v>7</v>
      </c>
      <c r="D1289" t="s">
        <v>90</v>
      </c>
      <c r="E1289">
        <v>8748</v>
      </c>
      <c r="F1289">
        <v>11948</v>
      </c>
      <c r="G1289">
        <v>5472</v>
      </c>
      <c r="H1289" t="s">
        <v>74</v>
      </c>
      <c r="I1289" t="s">
        <v>171</v>
      </c>
    </row>
    <row r="1290" spans="1:9" ht="15" customHeight="1" x14ac:dyDescent="0.35">
      <c r="A1290">
        <v>2022</v>
      </c>
      <c r="B1290" t="s">
        <v>155</v>
      </c>
      <c r="C1290">
        <v>8</v>
      </c>
      <c r="D1290" t="s">
        <v>90</v>
      </c>
      <c r="E1290">
        <v>9015</v>
      </c>
      <c r="F1290">
        <v>11665</v>
      </c>
      <c r="G1290">
        <v>5874</v>
      </c>
      <c r="H1290" t="s">
        <v>74</v>
      </c>
      <c r="I1290" t="s">
        <v>171</v>
      </c>
    </row>
    <row r="1291" spans="1:9" ht="15" customHeight="1" x14ac:dyDescent="0.35">
      <c r="A1291">
        <v>2022</v>
      </c>
      <c r="B1291" t="s">
        <v>156</v>
      </c>
      <c r="C1291">
        <v>9</v>
      </c>
      <c r="D1291" t="s">
        <v>90</v>
      </c>
      <c r="E1291">
        <v>8528</v>
      </c>
      <c r="F1291">
        <v>12061</v>
      </c>
      <c r="G1291">
        <v>4384</v>
      </c>
      <c r="H1291" t="s">
        <v>74</v>
      </c>
      <c r="I1291" t="s">
        <v>171</v>
      </c>
    </row>
    <row r="1292" spans="1:9" ht="15" customHeight="1" x14ac:dyDescent="0.35">
      <c r="A1292">
        <v>2022</v>
      </c>
      <c r="B1292" t="s">
        <v>157</v>
      </c>
      <c r="C1292">
        <v>10</v>
      </c>
      <c r="D1292" t="s">
        <v>90</v>
      </c>
      <c r="E1292">
        <v>5798</v>
      </c>
      <c r="F1292">
        <v>8417</v>
      </c>
      <c r="G1292">
        <v>3153</v>
      </c>
      <c r="H1292" t="s">
        <v>74</v>
      </c>
      <c r="I1292" t="s">
        <v>171</v>
      </c>
    </row>
    <row r="1293" spans="1:9" ht="15" customHeight="1" x14ac:dyDescent="0.35">
      <c r="A1293">
        <v>2022</v>
      </c>
      <c r="B1293" t="s">
        <v>158</v>
      </c>
      <c r="C1293">
        <v>11</v>
      </c>
      <c r="D1293" t="s">
        <v>90</v>
      </c>
      <c r="E1293">
        <v>5325</v>
      </c>
      <c r="F1293">
        <v>7356</v>
      </c>
      <c r="G1293">
        <v>3675</v>
      </c>
      <c r="H1293" t="s">
        <v>74</v>
      </c>
      <c r="I1293" t="s">
        <v>171</v>
      </c>
    </row>
    <row r="1294" spans="1:9" ht="15" customHeight="1" x14ac:dyDescent="0.35">
      <c r="A1294">
        <v>2022</v>
      </c>
      <c r="B1294" t="s">
        <v>159</v>
      </c>
      <c r="C1294">
        <v>12</v>
      </c>
      <c r="D1294" t="s">
        <v>90</v>
      </c>
      <c r="E1294">
        <v>5759</v>
      </c>
      <c r="F1294">
        <v>7858</v>
      </c>
      <c r="G1294">
        <v>3721</v>
      </c>
      <c r="H1294" t="s">
        <v>74</v>
      </c>
      <c r="I1294" t="s">
        <v>171</v>
      </c>
    </row>
    <row r="1295" spans="1:9" ht="15" customHeight="1" x14ac:dyDescent="0.35">
      <c r="A1295">
        <v>2023</v>
      </c>
      <c r="B1295" t="s">
        <v>147</v>
      </c>
      <c r="C1295">
        <v>1</v>
      </c>
      <c r="D1295" t="s">
        <v>90</v>
      </c>
      <c r="E1295">
        <v>5934</v>
      </c>
      <c r="F1295">
        <v>8233</v>
      </c>
      <c r="G1295">
        <v>2523</v>
      </c>
      <c r="H1295" t="s">
        <v>74</v>
      </c>
      <c r="I1295" t="s">
        <v>171</v>
      </c>
    </row>
    <row r="1296" spans="1:9" ht="15" customHeight="1" x14ac:dyDescent="0.35">
      <c r="A1296">
        <v>2023</v>
      </c>
      <c r="B1296" t="s">
        <v>149</v>
      </c>
      <c r="C1296">
        <v>2</v>
      </c>
      <c r="D1296" t="s">
        <v>90</v>
      </c>
      <c r="E1296">
        <v>5875</v>
      </c>
      <c r="F1296">
        <v>8236</v>
      </c>
      <c r="G1296">
        <v>3707</v>
      </c>
      <c r="H1296" t="s">
        <v>74</v>
      </c>
      <c r="I1296" t="s">
        <v>171</v>
      </c>
    </row>
    <row r="1297" spans="1:9" ht="15" customHeight="1" x14ac:dyDescent="0.35">
      <c r="A1297">
        <v>2023</v>
      </c>
      <c r="B1297" t="s">
        <v>150</v>
      </c>
      <c r="C1297">
        <v>3</v>
      </c>
      <c r="D1297" t="s">
        <v>90</v>
      </c>
      <c r="E1297">
        <v>5344</v>
      </c>
      <c r="F1297">
        <v>7597</v>
      </c>
      <c r="G1297">
        <v>3442</v>
      </c>
      <c r="H1297" t="s">
        <v>74</v>
      </c>
      <c r="I1297" t="s">
        <v>171</v>
      </c>
    </row>
    <row r="1298" spans="1:9" ht="15" customHeight="1" x14ac:dyDescent="0.35">
      <c r="A1298">
        <v>2023</v>
      </c>
      <c r="B1298" t="s">
        <v>151</v>
      </c>
      <c r="C1298">
        <v>4</v>
      </c>
      <c r="D1298" t="s">
        <v>90</v>
      </c>
      <c r="E1298">
        <v>5855</v>
      </c>
      <c r="F1298">
        <v>8273</v>
      </c>
      <c r="G1298">
        <v>3520</v>
      </c>
      <c r="H1298" t="s">
        <v>75</v>
      </c>
      <c r="I1298" t="s">
        <v>171</v>
      </c>
    </row>
    <row r="1299" spans="1:9" ht="15" customHeight="1" x14ac:dyDescent="0.35">
      <c r="A1299">
        <v>2023</v>
      </c>
      <c r="B1299" t="s">
        <v>152</v>
      </c>
      <c r="C1299">
        <v>5</v>
      </c>
      <c r="D1299" t="s">
        <v>90</v>
      </c>
      <c r="E1299">
        <v>6911</v>
      </c>
      <c r="F1299">
        <v>9900</v>
      </c>
      <c r="G1299">
        <v>3326</v>
      </c>
      <c r="H1299" t="s">
        <v>75</v>
      </c>
      <c r="I1299" t="s">
        <v>171</v>
      </c>
    </row>
    <row r="1300" spans="1:9" ht="15" customHeight="1" x14ac:dyDescent="0.35">
      <c r="A1300">
        <v>2023</v>
      </c>
      <c r="B1300" t="s">
        <v>153</v>
      </c>
      <c r="C1300">
        <v>6</v>
      </c>
      <c r="D1300" t="s">
        <v>90</v>
      </c>
      <c r="E1300">
        <v>8574</v>
      </c>
      <c r="F1300">
        <v>11525</v>
      </c>
      <c r="G1300">
        <v>5150</v>
      </c>
      <c r="H1300" t="s">
        <v>75</v>
      </c>
      <c r="I1300" t="s">
        <v>171</v>
      </c>
    </row>
    <row r="1301" spans="1:9" ht="15" customHeight="1" x14ac:dyDescent="0.35">
      <c r="A1301">
        <v>2023</v>
      </c>
      <c r="B1301" t="s">
        <v>154</v>
      </c>
      <c r="C1301">
        <v>7</v>
      </c>
      <c r="D1301" t="s">
        <v>90</v>
      </c>
      <c r="E1301">
        <v>9074</v>
      </c>
      <c r="F1301">
        <v>12114</v>
      </c>
      <c r="G1301">
        <v>5266</v>
      </c>
      <c r="H1301" t="s">
        <v>75</v>
      </c>
      <c r="I1301" t="s">
        <v>171</v>
      </c>
    </row>
    <row r="1302" spans="1:9" ht="15" customHeight="1" x14ac:dyDescent="0.35">
      <c r="A1302">
        <v>2023</v>
      </c>
      <c r="B1302" t="s">
        <v>155</v>
      </c>
      <c r="C1302">
        <v>8</v>
      </c>
      <c r="D1302" t="s">
        <v>90</v>
      </c>
      <c r="E1302">
        <v>10248</v>
      </c>
      <c r="F1302">
        <v>12720</v>
      </c>
      <c r="G1302">
        <v>8022</v>
      </c>
      <c r="H1302" t="s">
        <v>75</v>
      </c>
      <c r="I1302" t="s">
        <v>171</v>
      </c>
    </row>
    <row r="1303" spans="1:9" ht="15" customHeight="1" x14ac:dyDescent="0.35">
      <c r="A1303">
        <v>2023</v>
      </c>
      <c r="B1303" t="s">
        <v>156</v>
      </c>
      <c r="C1303">
        <v>9</v>
      </c>
      <c r="D1303" t="s">
        <v>90</v>
      </c>
      <c r="E1303">
        <v>9487</v>
      </c>
      <c r="F1303">
        <v>12570</v>
      </c>
      <c r="G1303">
        <v>6463</v>
      </c>
      <c r="H1303" t="s">
        <v>75</v>
      </c>
      <c r="I1303" t="s">
        <v>171</v>
      </c>
    </row>
    <row r="1304" spans="1:9" ht="15" customHeight="1" x14ac:dyDescent="0.35">
      <c r="A1304">
        <v>2023</v>
      </c>
      <c r="B1304" t="s">
        <v>157</v>
      </c>
      <c r="C1304">
        <v>10</v>
      </c>
      <c r="D1304" t="s">
        <v>90</v>
      </c>
      <c r="E1304">
        <v>7248</v>
      </c>
      <c r="F1304">
        <v>9716</v>
      </c>
      <c r="G1304">
        <v>3782</v>
      </c>
      <c r="H1304" t="s">
        <v>75</v>
      </c>
      <c r="I1304" t="s">
        <v>171</v>
      </c>
    </row>
    <row r="1305" spans="1:9" ht="15" customHeight="1" x14ac:dyDescent="0.35">
      <c r="A1305">
        <v>2023</v>
      </c>
      <c r="B1305" t="s">
        <v>158</v>
      </c>
      <c r="C1305">
        <v>11</v>
      </c>
      <c r="D1305" t="s">
        <v>90</v>
      </c>
      <c r="E1305">
        <v>5516</v>
      </c>
      <c r="F1305">
        <v>7414</v>
      </c>
      <c r="G1305">
        <v>2847</v>
      </c>
      <c r="H1305" t="s">
        <v>75</v>
      </c>
      <c r="I1305" t="s">
        <v>171</v>
      </c>
    </row>
    <row r="1306" spans="1:9" ht="15" customHeight="1" x14ac:dyDescent="0.35">
      <c r="A1306">
        <v>2023</v>
      </c>
      <c r="B1306" t="s">
        <v>159</v>
      </c>
      <c r="C1306">
        <v>12</v>
      </c>
      <c r="D1306" t="s">
        <v>90</v>
      </c>
      <c r="E1306">
        <v>6010</v>
      </c>
      <c r="F1306">
        <v>8126</v>
      </c>
      <c r="G1306">
        <v>3664</v>
      </c>
      <c r="H1306" t="s">
        <v>75</v>
      </c>
      <c r="I1306" t="s">
        <v>171</v>
      </c>
    </row>
    <row r="1307" spans="1:9" ht="15" customHeight="1" x14ac:dyDescent="0.35">
      <c r="A1307">
        <v>2024</v>
      </c>
      <c r="B1307" t="s">
        <v>147</v>
      </c>
      <c r="C1307">
        <v>1</v>
      </c>
      <c r="D1307" t="s">
        <v>90</v>
      </c>
      <c r="E1307">
        <v>6639</v>
      </c>
      <c r="F1307">
        <v>9380</v>
      </c>
      <c r="G1307">
        <v>3950</v>
      </c>
      <c r="H1307" t="s">
        <v>75</v>
      </c>
      <c r="I1307" t="s">
        <v>171</v>
      </c>
    </row>
    <row r="1308" spans="1:9" ht="15" customHeight="1" x14ac:dyDescent="0.35">
      <c r="A1308">
        <v>2024</v>
      </c>
      <c r="B1308" t="s">
        <v>149</v>
      </c>
      <c r="C1308">
        <v>2</v>
      </c>
      <c r="D1308" t="s">
        <v>90</v>
      </c>
      <c r="E1308">
        <v>6110</v>
      </c>
      <c r="F1308">
        <v>8665</v>
      </c>
      <c r="G1308">
        <v>3636</v>
      </c>
      <c r="H1308" t="s">
        <v>75</v>
      </c>
      <c r="I1308" t="s">
        <v>171</v>
      </c>
    </row>
    <row r="1309" spans="1:9" ht="15" customHeight="1" x14ac:dyDescent="0.35">
      <c r="A1309">
        <v>2024</v>
      </c>
      <c r="B1309" t="s">
        <v>150</v>
      </c>
      <c r="C1309">
        <v>3</v>
      </c>
      <c r="D1309" t="s">
        <v>90</v>
      </c>
      <c r="E1309">
        <v>5786</v>
      </c>
      <c r="F1309">
        <v>7668</v>
      </c>
      <c r="G1309">
        <v>3559</v>
      </c>
      <c r="H1309" t="s">
        <v>75</v>
      </c>
      <c r="I1309" t="s">
        <v>171</v>
      </c>
    </row>
    <row r="1310" spans="1:9" ht="15" customHeight="1" x14ac:dyDescent="0.35">
      <c r="A1310">
        <v>2024</v>
      </c>
      <c r="B1310" t="s">
        <v>151</v>
      </c>
      <c r="C1310">
        <v>4</v>
      </c>
      <c r="D1310" t="s">
        <v>90</v>
      </c>
      <c r="E1310">
        <v>5798</v>
      </c>
      <c r="F1310">
        <v>7668</v>
      </c>
      <c r="G1310">
        <v>3559</v>
      </c>
      <c r="H1310" t="s">
        <v>77</v>
      </c>
      <c r="I1310" t="s">
        <v>171</v>
      </c>
    </row>
    <row r="1311" spans="1:9" ht="15" customHeight="1" x14ac:dyDescent="0.35">
      <c r="A1311">
        <v>2024</v>
      </c>
      <c r="B1311" t="s">
        <v>152</v>
      </c>
      <c r="C1311">
        <v>5</v>
      </c>
      <c r="D1311" t="s">
        <v>90</v>
      </c>
      <c r="E1311">
        <v>9235</v>
      </c>
      <c r="F1311">
        <v>12406</v>
      </c>
      <c r="G1311">
        <v>2798</v>
      </c>
      <c r="H1311" t="s">
        <v>77</v>
      </c>
      <c r="I1311" t="s">
        <v>171</v>
      </c>
    </row>
    <row r="1312" spans="1:9" ht="15" customHeight="1" x14ac:dyDescent="0.35">
      <c r="A1312">
        <v>2024</v>
      </c>
      <c r="B1312" t="s">
        <v>153</v>
      </c>
      <c r="C1312">
        <v>6</v>
      </c>
      <c r="D1312" t="s">
        <v>90</v>
      </c>
      <c r="E1312">
        <v>10918</v>
      </c>
      <c r="F1312">
        <v>14486</v>
      </c>
      <c r="G1312">
        <v>6171</v>
      </c>
      <c r="H1312" t="s">
        <v>77</v>
      </c>
      <c r="I1312" t="s">
        <v>171</v>
      </c>
    </row>
    <row r="1313" spans="1:9" ht="15" customHeight="1" x14ac:dyDescent="0.35">
      <c r="A1313">
        <v>2024</v>
      </c>
      <c r="B1313" t="s">
        <v>154</v>
      </c>
      <c r="C1313">
        <v>7</v>
      </c>
      <c r="D1313" t="s">
        <v>90</v>
      </c>
      <c r="E1313">
        <v>11297</v>
      </c>
      <c r="F1313">
        <v>14740</v>
      </c>
      <c r="G1313">
        <v>7366</v>
      </c>
      <c r="H1313" t="s">
        <v>77</v>
      </c>
      <c r="I1313" t="s">
        <v>171</v>
      </c>
    </row>
    <row r="1314" spans="1:9" ht="15" customHeight="1" x14ac:dyDescent="0.35">
      <c r="A1314">
        <v>2024</v>
      </c>
      <c r="B1314" t="s">
        <v>155</v>
      </c>
      <c r="C1314">
        <v>8</v>
      </c>
      <c r="D1314" t="s">
        <v>90</v>
      </c>
      <c r="E1314">
        <v>9756</v>
      </c>
      <c r="F1314">
        <v>12511</v>
      </c>
      <c r="G1314">
        <v>6569</v>
      </c>
      <c r="H1314" t="s">
        <v>77</v>
      </c>
      <c r="I1314" t="s">
        <v>171</v>
      </c>
    </row>
    <row r="1315" spans="1:9" ht="15" customHeight="1" x14ac:dyDescent="0.35">
      <c r="A1315">
        <v>2024</v>
      </c>
      <c r="B1315" t="s">
        <v>156</v>
      </c>
      <c r="C1315">
        <v>9</v>
      </c>
      <c r="D1315" t="s">
        <v>90</v>
      </c>
      <c r="E1315">
        <v>9130</v>
      </c>
      <c r="F1315">
        <v>12337</v>
      </c>
      <c r="G1315">
        <v>6396</v>
      </c>
      <c r="H1315" t="s">
        <v>77</v>
      </c>
      <c r="I1315" t="s">
        <v>171</v>
      </c>
    </row>
    <row r="1316" spans="1:9" ht="15" customHeight="1" x14ac:dyDescent="0.35">
      <c r="A1316">
        <v>2024</v>
      </c>
      <c r="B1316" t="s">
        <v>157</v>
      </c>
      <c r="C1316">
        <v>10</v>
      </c>
      <c r="D1316" t="s">
        <v>90</v>
      </c>
      <c r="E1316">
        <v>8425</v>
      </c>
      <c r="F1316">
        <v>11046</v>
      </c>
      <c r="G1316">
        <v>4917</v>
      </c>
      <c r="H1316" t="s">
        <v>77</v>
      </c>
      <c r="I1316" t="s">
        <v>171</v>
      </c>
    </row>
    <row r="1317" spans="1:9" ht="15" customHeight="1" x14ac:dyDescent="0.35">
      <c r="A1317">
        <v>2024</v>
      </c>
      <c r="B1317" t="s">
        <v>158</v>
      </c>
      <c r="C1317">
        <v>11</v>
      </c>
      <c r="D1317" t="s">
        <v>90</v>
      </c>
      <c r="E1317">
        <v>6123</v>
      </c>
      <c r="F1317">
        <v>7821</v>
      </c>
      <c r="G1317">
        <v>3892</v>
      </c>
      <c r="H1317" t="s">
        <v>77</v>
      </c>
      <c r="I1317" t="s">
        <v>171</v>
      </c>
    </row>
    <row r="1318" spans="1:9" ht="15" customHeight="1" x14ac:dyDescent="0.35">
      <c r="A1318">
        <v>2024</v>
      </c>
      <c r="B1318" t="s">
        <v>159</v>
      </c>
      <c r="C1318">
        <v>12</v>
      </c>
      <c r="D1318" t="s">
        <v>90</v>
      </c>
      <c r="E1318">
        <v>6416</v>
      </c>
      <c r="F1318">
        <v>9375</v>
      </c>
      <c r="G1318">
        <v>3343</v>
      </c>
      <c r="H1318" t="s">
        <v>77</v>
      </c>
      <c r="I1318" t="s">
        <v>171</v>
      </c>
    </row>
    <row r="1319" spans="1:9" ht="15" customHeight="1" x14ac:dyDescent="0.35">
      <c r="A1319">
        <v>2025</v>
      </c>
      <c r="B1319" t="s">
        <v>147</v>
      </c>
      <c r="C1319">
        <v>1</v>
      </c>
      <c r="D1319" t="s">
        <v>90</v>
      </c>
      <c r="E1319">
        <v>6407</v>
      </c>
      <c r="F1319">
        <v>9168</v>
      </c>
      <c r="G1319">
        <v>3983</v>
      </c>
      <c r="H1319" t="s">
        <v>77</v>
      </c>
      <c r="I1319" t="s">
        <v>171</v>
      </c>
    </row>
    <row r="1320" spans="1:9" ht="15" customHeight="1" x14ac:dyDescent="0.35">
      <c r="A1320">
        <v>2025</v>
      </c>
      <c r="B1320" t="s">
        <v>149</v>
      </c>
      <c r="C1320">
        <v>2</v>
      </c>
      <c r="D1320" t="s">
        <v>90</v>
      </c>
      <c r="E1320">
        <v>6632</v>
      </c>
      <c r="F1320">
        <v>9579</v>
      </c>
      <c r="G1320">
        <v>4140</v>
      </c>
      <c r="H1320" t="s">
        <v>77</v>
      </c>
      <c r="I1320" t="s">
        <v>171</v>
      </c>
    </row>
    <row r="1321" spans="1:9" ht="15" customHeight="1" x14ac:dyDescent="0.35">
      <c r="A1321">
        <v>2025</v>
      </c>
      <c r="B1321" t="s">
        <v>150</v>
      </c>
      <c r="C1321">
        <v>3</v>
      </c>
      <c r="D1321" t="s">
        <v>90</v>
      </c>
      <c r="E1321">
        <v>6216</v>
      </c>
      <c r="F1321">
        <v>8779</v>
      </c>
      <c r="G1321">
        <v>3044</v>
      </c>
      <c r="H1321" t="s">
        <v>77</v>
      </c>
      <c r="I1321" t="s">
        <v>171</v>
      </c>
    </row>
    <row r="1322" spans="1:9" ht="15" customHeight="1" x14ac:dyDescent="0.35">
      <c r="A1322">
        <v>2025</v>
      </c>
      <c r="B1322" t="s">
        <v>151</v>
      </c>
      <c r="C1322">
        <v>4</v>
      </c>
      <c r="D1322" t="s">
        <v>90</v>
      </c>
      <c r="E1322">
        <v>7322</v>
      </c>
      <c r="F1322">
        <v>9886</v>
      </c>
      <c r="G1322">
        <v>2581</v>
      </c>
      <c r="H1322" t="s">
        <v>78</v>
      </c>
      <c r="I1322" t="s">
        <v>171</v>
      </c>
    </row>
    <row r="1323" spans="1:9" ht="15" customHeight="1" x14ac:dyDescent="0.35">
      <c r="A1323">
        <v>2025</v>
      </c>
      <c r="B1323" t="s">
        <v>152</v>
      </c>
      <c r="C1323">
        <v>5</v>
      </c>
      <c r="D1323" t="s">
        <v>90</v>
      </c>
      <c r="E1323">
        <v>8438</v>
      </c>
      <c r="F1323">
        <v>12526</v>
      </c>
      <c r="G1323">
        <v>2454</v>
      </c>
      <c r="H1323" t="s">
        <v>78</v>
      </c>
      <c r="I1323" t="s">
        <v>171</v>
      </c>
    </row>
    <row r="1324" spans="1:9" ht="15" customHeight="1" x14ac:dyDescent="0.35">
      <c r="A1324">
        <v>2025</v>
      </c>
      <c r="B1324" t="s">
        <v>153</v>
      </c>
      <c r="C1324">
        <v>6</v>
      </c>
      <c r="D1324" t="s">
        <v>90</v>
      </c>
      <c r="E1324">
        <v>10276</v>
      </c>
      <c r="F1324">
        <v>13553</v>
      </c>
      <c r="G1324">
        <v>5397</v>
      </c>
      <c r="H1324" t="s">
        <v>78</v>
      </c>
      <c r="I1324" t="s">
        <v>171</v>
      </c>
    </row>
    <row r="1325" spans="1:9" ht="15" customHeight="1" x14ac:dyDescent="0.35">
      <c r="A1325">
        <v>2025</v>
      </c>
      <c r="B1325" t="s">
        <v>154</v>
      </c>
      <c r="C1325">
        <v>7</v>
      </c>
      <c r="D1325" t="s">
        <v>90</v>
      </c>
      <c r="E1325">
        <v>10803</v>
      </c>
      <c r="F1325">
        <v>14166</v>
      </c>
      <c r="G1325">
        <v>7873</v>
      </c>
      <c r="H1325" t="s">
        <v>78</v>
      </c>
      <c r="I1325" t="s">
        <v>171</v>
      </c>
    </row>
    <row r="1326" spans="1:9" ht="15" customHeight="1" x14ac:dyDescent="0.35">
      <c r="A1326">
        <v>2025</v>
      </c>
      <c r="B1326" t="s">
        <v>155</v>
      </c>
      <c r="C1326">
        <v>8</v>
      </c>
      <c r="D1326" t="s">
        <v>90</v>
      </c>
      <c r="E1326">
        <v>9647</v>
      </c>
      <c r="F1326">
        <v>12985</v>
      </c>
      <c r="G1326">
        <v>6876</v>
      </c>
      <c r="H1326" t="s">
        <v>78</v>
      </c>
      <c r="I1326" t="s">
        <v>171</v>
      </c>
    </row>
    <row r="1327" spans="1:9" ht="15" customHeight="1" x14ac:dyDescent="0.35">
      <c r="A1327">
        <v>2025</v>
      </c>
      <c r="B1327" t="s">
        <v>156</v>
      </c>
      <c r="C1327">
        <v>9</v>
      </c>
      <c r="D1327" t="s">
        <v>90</v>
      </c>
      <c r="E1327">
        <v>9700</v>
      </c>
      <c r="F1327">
        <v>12849</v>
      </c>
      <c r="G1327">
        <v>5977</v>
      </c>
      <c r="H1327" t="s">
        <v>78</v>
      </c>
      <c r="I1327" t="s">
        <v>171</v>
      </c>
    </row>
    <row r="1328" spans="1:9" ht="15" customHeight="1" x14ac:dyDescent="0.35">
      <c r="A1328">
        <v>2025</v>
      </c>
      <c r="B1328" t="s">
        <v>157</v>
      </c>
      <c r="C1328">
        <v>10</v>
      </c>
      <c r="D1328" t="s">
        <v>90</v>
      </c>
      <c r="E1328">
        <v>7418</v>
      </c>
      <c r="F1328">
        <v>11352</v>
      </c>
      <c r="G1328">
        <v>4466</v>
      </c>
      <c r="H1328" t="s">
        <v>78</v>
      </c>
      <c r="I1328" t="s">
        <v>171</v>
      </c>
    </row>
    <row r="1329" spans="1:9" ht="15" customHeight="1" x14ac:dyDescent="0.35">
      <c r="A1329">
        <v>2025</v>
      </c>
      <c r="B1329" t="s">
        <v>158</v>
      </c>
      <c r="C1329">
        <v>11</v>
      </c>
      <c r="D1329" t="s">
        <v>90</v>
      </c>
      <c r="E1329">
        <v>6432</v>
      </c>
      <c r="F1329">
        <v>8729</v>
      </c>
      <c r="G1329">
        <v>4213</v>
      </c>
      <c r="H1329" t="s">
        <v>78</v>
      </c>
      <c r="I1329" t="s">
        <v>171</v>
      </c>
    </row>
    <row r="1330" spans="1:9" ht="15" customHeight="1" x14ac:dyDescent="0.35">
      <c r="A1330">
        <v>2025</v>
      </c>
      <c r="B1330" t="s">
        <v>159</v>
      </c>
      <c r="C1330">
        <v>12</v>
      </c>
      <c r="D1330" t="s">
        <v>90</v>
      </c>
      <c r="E1330">
        <v>7055</v>
      </c>
      <c r="F1330">
        <v>9491</v>
      </c>
      <c r="G1330">
        <v>4512</v>
      </c>
      <c r="H1330" t="s">
        <v>78</v>
      </c>
      <c r="I1330" t="s">
        <v>171</v>
      </c>
    </row>
    <row r="1331" spans="1:9" ht="15" customHeight="1" x14ac:dyDescent="0.35">
      <c r="A1331">
        <v>2026</v>
      </c>
      <c r="B1331" t="s">
        <v>147</v>
      </c>
      <c r="C1331">
        <v>1</v>
      </c>
      <c r="D1331" t="s">
        <v>90</v>
      </c>
      <c r="E1331">
        <v>7047</v>
      </c>
      <c r="F1331">
        <v>10326</v>
      </c>
      <c r="G1331">
        <v>4210</v>
      </c>
      <c r="H1331" t="s">
        <v>78</v>
      </c>
      <c r="I1331" t="s">
        <v>171</v>
      </c>
    </row>
    <row r="1332" spans="1:9" ht="15" customHeight="1" x14ac:dyDescent="0.35">
      <c r="A1332">
        <v>2026</v>
      </c>
      <c r="B1332" t="s">
        <v>149</v>
      </c>
      <c r="C1332">
        <v>2</v>
      </c>
      <c r="D1332" t="s">
        <v>90</v>
      </c>
      <c r="E1332">
        <v>6900</v>
      </c>
      <c r="F1332">
        <v>9607</v>
      </c>
      <c r="G1332">
        <v>4509</v>
      </c>
      <c r="H1332" t="s">
        <v>78</v>
      </c>
      <c r="I1332" t="s">
        <v>171</v>
      </c>
    </row>
    <row r="1333" spans="1:9" ht="15" customHeight="1" x14ac:dyDescent="0.35">
      <c r="A1333">
        <v>2026</v>
      </c>
      <c r="B1333" t="s">
        <v>150</v>
      </c>
      <c r="C1333">
        <v>3</v>
      </c>
      <c r="D1333" t="s">
        <v>90</v>
      </c>
      <c r="E1333">
        <v>7047</v>
      </c>
      <c r="F1333">
        <v>10326</v>
      </c>
      <c r="G1333">
        <v>4210</v>
      </c>
      <c r="H1333" t="s">
        <v>78</v>
      </c>
      <c r="I1333" t="s">
        <v>171</v>
      </c>
    </row>
    <row r="1334" spans="1:9" ht="15" customHeight="1" x14ac:dyDescent="0.35">
      <c r="A1334">
        <v>2017</v>
      </c>
      <c r="B1334" t="s">
        <v>147</v>
      </c>
      <c r="C1334">
        <v>1</v>
      </c>
      <c r="D1334" t="s">
        <v>91</v>
      </c>
      <c r="E1334">
        <v>1067</v>
      </c>
      <c r="F1334">
        <v>1512</v>
      </c>
      <c r="G1334">
        <v>451</v>
      </c>
      <c r="H1334" t="s">
        <v>122</v>
      </c>
      <c r="I1334" t="s">
        <v>172</v>
      </c>
    </row>
    <row r="1335" spans="1:9" ht="15" customHeight="1" x14ac:dyDescent="0.35">
      <c r="A1335">
        <v>2017</v>
      </c>
      <c r="B1335" t="s">
        <v>149</v>
      </c>
      <c r="C1335">
        <v>2</v>
      </c>
      <c r="D1335" t="s">
        <v>91</v>
      </c>
      <c r="E1335">
        <v>928</v>
      </c>
      <c r="F1335">
        <v>1450</v>
      </c>
      <c r="G1335">
        <v>485</v>
      </c>
      <c r="H1335" t="s">
        <v>122</v>
      </c>
      <c r="I1335" t="s">
        <v>172</v>
      </c>
    </row>
    <row r="1336" spans="1:9" ht="15" customHeight="1" x14ac:dyDescent="0.35">
      <c r="A1336">
        <v>2017</v>
      </c>
      <c r="B1336" t="s">
        <v>150</v>
      </c>
      <c r="C1336">
        <v>3</v>
      </c>
      <c r="D1336" t="s">
        <v>91</v>
      </c>
      <c r="E1336">
        <v>899</v>
      </c>
      <c r="F1336">
        <v>1323</v>
      </c>
      <c r="G1336">
        <v>352</v>
      </c>
      <c r="H1336" t="s">
        <v>122</v>
      </c>
      <c r="I1336" t="s">
        <v>172</v>
      </c>
    </row>
    <row r="1337" spans="1:9" ht="15" customHeight="1" x14ac:dyDescent="0.35">
      <c r="A1337">
        <v>2017</v>
      </c>
      <c r="B1337" t="s">
        <v>151</v>
      </c>
      <c r="C1337">
        <v>4</v>
      </c>
      <c r="D1337" t="s">
        <v>91</v>
      </c>
      <c r="E1337">
        <v>888</v>
      </c>
      <c r="F1337">
        <v>1362</v>
      </c>
      <c r="G1337">
        <v>366</v>
      </c>
      <c r="H1337" t="s">
        <v>123</v>
      </c>
      <c r="I1337" t="s">
        <v>172</v>
      </c>
    </row>
    <row r="1338" spans="1:9" ht="15" customHeight="1" x14ac:dyDescent="0.35">
      <c r="A1338">
        <v>2017</v>
      </c>
      <c r="B1338" t="s">
        <v>152</v>
      </c>
      <c r="C1338">
        <v>5</v>
      </c>
      <c r="D1338" t="s">
        <v>91</v>
      </c>
      <c r="E1338">
        <v>1030</v>
      </c>
      <c r="F1338">
        <v>1334</v>
      </c>
      <c r="G1338">
        <v>658</v>
      </c>
      <c r="H1338" t="s">
        <v>123</v>
      </c>
      <c r="I1338" t="s">
        <v>172</v>
      </c>
    </row>
    <row r="1339" spans="1:9" ht="15" customHeight="1" x14ac:dyDescent="0.35">
      <c r="A1339">
        <v>2017</v>
      </c>
      <c r="B1339" t="s">
        <v>153</v>
      </c>
      <c r="C1339">
        <v>6</v>
      </c>
      <c r="D1339" t="s">
        <v>91</v>
      </c>
      <c r="E1339">
        <v>1084</v>
      </c>
      <c r="F1339">
        <v>1341</v>
      </c>
      <c r="G1339">
        <v>525</v>
      </c>
      <c r="H1339" t="s">
        <v>123</v>
      </c>
      <c r="I1339" t="s">
        <v>172</v>
      </c>
    </row>
    <row r="1340" spans="1:9" ht="15" customHeight="1" x14ac:dyDescent="0.35">
      <c r="A1340">
        <v>2017</v>
      </c>
      <c r="B1340" t="s">
        <v>154</v>
      </c>
      <c r="C1340">
        <v>7</v>
      </c>
      <c r="D1340" t="s">
        <v>91</v>
      </c>
      <c r="E1340">
        <v>1098</v>
      </c>
      <c r="F1340">
        <v>1389</v>
      </c>
      <c r="G1340">
        <v>670</v>
      </c>
      <c r="H1340" t="s">
        <v>123</v>
      </c>
      <c r="I1340" t="s">
        <v>172</v>
      </c>
    </row>
    <row r="1341" spans="1:9" ht="15" customHeight="1" x14ac:dyDescent="0.35">
      <c r="A1341">
        <v>2017</v>
      </c>
      <c r="B1341" t="s">
        <v>155</v>
      </c>
      <c r="C1341">
        <v>8</v>
      </c>
      <c r="D1341" t="s">
        <v>91</v>
      </c>
      <c r="E1341">
        <v>1098</v>
      </c>
      <c r="F1341">
        <v>1340</v>
      </c>
      <c r="G1341">
        <v>652</v>
      </c>
      <c r="H1341" t="s">
        <v>123</v>
      </c>
      <c r="I1341" t="s">
        <v>172</v>
      </c>
    </row>
    <row r="1342" spans="1:9" ht="15" customHeight="1" x14ac:dyDescent="0.35">
      <c r="A1342">
        <v>2017</v>
      </c>
      <c r="B1342" t="s">
        <v>156</v>
      </c>
      <c r="C1342">
        <v>9</v>
      </c>
      <c r="D1342" t="s">
        <v>91</v>
      </c>
      <c r="E1342">
        <v>1108</v>
      </c>
      <c r="F1342">
        <v>1415</v>
      </c>
      <c r="G1342">
        <v>776</v>
      </c>
      <c r="H1342" t="s">
        <v>123</v>
      </c>
      <c r="I1342" t="s">
        <v>172</v>
      </c>
    </row>
    <row r="1343" spans="1:9" ht="15" customHeight="1" x14ac:dyDescent="0.35">
      <c r="A1343">
        <v>2017</v>
      </c>
      <c r="B1343" t="s">
        <v>157</v>
      </c>
      <c r="C1343">
        <v>10</v>
      </c>
      <c r="D1343" t="s">
        <v>91</v>
      </c>
      <c r="E1343">
        <v>1027</v>
      </c>
      <c r="F1343">
        <v>1403</v>
      </c>
      <c r="G1343">
        <v>435</v>
      </c>
      <c r="H1343" t="s">
        <v>123</v>
      </c>
      <c r="I1343" t="s">
        <v>172</v>
      </c>
    </row>
    <row r="1344" spans="1:9" ht="15" customHeight="1" x14ac:dyDescent="0.35">
      <c r="A1344">
        <v>2017</v>
      </c>
      <c r="B1344" t="s">
        <v>158</v>
      </c>
      <c r="C1344">
        <v>11</v>
      </c>
      <c r="D1344" t="s">
        <v>91</v>
      </c>
      <c r="E1344">
        <v>1069</v>
      </c>
      <c r="F1344">
        <v>1467</v>
      </c>
      <c r="G1344">
        <v>700</v>
      </c>
      <c r="H1344" t="s">
        <v>123</v>
      </c>
      <c r="I1344" t="s">
        <v>172</v>
      </c>
    </row>
    <row r="1345" spans="1:9" ht="15" customHeight="1" x14ac:dyDescent="0.35">
      <c r="A1345">
        <v>2017</v>
      </c>
      <c r="B1345" t="s">
        <v>159</v>
      </c>
      <c r="C1345">
        <v>12</v>
      </c>
      <c r="D1345" t="s">
        <v>91</v>
      </c>
      <c r="E1345">
        <v>1136</v>
      </c>
      <c r="F1345">
        <v>1547</v>
      </c>
      <c r="G1345">
        <v>534</v>
      </c>
      <c r="H1345" t="s">
        <v>123</v>
      </c>
      <c r="I1345" t="s">
        <v>172</v>
      </c>
    </row>
    <row r="1346" spans="1:9" ht="15" customHeight="1" x14ac:dyDescent="0.35">
      <c r="A1346">
        <v>2018</v>
      </c>
      <c r="B1346" t="s">
        <v>147</v>
      </c>
      <c r="C1346">
        <v>1</v>
      </c>
      <c r="D1346" t="s">
        <v>91</v>
      </c>
      <c r="E1346">
        <v>1158</v>
      </c>
      <c r="F1346">
        <v>1585</v>
      </c>
      <c r="G1346">
        <v>748</v>
      </c>
      <c r="H1346" t="s">
        <v>123</v>
      </c>
      <c r="I1346" t="s">
        <v>172</v>
      </c>
    </row>
    <row r="1347" spans="1:9" ht="15" customHeight="1" x14ac:dyDescent="0.35">
      <c r="A1347">
        <v>2018</v>
      </c>
      <c r="B1347" t="s">
        <v>149</v>
      </c>
      <c r="C1347">
        <v>2</v>
      </c>
      <c r="D1347" t="s">
        <v>91</v>
      </c>
      <c r="E1347">
        <v>1107</v>
      </c>
      <c r="F1347">
        <v>1521</v>
      </c>
      <c r="G1347">
        <v>635</v>
      </c>
      <c r="H1347" t="s">
        <v>123</v>
      </c>
      <c r="I1347" t="s">
        <v>172</v>
      </c>
    </row>
    <row r="1348" spans="1:9" ht="15" customHeight="1" x14ac:dyDescent="0.35">
      <c r="A1348">
        <v>2018</v>
      </c>
      <c r="B1348" t="s">
        <v>150</v>
      </c>
      <c r="C1348">
        <v>3</v>
      </c>
      <c r="D1348" t="s">
        <v>91</v>
      </c>
      <c r="E1348">
        <v>1083</v>
      </c>
      <c r="F1348">
        <v>1542</v>
      </c>
      <c r="G1348">
        <v>418</v>
      </c>
      <c r="H1348" t="s">
        <v>123</v>
      </c>
      <c r="I1348" t="s">
        <v>172</v>
      </c>
    </row>
    <row r="1349" spans="1:9" ht="15" customHeight="1" x14ac:dyDescent="0.35">
      <c r="A1349">
        <v>2018</v>
      </c>
      <c r="B1349" t="s">
        <v>151</v>
      </c>
      <c r="C1349">
        <v>4</v>
      </c>
      <c r="D1349" t="s">
        <v>91</v>
      </c>
      <c r="E1349">
        <v>1072</v>
      </c>
      <c r="F1349">
        <v>1429</v>
      </c>
      <c r="G1349">
        <v>584</v>
      </c>
      <c r="H1349" t="s">
        <v>124</v>
      </c>
      <c r="I1349" t="s">
        <v>172</v>
      </c>
    </row>
    <row r="1350" spans="1:9" ht="15" customHeight="1" x14ac:dyDescent="0.35">
      <c r="A1350">
        <v>2018</v>
      </c>
      <c r="B1350" t="s">
        <v>152</v>
      </c>
      <c r="C1350">
        <v>5</v>
      </c>
      <c r="D1350" t="s">
        <v>91</v>
      </c>
      <c r="E1350">
        <v>1085</v>
      </c>
      <c r="F1350">
        <v>1363</v>
      </c>
      <c r="G1350">
        <v>761</v>
      </c>
      <c r="H1350" t="s">
        <v>124</v>
      </c>
      <c r="I1350" t="s">
        <v>172</v>
      </c>
    </row>
    <row r="1351" spans="1:9" ht="15" customHeight="1" x14ac:dyDescent="0.35">
      <c r="A1351">
        <v>2018</v>
      </c>
      <c r="B1351" t="s">
        <v>153</v>
      </c>
      <c r="C1351">
        <v>6</v>
      </c>
      <c r="D1351" t="s">
        <v>91</v>
      </c>
      <c r="E1351">
        <v>1152</v>
      </c>
      <c r="F1351">
        <v>1414</v>
      </c>
      <c r="G1351">
        <v>514</v>
      </c>
      <c r="H1351" t="s">
        <v>124</v>
      </c>
      <c r="I1351" t="s">
        <v>172</v>
      </c>
    </row>
    <row r="1352" spans="1:9" ht="15" customHeight="1" x14ac:dyDescent="0.35">
      <c r="A1352">
        <v>2018</v>
      </c>
      <c r="B1352" t="s">
        <v>154</v>
      </c>
      <c r="C1352">
        <v>7</v>
      </c>
      <c r="D1352" t="s">
        <v>91</v>
      </c>
      <c r="E1352">
        <v>1074</v>
      </c>
      <c r="F1352">
        <v>1412</v>
      </c>
      <c r="G1352">
        <v>613</v>
      </c>
      <c r="H1352" t="s">
        <v>124</v>
      </c>
      <c r="I1352" t="s">
        <v>172</v>
      </c>
    </row>
    <row r="1353" spans="1:9" ht="15" customHeight="1" x14ac:dyDescent="0.35">
      <c r="A1353">
        <v>2018</v>
      </c>
      <c r="B1353" t="s">
        <v>155</v>
      </c>
      <c r="C1353">
        <v>8</v>
      </c>
      <c r="D1353" t="s">
        <v>91</v>
      </c>
      <c r="E1353">
        <v>1055</v>
      </c>
      <c r="F1353">
        <v>1427</v>
      </c>
      <c r="G1353">
        <v>701</v>
      </c>
      <c r="H1353" t="s">
        <v>124</v>
      </c>
      <c r="I1353" t="s">
        <v>172</v>
      </c>
    </row>
    <row r="1354" spans="1:9" ht="15" customHeight="1" x14ac:dyDescent="0.35">
      <c r="A1354">
        <v>2018</v>
      </c>
      <c r="B1354" t="s">
        <v>156</v>
      </c>
      <c r="C1354">
        <v>9</v>
      </c>
      <c r="D1354" t="s">
        <v>91</v>
      </c>
      <c r="E1354">
        <v>1096</v>
      </c>
      <c r="F1354">
        <v>1403</v>
      </c>
      <c r="G1354">
        <v>799</v>
      </c>
      <c r="H1354" t="s">
        <v>124</v>
      </c>
      <c r="I1354" t="s">
        <v>172</v>
      </c>
    </row>
    <row r="1355" spans="1:9" ht="15" customHeight="1" x14ac:dyDescent="0.35">
      <c r="A1355">
        <v>2018</v>
      </c>
      <c r="B1355" t="s">
        <v>157</v>
      </c>
      <c r="C1355">
        <v>10</v>
      </c>
      <c r="D1355" t="s">
        <v>91</v>
      </c>
      <c r="E1355">
        <v>1080</v>
      </c>
      <c r="F1355">
        <v>1471</v>
      </c>
      <c r="G1355">
        <v>709</v>
      </c>
      <c r="H1355" t="s">
        <v>124</v>
      </c>
      <c r="I1355" t="s">
        <v>172</v>
      </c>
    </row>
    <row r="1356" spans="1:9" ht="15" customHeight="1" x14ac:dyDescent="0.35">
      <c r="A1356">
        <v>2018</v>
      </c>
      <c r="B1356" t="s">
        <v>158</v>
      </c>
      <c r="C1356">
        <v>11</v>
      </c>
      <c r="D1356" t="s">
        <v>91</v>
      </c>
      <c r="E1356">
        <v>1113</v>
      </c>
      <c r="F1356">
        <v>1590</v>
      </c>
      <c r="G1356">
        <v>426</v>
      </c>
      <c r="H1356" t="s">
        <v>124</v>
      </c>
      <c r="I1356" t="s">
        <v>172</v>
      </c>
    </row>
    <row r="1357" spans="1:9" ht="15" customHeight="1" x14ac:dyDescent="0.35">
      <c r="A1357">
        <v>2018</v>
      </c>
      <c r="B1357" t="s">
        <v>159</v>
      </c>
      <c r="C1357">
        <v>12</v>
      </c>
      <c r="D1357" t="s">
        <v>91</v>
      </c>
      <c r="E1357">
        <v>1228</v>
      </c>
      <c r="F1357">
        <v>1694</v>
      </c>
      <c r="G1357">
        <v>761</v>
      </c>
      <c r="H1357" t="s">
        <v>124</v>
      </c>
      <c r="I1357" t="s">
        <v>172</v>
      </c>
    </row>
    <row r="1358" spans="1:9" ht="15" customHeight="1" x14ac:dyDescent="0.35">
      <c r="A1358">
        <v>2019</v>
      </c>
      <c r="B1358" t="s">
        <v>147</v>
      </c>
      <c r="C1358">
        <v>1</v>
      </c>
      <c r="D1358" t="s">
        <v>91</v>
      </c>
      <c r="E1358">
        <v>1264</v>
      </c>
      <c r="F1358">
        <v>1701</v>
      </c>
      <c r="G1358">
        <v>758</v>
      </c>
      <c r="H1358" t="s">
        <v>124</v>
      </c>
      <c r="I1358" t="s">
        <v>172</v>
      </c>
    </row>
    <row r="1359" spans="1:9" ht="15" customHeight="1" x14ac:dyDescent="0.35">
      <c r="A1359">
        <v>2019</v>
      </c>
      <c r="B1359" t="s">
        <v>149</v>
      </c>
      <c r="C1359">
        <v>2</v>
      </c>
      <c r="D1359" t="s">
        <v>91</v>
      </c>
      <c r="E1359">
        <v>1188</v>
      </c>
      <c r="F1359">
        <v>1691</v>
      </c>
      <c r="G1359">
        <v>649</v>
      </c>
      <c r="H1359" t="s">
        <v>124</v>
      </c>
      <c r="I1359" t="s">
        <v>172</v>
      </c>
    </row>
    <row r="1360" spans="1:9" ht="15" customHeight="1" x14ac:dyDescent="0.35">
      <c r="A1360">
        <v>2019</v>
      </c>
      <c r="B1360" t="s">
        <v>150</v>
      </c>
      <c r="C1360">
        <v>3</v>
      </c>
      <c r="D1360" t="s">
        <v>91</v>
      </c>
      <c r="E1360">
        <v>1090</v>
      </c>
      <c r="F1360">
        <v>1664</v>
      </c>
      <c r="G1360">
        <v>417</v>
      </c>
      <c r="H1360" t="s">
        <v>124</v>
      </c>
      <c r="I1360" t="s">
        <v>172</v>
      </c>
    </row>
    <row r="1361" spans="1:9" ht="15" customHeight="1" x14ac:dyDescent="0.35">
      <c r="A1361">
        <v>2019</v>
      </c>
      <c r="B1361" t="s">
        <v>151</v>
      </c>
      <c r="C1361">
        <v>4</v>
      </c>
      <c r="D1361" t="s">
        <v>91</v>
      </c>
      <c r="E1361">
        <v>987</v>
      </c>
      <c r="F1361">
        <v>1333</v>
      </c>
      <c r="G1361">
        <v>493</v>
      </c>
      <c r="H1361" t="s">
        <v>71</v>
      </c>
      <c r="I1361" t="s">
        <v>172</v>
      </c>
    </row>
    <row r="1362" spans="1:9" ht="15" customHeight="1" x14ac:dyDescent="0.35">
      <c r="A1362">
        <v>2019</v>
      </c>
      <c r="B1362" t="s">
        <v>152</v>
      </c>
      <c r="C1362">
        <v>5</v>
      </c>
      <c r="D1362" t="s">
        <v>91</v>
      </c>
      <c r="E1362">
        <v>1063</v>
      </c>
      <c r="F1362">
        <v>1355</v>
      </c>
      <c r="G1362">
        <v>733</v>
      </c>
      <c r="H1362" t="s">
        <v>71</v>
      </c>
      <c r="I1362" t="s">
        <v>172</v>
      </c>
    </row>
    <row r="1363" spans="1:9" ht="15" customHeight="1" x14ac:dyDescent="0.35">
      <c r="A1363">
        <v>2019</v>
      </c>
      <c r="B1363" t="s">
        <v>153</v>
      </c>
      <c r="C1363">
        <v>6</v>
      </c>
      <c r="D1363" t="s">
        <v>91</v>
      </c>
      <c r="E1363">
        <v>1150</v>
      </c>
      <c r="F1363">
        <v>1443</v>
      </c>
      <c r="G1363">
        <v>671</v>
      </c>
      <c r="H1363" t="s">
        <v>71</v>
      </c>
      <c r="I1363" t="s">
        <v>172</v>
      </c>
    </row>
    <row r="1364" spans="1:9" ht="15" customHeight="1" x14ac:dyDescent="0.35">
      <c r="A1364">
        <v>2019</v>
      </c>
      <c r="B1364" t="s">
        <v>154</v>
      </c>
      <c r="C1364">
        <v>7</v>
      </c>
      <c r="D1364" t="s">
        <v>91</v>
      </c>
      <c r="E1364">
        <v>1122</v>
      </c>
      <c r="F1364">
        <v>1433</v>
      </c>
      <c r="G1364">
        <v>808</v>
      </c>
      <c r="H1364" t="s">
        <v>71</v>
      </c>
      <c r="I1364" t="s">
        <v>172</v>
      </c>
    </row>
    <row r="1365" spans="1:9" ht="15" customHeight="1" x14ac:dyDescent="0.35">
      <c r="A1365">
        <v>2019</v>
      </c>
      <c r="B1365" t="s">
        <v>155</v>
      </c>
      <c r="C1365">
        <v>8</v>
      </c>
      <c r="D1365" t="s">
        <v>91</v>
      </c>
      <c r="E1365">
        <v>1084</v>
      </c>
      <c r="F1365">
        <v>1471</v>
      </c>
      <c r="G1365">
        <v>645</v>
      </c>
      <c r="H1365" t="s">
        <v>71</v>
      </c>
      <c r="I1365" t="s">
        <v>172</v>
      </c>
    </row>
    <row r="1366" spans="1:9" ht="15" customHeight="1" x14ac:dyDescent="0.35">
      <c r="A1366">
        <v>2019</v>
      </c>
      <c r="B1366" t="s">
        <v>156</v>
      </c>
      <c r="C1366">
        <v>9</v>
      </c>
      <c r="D1366" t="s">
        <v>91</v>
      </c>
      <c r="E1366">
        <v>1173</v>
      </c>
      <c r="F1366">
        <v>1454</v>
      </c>
      <c r="G1366">
        <v>844</v>
      </c>
      <c r="H1366" t="s">
        <v>71</v>
      </c>
      <c r="I1366" t="s">
        <v>172</v>
      </c>
    </row>
    <row r="1367" spans="1:9" ht="15" customHeight="1" x14ac:dyDescent="0.35">
      <c r="A1367">
        <v>2019</v>
      </c>
      <c r="B1367" t="s">
        <v>157</v>
      </c>
      <c r="C1367">
        <v>10</v>
      </c>
      <c r="D1367" t="s">
        <v>91</v>
      </c>
      <c r="E1367">
        <v>1052</v>
      </c>
      <c r="F1367">
        <v>1440</v>
      </c>
      <c r="G1367">
        <v>491</v>
      </c>
      <c r="H1367" t="s">
        <v>71</v>
      </c>
      <c r="I1367" t="s">
        <v>172</v>
      </c>
    </row>
    <row r="1368" spans="1:9" ht="15" customHeight="1" x14ac:dyDescent="0.35">
      <c r="A1368">
        <v>2019</v>
      </c>
      <c r="B1368" t="s">
        <v>158</v>
      </c>
      <c r="C1368">
        <v>11</v>
      </c>
      <c r="D1368" t="s">
        <v>91</v>
      </c>
      <c r="E1368">
        <v>1145</v>
      </c>
      <c r="F1368">
        <v>1913</v>
      </c>
      <c r="G1368">
        <v>792</v>
      </c>
      <c r="H1368" t="s">
        <v>71</v>
      </c>
      <c r="I1368" t="s">
        <v>172</v>
      </c>
    </row>
    <row r="1369" spans="1:9" ht="15" customHeight="1" x14ac:dyDescent="0.35">
      <c r="A1369">
        <v>2019</v>
      </c>
      <c r="B1369" t="s">
        <v>159</v>
      </c>
      <c r="C1369">
        <v>12</v>
      </c>
      <c r="D1369" t="s">
        <v>91</v>
      </c>
      <c r="E1369">
        <v>1267</v>
      </c>
      <c r="F1369">
        <v>1767</v>
      </c>
      <c r="G1369">
        <v>594</v>
      </c>
      <c r="H1369" t="s">
        <v>71</v>
      </c>
      <c r="I1369" t="s">
        <v>172</v>
      </c>
    </row>
    <row r="1370" spans="1:9" ht="15" customHeight="1" x14ac:dyDescent="0.35">
      <c r="A1370">
        <v>2020</v>
      </c>
      <c r="B1370" t="s">
        <v>147</v>
      </c>
      <c r="C1370">
        <v>1</v>
      </c>
      <c r="D1370" t="s">
        <v>91</v>
      </c>
      <c r="E1370">
        <v>1284</v>
      </c>
      <c r="F1370">
        <v>1853</v>
      </c>
      <c r="G1370">
        <v>819</v>
      </c>
      <c r="H1370" t="s">
        <v>71</v>
      </c>
      <c r="I1370" t="s">
        <v>172</v>
      </c>
    </row>
    <row r="1371" spans="1:9" ht="15" customHeight="1" x14ac:dyDescent="0.35">
      <c r="A1371">
        <v>2020</v>
      </c>
      <c r="B1371" t="s">
        <v>149</v>
      </c>
      <c r="C1371">
        <v>2</v>
      </c>
      <c r="D1371" t="s">
        <v>91</v>
      </c>
      <c r="E1371">
        <v>1202</v>
      </c>
      <c r="F1371">
        <v>1759</v>
      </c>
      <c r="G1371">
        <v>745</v>
      </c>
      <c r="H1371" t="s">
        <v>71</v>
      </c>
      <c r="I1371" t="s">
        <v>172</v>
      </c>
    </row>
    <row r="1372" spans="1:9" ht="15" customHeight="1" x14ac:dyDescent="0.35">
      <c r="A1372">
        <v>2020</v>
      </c>
      <c r="B1372" t="s">
        <v>150</v>
      </c>
      <c r="C1372">
        <v>3</v>
      </c>
      <c r="D1372" t="s">
        <v>91</v>
      </c>
      <c r="E1372">
        <v>979</v>
      </c>
      <c r="F1372">
        <v>1635</v>
      </c>
      <c r="G1372">
        <v>386</v>
      </c>
      <c r="H1372" t="s">
        <v>71</v>
      </c>
      <c r="I1372" t="s">
        <v>172</v>
      </c>
    </row>
    <row r="1373" spans="1:9" ht="15" customHeight="1" x14ac:dyDescent="0.35">
      <c r="A1373">
        <v>2020</v>
      </c>
      <c r="B1373" t="s">
        <v>151</v>
      </c>
      <c r="C1373">
        <v>4</v>
      </c>
      <c r="D1373" t="s">
        <v>91</v>
      </c>
      <c r="E1373">
        <v>556</v>
      </c>
      <c r="F1373">
        <v>1014</v>
      </c>
      <c r="G1373">
        <v>270</v>
      </c>
      <c r="H1373" t="s">
        <v>72</v>
      </c>
      <c r="I1373" t="s">
        <v>172</v>
      </c>
    </row>
    <row r="1374" spans="1:9" ht="15" customHeight="1" x14ac:dyDescent="0.35">
      <c r="A1374">
        <v>2020</v>
      </c>
      <c r="B1374" t="s">
        <v>152</v>
      </c>
      <c r="C1374">
        <v>5</v>
      </c>
      <c r="D1374" t="s">
        <v>91</v>
      </c>
      <c r="E1374">
        <v>877</v>
      </c>
      <c r="F1374">
        <v>1281</v>
      </c>
      <c r="G1374">
        <v>334</v>
      </c>
      <c r="H1374" t="s">
        <v>72</v>
      </c>
      <c r="I1374" t="s">
        <v>172</v>
      </c>
    </row>
    <row r="1375" spans="1:9" ht="15" customHeight="1" x14ac:dyDescent="0.35">
      <c r="A1375">
        <v>2020</v>
      </c>
      <c r="B1375" t="s">
        <v>153</v>
      </c>
      <c r="C1375">
        <v>6</v>
      </c>
      <c r="D1375" t="s">
        <v>91</v>
      </c>
      <c r="E1375">
        <v>1140</v>
      </c>
      <c r="F1375">
        <v>1490</v>
      </c>
      <c r="G1375">
        <v>631</v>
      </c>
      <c r="H1375" t="s">
        <v>72</v>
      </c>
      <c r="I1375" t="s">
        <v>172</v>
      </c>
    </row>
    <row r="1376" spans="1:9" ht="15" customHeight="1" x14ac:dyDescent="0.35">
      <c r="A1376">
        <v>2020</v>
      </c>
      <c r="B1376" t="s">
        <v>154</v>
      </c>
      <c r="C1376">
        <v>7</v>
      </c>
      <c r="D1376" t="s">
        <v>91</v>
      </c>
      <c r="E1376">
        <v>1235</v>
      </c>
      <c r="F1376">
        <v>1560</v>
      </c>
      <c r="G1376">
        <v>808</v>
      </c>
      <c r="H1376" t="s">
        <v>72</v>
      </c>
      <c r="I1376" t="s">
        <v>172</v>
      </c>
    </row>
    <row r="1377" spans="1:9" ht="15" customHeight="1" x14ac:dyDescent="0.35">
      <c r="A1377">
        <v>2020</v>
      </c>
      <c r="B1377" t="s">
        <v>155</v>
      </c>
      <c r="C1377">
        <v>8</v>
      </c>
      <c r="D1377" t="s">
        <v>91</v>
      </c>
      <c r="E1377">
        <v>1244</v>
      </c>
      <c r="F1377">
        <v>1541</v>
      </c>
      <c r="G1377">
        <v>915</v>
      </c>
      <c r="H1377" t="s">
        <v>72</v>
      </c>
      <c r="I1377" t="s">
        <v>172</v>
      </c>
    </row>
    <row r="1378" spans="1:9" ht="15" customHeight="1" x14ac:dyDescent="0.35">
      <c r="A1378">
        <v>2020</v>
      </c>
      <c r="B1378" t="s">
        <v>156</v>
      </c>
      <c r="C1378">
        <v>9</v>
      </c>
      <c r="D1378" t="s">
        <v>91</v>
      </c>
      <c r="E1378">
        <v>1293</v>
      </c>
      <c r="F1378">
        <v>1557</v>
      </c>
      <c r="G1378">
        <v>798</v>
      </c>
      <c r="H1378" t="s">
        <v>72</v>
      </c>
      <c r="I1378" t="s">
        <v>172</v>
      </c>
    </row>
    <row r="1379" spans="1:9" ht="15" customHeight="1" x14ac:dyDescent="0.35">
      <c r="A1379">
        <v>2020</v>
      </c>
      <c r="B1379" t="s">
        <v>157</v>
      </c>
      <c r="C1379">
        <v>10</v>
      </c>
      <c r="D1379" t="s">
        <v>91</v>
      </c>
      <c r="E1379">
        <v>1199</v>
      </c>
      <c r="F1379">
        <v>1549</v>
      </c>
      <c r="G1379">
        <v>719</v>
      </c>
      <c r="H1379" t="s">
        <v>72</v>
      </c>
      <c r="I1379" t="s">
        <v>172</v>
      </c>
    </row>
    <row r="1380" spans="1:9" ht="15" customHeight="1" x14ac:dyDescent="0.35">
      <c r="A1380">
        <v>2020</v>
      </c>
      <c r="B1380" t="s">
        <v>158</v>
      </c>
      <c r="C1380">
        <v>11</v>
      </c>
      <c r="D1380" t="s">
        <v>91</v>
      </c>
      <c r="E1380">
        <v>1174</v>
      </c>
      <c r="F1380">
        <v>1715</v>
      </c>
      <c r="G1380">
        <v>421</v>
      </c>
      <c r="H1380" t="s">
        <v>72</v>
      </c>
      <c r="I1380" t="s">
        <v>172</v>
      </c>
    </row>
    <row r="1381" spans="1:9" ht="15" customHeight="1" x14ac:dyDescent="0.35">
      <c r="A1381">
        <v>2020</v>
      </c>
      <c r="B1381" t="s">
        <v>159</v>
      </c>
      <c r="C1381">
        <v>12</v>
      </c>
      <c r="D1381" t="s">
        <v>91</v>
      </c>
      <c r="E1381">
        <v>1304</v>
      </c>
      <c r="F1381">
        <v>1924</v>
      </c>
      <c r="G1381">
        <v>772</v>
      </c>
      <c r="H1381" t="s">
        <v>72</v>
      </c>
      <c r="I1381" t="s">
        <v>172</v>
      </c>
    </row>
    <row r="1382" spans="1:9" ht="15" customHeight="1" x14ac:dyDescent="0.35">
      <c r="A1382">
        <v>2021</v>
      </c>
      <c r="B1382" t="s">
        <v>147</v>
      </c>
      <c r="C1382">
        <v>1</v>
      </c>
      <c r="D1382" t="s">
        <v>91</v>
      </c>
      <c r="E1382">
        <v>1320</v>
      </c>
      <c r="F1382">
        <v>1911</v>
      </c>
      <c r="G1382">
        <v>781</v>
      </c>
      <c r="H1382" t="s">
        <v>72</v>
      </c>
      <c r="I1382" t="s">
        <v>172</v>
      </c>
    </row>
    <row r="1383" spans="1:9" ht="15" customHeight="1" x14ac:dyDescent="0.35">
      <c r="A1383">
        <v>2021</v>
      </c>
      <c r="B1383" t="s">
        <v>149</v>
      </c>
      <c r="C1383">
        <v>2</v>
      </c>
      <c r="D1383" t="s">
        <v>91</v>
      </c>
      <c r="E1383">
        <v>1269</v>
      </c>
      <c r="F1383">
        <v>1755</v>
      </c>
      <c r="G1383">
        <v>734</v>
      </c>
      <c r="H1383" t="s">
        <v>72</v>
      </c>
      <c r="I1383" t="s">
        <v>172</v>
      </c>
    </row>
    <row r="1384" spans="1:9" ht="15" customHeight="1" x14ac:dyDescent="0.35">
      <c r="A1384">
        <v>2021</v>
      </c>
      <c r="B1384" t="s">
        <v>150</v>
      </c>
      <c r="C1384">
        <v>3</v>
      </c>
      <c r="D1384" t="s">
        <v>91</v>
      </c>
      <c r="E1384">
        <v>1232</v>
      </c>
      <c r="F1384">
        <v>1777</v>
      </c>
      <c r="G1384">
        <v>468</v>
      </c>
      <c r="H1384" t="s">
        <v>72</v>
      </c>
      <c r="I1384" t="s">
        <v>172</v>
      </c>
    </row>
    <row r="1385" spans="1:9" ht="15" customHeight="1" x14ac:dyDescent="0.35">
      <c r="A1385">
        <v>2021</v>
      </c>
      <c r="B1385" t="s">
        <v>151</v>
      </c>
      <c r="C1385">
        <v>4</v>
      </c>
      <c r="D1385" t="s">
        <v>91</v>
      </c>
      <c r="E1385">
        <v>1142</v>
      </c>
      <c r="F1385">
        <v>1621</v>
      </c>
      <c r="G1385">
        <v>602</v>
      </c>
      <c r="H1385" t="s">
        <v>73</v>
      </c>
      <c r="I1385" t="s">
        <v>172</v>
      </c>
    </row>
    <row r="1386" spans="1:9" ht="15" customHeight="1" x14ac:dyDescent="0.35">
      <c r="A1386">
        <v>2021</v>
      </c>
      <c r="B1386" t="s">
        <v>152</v>
      </c>
      <c r="C1386">
        <v>5</v>
      </c>
      <c r="D1386" t="s">
        <v>91</v>
      </c>
      <c r="E1386">
        <v>1023</v>
      </c>
      <c r="F1386">
        <v>1368</v>
      </c>
      <c r="G1386">
        <v>628</v>
      </c>
      <c r="H1386" t="s">
        <v>73</v>
      </c>
      <c r="I1386" t="s">
        <v>172</v>
      </c>
    </row>
    <row r="1387" spans="1:9" ht="15" customHeight="1" x14ac:dyDescent="0.35">
      <c r="A1387">
        <v>2021</v>
      </c>
      <c r="B1387" t="s">
        <v>153</v>
      </c>
      <c r="C1387">
        <v>6</v>
      </c>
      <c r="D1387" t="s">
        <v>91</v>
      </c>
      <c r="E1387">
        <v>1152</v>
      </c>
      <c r="F1387">
        <v>1691</v>
      </c>
      <c r="G1387">
        <v>678</v>
      </c>
      <c r="H1387" t="s">
        <v>73</v>
      </c>
      <c r="I1387" t="s">
        <v>172</v>
      </c>
    </row>
    <row r="1388" spans="1:9" ht="15" customHeight="1" x14ac:dyDescent="0.35">
      <c r="A1388">
        <v>2021</v>
      </c>
      <c r="B1388" t="s">
        <v>154</v>
      </c>
      <c r="C1388">
        <v>7</v>
      </c>
      <c r="D1388" t="s">
        <v>91</v>
      </c>
      <c r="E1388">
        <v>1248</v>
      </c>
      <c r="F1388">
        <v>1618</v>
      </c>
      <c r="G1388">
        <v>834</v>
      </c>
      <c r="H1388" t="s">
        <v>73</v>
      </c>
      <c r="I1388" t="s">
        <v>172</v>
      </c>
    </row>
    <row r="1389" spans="1:9" ht="15" customHeight="1" x14ac:dyDescent="0.35">
      <c r="A1389">
        <v>2021</v>
      </c>
      <c r="B1389" t="s">
        <v>155</v>
      </c>
      <c r="C1389">
        <v>8</v>
      </c>
      <c r="D1389" t="s">
        <v>91</v>
      </c>
      <c r="E1389">
        <v>1259</v>
      </c>
      <c r="F1389">
        <v>1640</v>
      </c>
      <c r="G1389">
        <v>772</v>
      </c>
      <c r="H1389" t="s">
        <v>73</v>
      </c>
      <c r="I1389" t="s">
        <v>172</v>
      </c>
    </row>
    <row r="1390" spans="1:9" ht="15" customHeight="1" x14ac:dyDescent="0.35">
      <c r="A1390">
        <v>2021</v>
      </c>
      <c r="B1390" t="s">
        <v>156</v>
      </c>
      <c r="C1390">
        <v>9</v>
      </c>
      <c r="D1390" t="s">
        <v>91</v>
      </c>
      <c r="E1390">
        <v>1263</v>
      </c>
      <c r="F1390">
        <v>1562</v>
      </c>
      <c r="G1390">
        <v>866</v>
      </c>
      <c r="H1390" t="s">
        <v>73</v>
      </c>
      <c r="I1390" t="s">
        <v>172</v>
      </c>
    </row>
    <row r="1391" spans="1:9" ht="15" customHeight="1" x14ac:dyDescent="0.35">
      <c r="A1391">
        <v>2021</v>
      </c>
      <c r="B1391" t="s">
        <v>157</v>
      </c>
      <c r="C1391">
        <v>10</v>
      </c>
      <c r="D1391" t="s">
        <v>91</v>
      </c>
      <c r="E1391">
        <v>1283</v>
      </c>
      <c r="F1391">
        <v>1730</v>
      </c>
      <c r="G1391">
        <v>826</v>
      </c>
      <c r="H1391" t="s">
        <v>73</v>
      </c>
      <c r="I1391" t="s">
        <v>172</v>
      </c>
    </row>
    <row r="1392" spans="1:9" ht="15" customHeight="1" x14ac:dyDescent="0.35">
      <c r="A1392">
        <v>2021</v>
      </c>
      <c r="B1392" t="s">
        <v>158</v>
      </c>
      <c r="C1392">
        <v>11</v>
      </c>
      <c r="D1392" t="s">
        <v>91</v>
      </c>
      <c r="E1392">
        <v>1224</v>
      </c>
      <c r="F1392">
        <v>1781</v>
      </c>
      <c r="G1392">
        <v>531</v>
      </c>
      <c r="H1392" t="s">
        <v>73</v>
      </c>
      <c r="I1392" t="s">
        <v>172</v>
      </c>
    </row>
    <row r="1393" spans="1:9" ht="15" customHeight="1" x14ac:dyDescent="0.35">
      <c r="A1393">
        <v>2021</v>
      </c>
      <c r="B1393" t="s">
        <v>159</v>
      </c>
      <c r="C1393">
        <v>12</v>
      </c>
      <c r="D1393" t="s">
        <v>91</v>
      </c>
      <c r="E1393">
        <v>1404</v>
      </c>
      <c r="F1393">
        <v>1956</v>
      </c>
      <c r="G1393">
        <v>743</v>
      </c>
      <c r="H1393" t="s">
        <v>73</v>
      </c>
      <c r="I1393" t="s">
        <v>172</v>
      </c>
    </row>
    <row r="1394" spans="1:9" ht="15" customHeight="1" x14ac:dyDescent="0.35">
      <c r="A1394">
        <v>2022</v>
      </c>
      <c r="B1394" t="s">
        <v>147</v>
      </c>
      <c r="C1394">
        <v>1</v>
      </c>
      <c r="D1394" t="s">
        <v>91</v>
      </c>
      <c r="E1394">
        <v>1410</v>
      </c>
      <c r="F1394">
        <v>2025</v>
      </c>
      <c r="G1394">
        <v>792</v>
      </c>
      <c r="H1394" t="s">
        <v>73</v>
      </c>
      <c r="I1394" t="s">
        <v>172</v>
      </c>
    </row>
    <row r="1395" spans="1:9" ht="15" customHeight="1" x14ac:dyDescent="0.35">
      <c r="A1395">
        <v>2022</v>
      </c>
      <c r="B1395" t="s">
        <v>149</v>
      </c>
      <c r="C1395">
        <v>2</v>
      </c>
      <c r="D1395" t="s">
        <v>91</v>
      </c>
      <c r="E1395">
        <v>1389</v>
      </c>
      <c r="F1395">
        <v>1941</v>
      </c>
      <c r="G1395">
        <v>838</v>
      </c>
      <c r="H1395" t="s">
        <v>73</v>
      </c>
      <c r="I1395" t="s">
        <v>172</v>
      </c>
    </row>
    <row r="1396" spans="1:9" ht="15" customHeight="1" x14ac:dyDescent="0.35">
      <c r="A1396">
        <v>2022</v>
      </c>
      <c r="B1396" t="s">
        <v>150</v>
      </c>
      <c r="C1396">
        <v>3</v>
      </c>
      <c r="D1396" t="s">
        <v>91</v>
      </c>
      <c r="E1396">
        <v>1211</v>
      </c>
      <c r="F1396">
        <v>1827</v>
      </c>
      <c r="G1396">
        <v>439</v>
      </c>
      <c r="H1396" t="s">
        <v>73</v>
      </c>
      <c r="I1396" t="s">
        <v>172</v>
      </c>
    </row>
    <row r="1397" spans="1:9" ht="15" customHeight="1" x14ac:dyDescent="0.35">
      <c r="A1397">
        <v>2022</v>
      </c>
      <c r="B1397" t="s">
        <v>151</v>
      </c>
      <c r="C1397">
        <v>4</v>
      </c>
      <c r="D1397" t="s">
        <v>91</v>
      </c>
      <c r="E1397">
        <v>1269</v>
      </c>
      <c r="F1397">
        <v>1674</v>
      </c>
      <c r="G1397">
        <v>855</v>
      </c>
      <c r="H1397" t="s">
        <v>74</v>
      </c>
      <c r="I1397" t="s">
        <v>172</v>
      </c>
    </row>
    <row r="1398" spans="1:9" ht="15" customHeight="1" x14ac:dyDescent="0.35">
      <c r="A1398">
        <v>2022</v>
      </c>
      <c r="B1398" t="s">
        <v>152</v>
      </c>
      <c r="C1398">
        <v>5</v>
      </c>
      <c r="D1398" t="s">
        <v>91</v>
      </c>
      <c r="E1398">
        <v>1282</v>
      </c>
      <c r="F1398">
        <v>1598</v>
      </c>
      <c r="G1398">
        <v>538</v>
      </c>
      <c r="H1398" t="s">
        <v>74</v>
      </c>
      <c r="I1398" t="s">
        <v>172</v>
      </c>
    </row>
    <row r="1399" spans="1:9" ht="15" customHeight="1" x14ac:dyDescent="0.35">
      <c r="A1399">
        <v>2022</v>
      </c>
      <c r="B1399" t="s">
        <v>153</v>
      </c>
      <c r="C1399">
        <v>6</v>
      </c>
      <c r="D1399" t="s">
        <v>91</v>
      </c>
      <c r="E1399">
        <v>1368</v>
      </c>
      <c r="F1399">
        <v>1691</v>
      </c>
      <c r="G1399">
        <v>793</v>
      </c>
      <c r="H1399" t="s">
        <v>74</v>
      </c>
      <c r="I1399" t="s">
        <v>172</v>
      </c>
    </row>
    <row r="1400" spans="1:9" ht="15" customHeight="1" x14ac:dyDescent="0.35">
      <c r="A1400">
        <v>2022</v>
      </c>
      <c r="B1400" t="s">
        <v>154</v>
      </c>
      <c r="C1400">
        <v>7</v>
      </c>
      <c r="D1400" t="s">
        <v>91</v>
      </c>
      <c r="E1400">
        <v>1357</v>
      </c>
      <c r="F1400">
        <v>1766</v>
      </c>
      <c r="G1400">
        <v>1012</v>
      </c>
      <c r="H1400" t="s">
        <v>74</v>
      </c>
      <c r="I1400" t="s">
        <v>172</v>
      </c>
    </row>
    <row r="1401" spans="1:9" ht="15" customHeight="1" x14ac:dyDescent="0.35">
      <c r="A1401">
        <v>2022</v>
      </c>
      <c r="B1401" t="s">
        <v>155</v>
      </c>
      <c r="C1401">
        <v>8</v>
      </c>
      <c r="D1401" t="s">
        <v>91</v>
      </c>
      <c r="E1401">
        <v>1316</v>
      </c>
      <c r="F1401">
        <v>1687</v>
      </c>
      <c r="G1401">
        <v>949</v>
      </c>
      <c r="H1401" t="s">
        <v>74</v>
      </c>
      <c r="I1401" t="s">
        <v>172</v>
      </c>
    </row>
    <row r="1402" spans="1:9" ht="15" customHeight="1" x14ac:dyDescent="0.35">
      <c r="A1402">
        <v>2022</v>
      </c>
      <c r="B1402" t="s">
        <v>156</v>
      </c>
      <c r="C1402">
        <v>9</v>
      </c>
      <c r="D1402" t="s">
        <v>91</v>
      </c>
      <c r="E1402">
        <v>1336</v>
      </c>
      <c r="F1402">
        <v>1691</v>
      </c>
      <c r="G1402">
        <v>901</v>
      </c>
      <c r="H1402" t="s">
        <v>74</v>
      </c>
      <c r="I1402" t="s">
        <v>172</v>
      </c>
    </row>
    <row r="1403" spans="1:9" ht="15" customHeight="1" x14ac:dyDescent="0.35">
      <c r="A1403">
        <v>2022</v>
      </c>
      <c r="B1403" t="s">
        <v>157</v>
      </c>
      <c r="C1403">
        <v>10</v>
      </c>
      <c r="D1403" t="s">
        <v>91</v>
      </c>
      <c r="E1403">
        <v>1310</v>
      </c>
      <c r="F1403">
        <v>1759</v>
      </c>
      <c r="G1403">
        <v>489</v>
      </c>
      <c r="H1403" t="s">
        <v>74</v>
      </c>
      <c r="I1403" t="s">
        <v>172</v>
      </c>
    </row>
    <row r="1404" spans="1:9" ht="15" customHeight="1" x14ac:dyDescent="0.35">
      <c r="A1404">
        <v>2022</v>
      </c>
      <c r="B1404" t="s">
        <v>158</v>
      </c>
      <c r="C1404">
        <v>11</v>
      </c>
      <c r="D1404" t="s">
        <v>91</v>
      </c>
      <c r="E1404">
        <v>1368</v>
      </c>
      <c r="F1404">
        <v>1960</v>
      </c>
      <c r="G1404">
        <v>861</v>
      </c>
      <c r="H1404" t="s">
        <v>74</v>
      </c>
      <c r="I1404" t="s">
        <v>172</v>
      </c>
    </row>
    <row r="1405" spans="1:9" ht="15" customHeight="1" x14ac:dyDescent="0.35">
      <c r="A1405">
        <v>2022</v>
      </c>
      <c r="B1405" t="s">
        <v>159</v>
      </c>
      <c r="C1405">
        <v>12</v>
      </c>
      <c r="D1405" t="s">
        <v>91</v>
      </c>
      <c r="E1405">
        <v>1409</v>
      </c>
      <c r="F1405">
        <v>1990</v>
      </c>
      <c r="G1405">
        <v>856</v>
      </c>
      <c r="H1405" t="s">
        <v>74</v>
      </c>
      <c r="I1405" t="s">
        <v>172</v>
      </c>
    </row>
    <row r="1406" spans="1:9" ht="15" customHeight="1" x14ac:dyDescent="0.35">
      <c r="A1406">
        <v>2023</v>
      </c>
      <c r="B1406" t="s">
        <v>147</v>
      </c>
      <c r="C1406">
        <v>1</v>
      </c>
      <c r="D1406" t="s">
        <v>91</v>
      </c>
      <c r="E1406">
        <v>1456</v>
      </c>
      <c r="F1406">
        <v>2000</v>
      </c>
      <c r="G1406">
        <v>817</v>
      </c>
      <c r="H1406" t="s">
        <v>74</v>
      </c>
      <c r="I1406" t="s">
        <v>172</v>
      </c>
    </row>
    <row r="1407" spans="1:9" ht="15" customHeight="1" x14ac:dyDescent="0.35">
      <c r="A1407">
        <v>2023</v>
      </c>
      <c r="B1407" t="s">
        <v>149</v>
      </c>
      <c r="C1407">
        <v>2</v>
      </c>
      <c r="D1407" t="s">
        <v>91</v>
      </c>
      <c r="E1407">
        <v>1376</v>
      </c>
      <c r="F1407">
        <v>2017</v>
      </c>
      <c r="G1407">
        <v>835</v>
      </c>
      <c r="H1407" t="s">
        <v>74</v>
      </c>
      <c r="I1407" t="s">
        <v>172</v>
      </c>
    </row>
    <row r="1408" spans="1:9" ht="15" customHeight="1" x14ac:dyDescent="0.35">
      <c r="A1408">
        <v>2023</v>
      </c>
      <c r="B1408" t="s">
        <v>150</v>
      </c>
      <c r="C1408">
        <v>3</v>
      </c>
      <c r="D1408" t="s">
        <v>91</v>
      </c>
      <c r="E1408">
        <v>1321</v>
      </c>
      <c r="F1408">
        <v>1836</v>
      </c>
      <c r="G1408">
        <v>478</v>
      </c>
      <c r="H1408" t="s">
        <v>74</v>
      </c>
      <c r="I1408" t="s">
        <v>172</v>
      </c>
    </row>
    <row r="1409" spans="1:9" ht="15" customHeight="1" x14ac:dyDescent="0.35">
      <c r="A1409">
        <v>2023</v>
      </c>
      <c r="B1409" t="s">
        <v>151</v>
      </c>
      <c r="C1409">
        <v>4</v>
      </c>
      <c r="D1409" t="s">
        <v>91</v>
      </c>
      <c r="E1409">
        <v>1214</v>
      </c>
      <c r="F1409">
        <v>1734</v>
      </c>
      <c r="G1409">
        <v>594</v>
      </c>
      <c r="H1409" t="s">
        <v>75</v>
      </c>
      <c r="I1409" t="s">
        <v>172</v>
      </c>
    </row>
    <row r="1410" spans="1:9" ht="15" customHeight="1" x14ac:dyDescent="0.35">
      <c r="A1410">
        <v>2023</v>
      </c>
      <c r="B1410" t="s">
        <v>152</v>
      </c>
      <c r="C1410">
        <v>5</v>
      </c>
      <c r="D1410" t="s">
        <v>91</v>
      </c>
      <c r="E1410">
        <v>1077</v>
      </c>
      <c r="F1410">
        <v>1538</v>
      </c>
      <c r="G1410">
        <v>398</v>
      </c>
      <c r="H1410" t="s">
        <v>75</v>
      </c>
      <c r="I1410" t="s">
        <v>172</v>
      </c>
    </row>
    <row r="1411" spans="1:9" ht="15" customHeight="1" x14ac:dyDescent="0.35">
      <c r="A1411">
        <v>2023</v>
      </c>
      <c r="B1411" t="s">
        <v>153</v>
      </c>
      <c r="C1411">
        <v>6</v>
      </c>
      <c r="D1411" t="s">
        <v>91</v>
      </c>
      <c r="E1411">
        <v>1138</v>
      </c>
      <c r="F1411">
        <v>1637</v>
      </c>
      <c r="G1411">
        <v>583</v>
      </c>
      <c r="H1411" t="s">
        <v>75</v>
      </c>
      <c r="I1411" t="s">
        <v>172</v>
      </c>
    </row>
    <row r="1412" spans="1:9" ht="15" customHeight="1" x14ac:dyDescent="0.35">
      <c r="A1412">
        <v>2023</v>
      </c>
      <c r="B1412" t="s">
        <v>154</v>
      </c>
      <c r="C1412">
        <v>7</v>
      </c>
      <c r="D1412" t="s">
        <v>91</v>
      </c>
      <c r="E1412">
        <v>1236</v>
      </c>
      <c r="F1412">
        <v>1747</v>
      </c>
      <c r="G1412">
        <v>859</v>
      </c>
      <c r="H1412" t="s">
        <v>75</v>
      </c>
      <c r="I1412" t="s">
        <v>172</v>
      </c>
    </row>
    <row r="1413" spans="1:9" ht="15" customHeight="1" x14ac:dyDescent="0.35">
      <c r="A1413">
        <v>2023</v>
      </c>
      <c r="B1413" t="s">
        <v>155</v>
      </c>
      <c r="C1413">
        <v>8</v>
      </c>
      <c r="D1413" t="s">
        <v>91</v>
      </c>
      <c r="E1413">
        <v>1213</v>
      </c>
      <c r="F1413">
        <v>1527</v>
      </c>
      <c r="G1413">
        <v>683</v>
      </c>
      <c r="H1413" t="s">
        <v>75</v>
      </c>
      <c r="I1413" t="s">
        <v>172</v>
      </c>
    </row>
    <row r="1414" spans="1:9" ht="15" customHeight="1" x14ac:dyDescent="0.35">
      <c r="A1414">
        <v>2023</v>
      </c>
      <c r="B1414" t="s">
        <v>156</v>
      </c>
      <c r="C1414">
        <v>9</v>
      </c>
      <c r="D1414" t="s">
        <v>91</v>
      </c>
      <c r="E1414">
        <v>1443</v>
      </c>
      <c r="F1414">
        <v>1819</v>
      </c>
      <c r="G1414">
        <v>942</v>
      </c>
      <c r="H1414" t="s">
        <v>75</v>
      </c>
      <c r="I1414" t="s">
        <v>172</v>
      </c>
    </row>
    <row r="1415" spans="1:9" ht="15" customHeight="1" x14ac:dyDescent="0.35">
      <c r="A1415">
        <v>2023</v>
      </c>
      <c r="B1415" t="s">
        <v>157</v>
      </c>
      <c r="C1415">
        <v>10</v>
      </c>
      <c r="D1415" t="s">
        <v>91</v>
      </c>
      <c r="E1415">
        <v>1359</v>
      </c>
      <c r="F1415">
        <v>1856</v>
      </c>
      <c r="G1415">
        <v>807</v>
      </c>
      <c r="H1415" t="s">
        <v>75</v>
      </c>
      <c r="I1415" t="s">
        <v>172</v>
      </c>
    </row>
    <row r="1416" spans="1:9" ht="15" customHeight="1" x14ac:dyDescent="0.35">
      <c r="A1416">
        <v>2023</v>
      </c>
      <c r="B1416" t="s">
        <v>158</v>
      </c>
      <c r="C1416">
        <v>11</v>
      </c>
      <c r="D1416" t="s">
        <v>91</v>
      </c>
      <c r="E1416">
        <v>1343</v>
      </c>
      <c r="F1416">
        <v>1915</v>
      </c>
      <c r="G1416">
        <v>564</v>
      </c>
      <c r="H1416" t="s">
        <v>75</v>
      </c>
      <c r="I1416" t="s">
        <v>172</v>
      </c>
    </row>
    <row r="1417" spans="1:9" ht="15" customHeight="1" x14ac:dyDescent="0.35">
      <c r="A1417">
        <v>2023</v>
      </c>
      <c r="B1417" t="s">
        <v>159</v>
      </c>
      <c r="C1417">
        <v>12</v>
      </c>
      <c r="D1417" t="s">
        <v>91</v>
      </c>
      <c r="E1417">
        <v>1498</v>
      </c>
      <c r="F1417">
        <v>2084</v>
      </c>
      <c r="G1417">
        <v>891</v>
      </c>
      <c r="H1417" t="s">
        <v>75</v>
      </c>
      <c r="I1417" t="s">
        <v>172</v>
      </c>
    </row>
    <row r="1418" spans="1:9" ht="15" customHeight="1" x14ac:dyDescent="0.35">
      <c r="A1418">
        <v>2024</v>
      </c>
      <c r="B1418" t="s">
        <v>147</v>
      </c>
      <c r="C1418">
        <v>1</v>
      </c>
      <c r="D1418" t="s">
        <v>91</v>
      </c>
      <c r="E1418">
        <v>1515</v>
      </c>
      <c r="F1418">
        <v>2107</v>
      </c>
      <c r="G1418">
        <v>912</v>
      </c>
      <c r="H1418" t="s">
        <v>75</v>
      </c>
      <c r="I1418" t="s">
        <v>172</v>
      </c>
    </row>
    <row r="1419" spans="1:9" ht="15" customHeight="1" x14ac:dyDescent="0.35">
      <c r="A1419">
        <v>2024</v>
      </c>
      <c r="B1419" t="s">
        <v>149</v>
      </c>
      <c r="C1419">
        <v>2</v>
      </c>
      <c r="D1419" t="s">
        <v>91</v>
      </c>
      <c r="E1419">
        <v>1486</v>
      </c>
      <c r="F1419">
        <v>2069</v>
      </c>
      <c r="G1419">
        <v>865</v>
      </c>
      <c r="H1419" t="s">
        <v>75</v>
      </c>
      <c r="I1419" t="s">
        <v>172</v>
      </c>
    </row>
    <row r="1420" spans="1:9" ht="15" customHeight="1" x14ac:dyDescent="0.35">
      <c r="A1420">
        <v>2024</v>
      </c>
      <c r="B1420" t="s">
        <v>150</v>
      </c>
      <c r="C1420">
        <v>3</v>
      </c>
      <c r="D1420" t="s">
        <v>91</v>
      </c>
      <c r="E1420">
        <v>1318</v>
      </c>
      <c r="F1420">
        <v>1947</v>
      </c>
      <c r="G1420">
        <v>596</v>
      </c>
      <c r="H1420" t="s">
        <v>75</v>
      </c>
      <c r="I1420" t="s">
        <v>172</v>
      </c>
    </row>
    <row r="1421" spans="1:9" ht="15" customHeight="1" x14ac:dyDescent="0.35">
      <c r="A1421">
        <v>2024</v>
      </c>
      <c r="B1421" t="s">
        <v>151</v>
      </c>
      <c r="C1421">
        <v>4</v>
      </c>
      <c r="D1421" t="s">
        <v>91</v>
      </c>
      <c r="E1421">
        <v>1324</v>
      </c>
      <c r="F1421">
        <v>1947</v>
      </c>
      <c r="G1421">
        <v>596</v>
      </c>
      <c r="H1421" t="s">
        <v>77</v>
      </c>
      <c r="I1421" t="s">
        <v>172</v>
      </c>
    </row>
    <row r="1422" spans="1:9" ht="15" customHeight="1" x14ac:dyDescent="0.35">
      <c r="A1422">
        <v>2024</v>
      </c>
      <c r="B1422" t="s">
        <v>152</v>
      </c>
      <c r="C1422">
        <v>5</v>
      </c>
      <c r="D1422" t="s">
        <v>91</v>
      </c>
      <c r="E1422">
        <v>1405</v>
      </c>
      <c r="F1422">
        <v>1905</v>
      </c>
      <c r="G1422">
        <v>757</v>
      </c>
      <c r="H1422" t="s">
        <v>77</v>
      </c>
      <c r="I1422" t="s">
        <v>172</v>
      </c>
    </row>
    <row r="1423" spans="1:9" ht="15" customHeight="1" x14ac:dyDescent="0.35">
      <c r="A1423">
        <v>2024</v>
      </c>
      <c r="B1423" t="s">
        <v>153</v>
      </c>
      <c r="C1423">
        <v>6</v>
      </c>
      <c r="D1423" t="s">
        <v>91</v>
      </c>
      <c r="E1423">
        <v>1603</v>
      </c>
      <c r="F1423">
        <v>2032</v>
      </c>
      <c r="G1423">
        <v>967</v>
      </c>
      <c r="H1423" t="s">
        <v>77</v>
      </c>
      <c r="I1423" t="s">
        <v>172</v>
      </c>
    </row>
    <row r="1424" spans="1:9" ht="15" customHeight="1" x14ac:dyDescent="0.35">
      <c r="A1424">
        <v>2024</v>
      </c>
      <c r="B1424" t="s">
        <v>154</v>
      </c>
      <c r="C1424">
        <v>7</v>
      </c>
      <c r="D1424" t="s">
        <v>91</v>
      </c>
      <c r="E1424">
        <v>1614</v>
      </c>
      <c r="F1424">
        <v>1918</v>
      </c>
      <c r="G1424">
        <v>1197</v>
      </c>
      <c r="H1424" t="s">
        <v>77</v>
      </c>
      <c r="I1424" t="s">
        <v>172</v>
      </c>
    </row>
    <row r="1425" spans="1:9" ht="15" customHeight="1" x14ac:dyDescent="0.35">
      <c r="A1425">
        <v>2024</v>
      </c>
      <c r="B1425" t="s">
        <v>155</v>
      </c>
      <c r="C1425">
        <v>8</v>
      </c>
      <c r="D1425" t="s">
        <v>91</v>
      </c>
      <c r="E1425">
        <v>1373</v>
      </c>
      <c r="F1425">
        <v>1923</v>
      </c>
      <c r="G1425">
        <v>847</v>
      </c>
      <c r="H1425" t="s">
        <v>77</v>
      </c>
      <c r="I1425" t="s">
        <v>172</v>
      </c>
    </row>
    <row r="1426" spans="1:9" ht="15" customHeight="1" x14ac:dyDescent="0.35">
      <c r="A1426">
        <v>2024</v>
      </c>
      <c r="B1426" t="s">
        <v>156</v>
      </c>
      <c r="C1426">
        <v>9</v>
      </c>
      <c r="D1426" t="s">
        <v>91</v>
      </c>
      <c r="E1426">
        <v>1412</v>
      </c>
      <c r="F1426">
        <v>1798</v>
      </c>
      <c r="G1426">
        <v>975</v>
      </c>
      <c r="H1426" t="s">
        <v>77</v>
      </c>
      <c r="I1426" t="s">
        <v>172</v>
      </c>
    </row>
    <row r="1427" spans="1:9" ht="15" customHeight="1" x14ac:dyDescent="0.35">
      <c r="A1427">
        <v>2024</v>
      </c>
      <c r="B1427" t="s">
        <v>157</v>
      </c>
      <c r="C1427">
        <v>10</v>
      </c>
      <c r="D1427" t="s">
        <v>91</v>
      </c>
      <c r="E1427">
        <v>1397</v>
      </c>
      <c r="F1427">
        <v>1878</v>
      </c>
      <c r="G1427">
        <v>617</v>
      </c>
      <c r="H1427" t="s">
        <v>77</v>
      </c>
      <c r="I1427" t="s">
        <v>172</v>
      </c>
    </row>
    <row r="1428" spans="1:9" ht="15" customHeight="1" x14ac:dyDescent="0.35">
      <c r="A1428">
        <v>2024</v>
      </c>
      <c r="B1428" t="s">
        <v>158</v>
      </c>
      <c r="C1428">
        <v>11</v>
      </c>
      <c r="D1428" t="s">
        <v>91</v>
      </c>
      <c r="E1428">
        <v>1375</v>
      </c>
      <c r="F1428">
        <v>2004</v>
      </c>
      <c r="G1428">
        <v>556</v>
      </c>
      <c r="H1428" t="s">
        <v>77</v>
      </c>
      <c r="I1428" t="s">
        <v>172</v>
      </c>
    </row>
    <row r="1429" spans="1:9" ht="15" customHeight="1" x14ac:dyDescent="0.35">
      <c r="A1429">
        <v>2024</v>
      </c>
      <c r="B1429" t="s">
        <v>159</v>
      </c>
      <c r="C1429">
        <v>12</v>
      </c>
      <c r="D1429" t="s">
        <v>91</v>
      </c>
      <c r="E1429">
        <v>1545</v>
      </c>
      <c r="F1429">
        <v>2150</v>
      </c>
      <c r="G1429">
        <v>880</v>
      </c>
      <c r="H1429" t="s">
        <v>77</v>
      </c>
      <c r="I1429" t="s">
        <v>172</v>
      </c>
    </row>
    <row r="1430" spans="1:9" ht="15" customHeight="1" x14ac:dyDescent="0.35">
      <c r="A1430">
        <v>2025</v>
      </c>
      <c r="B1430" t="s">
        <v>147</v>
      </c>
      <c r="C1430">
        <v>1</v>
      </c>
      <c r="D1430" t="s">
        <v>91</v>
      </c>
      <c r="E1430">
        <v>1536</v>
      </c>
      <c r="F1430">
        <v>2107</v>
      </c>
      <c r="G1430">
        <v>919</v>
      </c>
      <c r="H1430" t="s">
        <v>77</v>
      </c>
      <c r="I1430" t="s">
        <v>172</v>
      </c>
    </row>
    <row r="1431" spans="1:9" ht="15" customHeight="1" x14ac:dyDescent="0.35">
      <c r="A1431">
        <v>2025</v>
      </c>
      <c r="B1431" t="s">
        <v>149</v>
      </c>
      <c r="C1431">
        <v>2</v>
      </c>
      <c r="D1431" t="s">
        <v>91</v>
      </c>
      <c r="E1431">
        <v>1503</v>
      </c>
      <c r="F1431">
        <v>2098</v>
      </c>
      <c r="G1431">
        <v>943</v>
      </c>
      <c r="H1431" t="s">
        <v>77</v>
      </c>
      <c r="I1431" t="s">
        <v>172</v>
      </c>
    </row>
    <row r="1432" spans="1:9" ht="15" customHeight="1" x14ac:dyDescent="0.35">
      <c r="A1432">
        <v>2025</v>
      </c>
      <c r="B1432" t="s">
        <v>150</v>
      </c>
      <c r="C1432">
        <v>3</v>
      </c>
      <c r="D1432" t="s">
        <v>91</v>
      </c>
      <c r="E1432">
        <v>1326</v>
      </c>
      <c r="F1432">
        <v>1965</v>
      </c>
      <c r="G1432">
        <v>543</v>
      </c>
      <c r="H1432" t="s">
        <v>77</v>
      </c>
      <c r="I1432" t="s">
        <v>172</v>
      </c>
    </row>
    <row r="1433" spans="1:9" ht="15" customHeight="1" x14ac:dyDescent="0.35">
      <c r="A1433">
        <v>2025</v>
      </c>
      <c r="B1433" t="s">
        <v>151</v>
      </c>
      <c r="C1433">
        <v>4</v>
      </c>
      <c r="D1433" t="s">
        <v>91</v>
      </c>
      <c r="E1433">
        <v>1298</v>
      </c>
      <c r="F1433">
        <v>1729</v>
      </c>
      <c r="G1433">
        <v>467</v>
      </c>
      <c r="H1433" t="s">
        <v>78</v>
      </c>
      <c r="I1433" t="s">
        <v>172</v>
      </c>
    </row>
    <row r="1434" spans="1:9" ht="15" customHeight="1" x14ac:dyDescent="0.35">
      <c r="A1434">
        <v>2025</v>
      </c>
      <c r="B1434" t="s">
        <v>152</v>
      </c>
      <c r="C1434">
        <v>5</v>
      </c>
      <c r="D1434" t="s">
        <v>91</v>
      </c>
      <c r="E1434">
        <v>1424</v>
      </c>
      <c r="F1434">
        <v>1877</v>
      </c>
      <c r="G1434">
        <v>766</v>
      </c>
      <c r="H1434" t="s">
        <v>78</v>
      </c>
      <c r="I1434" t="s">
        <v>172</v>
      </c>
    </row>
    <row r="1435" spans="1:9" ht="15" customHeight="1" x14ac:dyDescent="0.35">
      <c r="A1435">
        <v>2025</v>
      </c>
      <c r="B1435" t="s">
        <v>153</v>
      </c>
      <c r="C1435">
        <v>6</v>
      </c>
      <c r="D1435" t="s">
        <v>91</v>
      </c>
      <c r="E1435">
        <v>1530</v>
      </c>
      <c r="F1435">
        <v>1936</v>
      </c>
      <c r="G1435">
        <v>1004</v>
      </c>
      <c r="H1435" t="s">
        <v>78</v>
      </c>
      <c r="I1435" t="s">
        <v>172</v>
      </c>
    </row>
    <row r="1436" spans="1:9" ht="15" customHeight="1" x14ac:dyDescent="0.35">
      <c r="A1436">
        <v>2025</v>
      </c>
      <c r="B1436" t="s">
        <v>154</v>
      </c>
      <c r="C1436">
        <v>7</v>
      </c>
      <c r="D1436" t="s">
        <v>91</v>
      </c>
      <c r="E1436">
        <v>1396</v>
      </c>
      <c r="F1436">
        <v>1852</v>
      </c>
      <c r="G1436">
        <v>832</v>
      </c>
      <c r="H1436" t="s">
        <v>78</v>
      </c>
      <c r="I1436" t="s">
        <v>172</v>
      </c>
    </row>
    <row r="1437" spans="1:9" ht="15" customHeight="1" x14ac:dyDescent="0.35">
      <c r="A1437">
        <v>2025</v>
      </c>
      <c r="B1437" t="s">
        <v>155</v>
      </c>
      <c r="C1437">
        <v>8</v>
      </c>
      <c r="D1437" t="s">
        <v>91</v>
      </c>
      <c r="E1437">
        <v>1202</v>
      </c>
      <c r="F1437">
        <v>1760</v>
      </c>
      <c r="G1437">
        <v>624</v>
      </c>
      <c r="H1437" t="s">
        <v>78</v>
      </c>
      <c r="I1437" t="s">
        <v>172</v>
      </c>
    </row>
    <row r="1438" spans="1:9" ht="15" customHeight="1" x14ac:dyDescent="0.35">
      <c r="A1438">
        <v>2025</v>
      </c>
      <c r="B1438" t="s">
        <v>156</v>
      </c>
      <c r="C1438">
        <v>9</v>
      </c>
      <c r="D1438" t="s">
        <v>91</v>
      </c>
      <c r="E1438">
        <v>1201</v>
      </c>
      <c r="F1438">
        <v>1704</v>
      </c>
      <c r="G1438">
        <v>700</v>
      </c>
      <c r="H1438" t="s">
        <v>78</v>
      </c>
      <c r="I1438" t="s">
        <v>172</v>
      </c>
    </row>
    <row r="1439" spans="1:9" ht="15" customHeight="1" x14ac:dyDescent="0.35">
      <c r="A1439">
        <v>2025</v>
      </c>
      <c r="B1439" t="s">
        <v>157</v>
      </c>
      <c r="C1439">
        <v>10</v>
      </c>
      <c r="D1439" t="s">
        <v>91</v>
      </c>
      <c r="E1439">
        <v>1140</v>
      </c>
      <c r="F1439">
        <v>1776</v>
      </c>
      <c r="G1439">
        <v>454</v>
      </c>
      <c r="H1439" t="s">
        <v>78</v>
      </c>
      <c r="I1439" t="s">
        <v>172</v>
      </c>
    </row>
    <row r="1440" spans="1:9" ht="15" customHeight="1" x14ac:dyDescent="0.35">
      <c r="A1440">
        <v>2025</v>
      </c>
      <c r="B1440" t="s">
        <v>158</v>
      </c>
      <c r="C1440">
        <v>11</v>
      </c>
      <c r="D1440" t="s">
        <v>91</v>
      </c>
      <c r="E1440">
        <v>1411</v>
      </c>
      <c r="F1440">
        <v>2247</v>
      </c>
      <c r="G1440">
        <v>822</v>
      </c>
      <c r="H1440" t="s">
        <v>78</v>
      </c>
      <c r="I1440" t="s">
        <v>172</v>
      </c>
    </row>
    <row r="1441" spans="1:9" ht="15" customHeight="1" x14ac:dyDescent="0.35">
      <c r="A1441">
        <v>2025</v>
      </c>
      <c r="B1441" t="s">
        <v>159</v>
      </c>
      <c r="C1441">
        <v>12</v>
      </c>
      <c r="D1441" t="s">
        <v>91</v>
      </c>
      <c r="E1441">
        <v>1581</v>
      </c>
      <c r="F1441">
        <v>2193</v>
      </c>
      <c r="G1441">
        <v>843</v>
      </c>
      <c r="H1441" t="s">
        <v>78</v>
      </c>
      <c r="I1441" t="s">
        <v>172</v>
      </c>
    </row>
    <row r="1442" spans="1:9" ht="15" customHeight="1" x14ac:dyDescent="0.35">
      <c r="A1442">
        <v>2026</v>
      </c>
      <c r="B1442" t="s">
        <v>147</v>
      </c>
      <c r="C1442">
        <v>1</v>
      </c>
      <c r="D1442" t="s">
        <v>91</v>
      </c>
      <c r="E1442">
        <v>1615</v>
      </c>
      <c r="F1442">
        <v>2279</v>
      </c>
      <c r="G1442">
        <v>943</v>
      </c>
      <c r="H1442" t="s">
        <v>78</v>
      </c>
      <c r="I1442" t="s">
        <v>172</v>
      </c>
    </row>
    <row r="1443" spans="1:9" ht="15" customHeight="1" x14ac:dyDescent="0.35">
      <c r="A1443">
        <v>2026</v>
      </c>
      <c r="B1443" t="s">
        <v>149</v>
      </c>
      <c r="C1443">
        <v>2</v>
      </c>
      <c r="D1443" t="s">
        <v>91</v>
      </c>
      <c r="E1443">
        <v>1568</v>
      </c>
      <c r="F1443">
        <v>2199</v>
      </c>
      <c r="G1443">
        <v>1051</v>
      </c>
      <c r="H1443" t="s">
        <v>78</v>
      </c>
      <c r="I1443" t="s">
        <v>172</v>
      </c>
    </row>
    <row r="1444" spans="1:9" ht="15" customHeight="1" x14ac:dyDescent="0.35">
      <c r="A1444">
        <v>2026</v>
      </c>
      <c r="B1444" t="s">
        <v>150</v>
      </c>
      <c r="C1444">
        <v>3</v>
      </c>
      <c r="D1444" t="s">
        <v>91</v>
      </c>
      <c r="E1444">
        <v>1615</v>
      </c>
      <c r="F1444">
        <v>2279</v>
      </c>
      <c r="G1444">
        <v>943</v>
      </c>
      <c r="H1444" t="s">
        <v>78</v>
      </c>
      <c r="I1444" t="s">
        <v>172</v>
      </c>
    </row>
    <row r="1445" spans="1:9" ht="15" customHeight="1" x14ac:dyDescent="0.35">
      <c r="A1445">
        <v>2017</v>
      </c>
      <c r="B1445" t="s">
        <v>147</v>
      </c>
      <c r="C1445">
        <v>1</v>
      </c>
      <c r="D1445" t="s">
        <v>92</v>
      </c>
      <c r="E1445">
        <v>1766</v>
      </c>
      <c r="F1445">
        <v>2090</v>
      </c>
      <c r="G1445">
        <v>562</v>
      </c>
      <c r="H1445" t="s">
        <v>122</v>
      </c>
      <c r="I1445" t="s">
        <v>173</v>
      </c>
    </row>
    <row r="1446" spans="1:9" ht="15" customHeight="1" x14ac:dyDescent="0.35">
      <c r="A1446">
        <v>2017</v>
      </c>
      <c r="B1446" t="s">
        <v>149</v>
      </c>
      <c r="C1446">
        <v>2</v>
      </c>
      <c r="D1446" t="s">
        <v>92</v>
      </c>
      <c r="E1446">
        <v>1709</v>
      </c>
      <c r="F1446">
        <v>2003</v>
      </c>
      <c r="G1446">
        <v>457</v>
      </c>
      <c r="H1446" t="s">
        <v>122</v>
      </c>
      <c r="I1446" t="s">
        <v>173</v>
      </c>
    </row>
    <row r="1447" spans="1:9" ht="15" customHeight="1" x14ac:dyDescent="0.35">
      <c r="A1447">
        <v>2017</v>
      </c>
      <c r="B1447" t="s">
        <v>150</v>
      </c>
      <c r="C1447">
        <v>3</v>
      </c>
      <c r="D1447" t="s">
        <v>92</v>
      </c>
      <c r="E1447">
        <v>1678</v>
      </c>
      <c r="F1447">
        <v>1945</v>
      </c>
      <c r="G1447">
        <v>1180</v>
      </c>
      <c r="H1447" t="s">
        <v>122</v>
      </c>
      <c r="I1447" t="s">
        <v>173</v>
      </c>
    </row>
    <row r="1448" spans="1:9" ht="15" customHeight="1" x14ac:dyDescent="0.35">
      <c r="A1448">
        <v>2017</v>
      </c>
      <c r="B1448" t="s">
        <v>151</v>
      </c>
      <c r="C1448">
        <v>4</v>
      </c>
      <c r="D1448" t="s">
        <v>92</v>
      </c>
      <c r="E1448">
        <v>1524</v>
      </c>
      <c r="F1448">
        <v>1908</v>
      </c>
      <c r="G1448">
        <v>530</v>
      </c>
      <c r="H1448" t="s">
        <v>123</v>
      </c>
      <c r="I1448" t="s">
        <v>173</v>
      </c>
    </row>
    <row r="1449" spans="1:9" ht="15" customHeight="1" x14ac:dyDescent="0.35">
      <c r="A1449">
        <v>2017</v>
      </c>
      <c r="B1449" t="s">
        <v>152</v>
      </c>
      <c r="C1449">
        <v>5</v>
      </c>
      <c r="D1449" t="s">
        <v>92</v>
      </c>
      <c r="E1449">
        <v>1546</v>
      </c>
      <c r="F1449">
        <v>1997</v>
      </c>
      <c r="G1449">
        <v>882</v>
      </c>
      <c r="H1449" t="s">
        <v>123</v>
      </c>
      <c r="I1449" t="s">
        <v>173</v>
      </c>
    </row>
    <row r="1450" spans="1:9" ht="15" customHeight="1" x14ac:dyDescent="0.35">
      <c r="A1450">
        <v>2017</v>
      </c>
      <c r="B1450" t="s">
        <v>153</v>
      </c>
      <c r="C1450">
        <v>6</v>
      </c>
      <c r="D1450" t="s">
        <v>92</v>
      </c>
      <c r="E1450">
        <v>1500</v>
      </c>
      <c r="F1450">
        <v>2024</v>
      </c>
      <c r="G1450">
        <v>720</v>
      </c>
      <c r="H1450" t="s">
        <v>123</v>
      </c>
      <c r="I1450" t="s">
        <v>173</v>
      </c>
    </row>
    <row r="1451" spans="1:9" ht="15" customHeight="1" x14ac:dyDescent="0.35">
      <c r="A1451">
        <v>2017</v>
      </c>
      <c r="B1451" t="s">
        <v>154</v>
      </c>
      <c r="C1451">
        <v>7</v>
      </c>
      <c r="D1451" t="s">
        <v>92</v>
      </c>
      <c r="E1451">
        <v>1451</v>
      </c>
      <c r="F1451">
        <v>1869</v>
      </c>
      <c r="G1451">
        <v>729</v>
      </c>
      <c r="H1451" t="s">
        <v>123</v>
      </c>
      <c r="I1451" t="s">
        <v>173</v>
      </c>
    </row>
    <row r="1452" spans="1:9" ht="15" customHeight="1" x14ac:dyDescent="0.35">
      <c r="A1452">
        <v>2017</v>
      </c>
      <c r="B1452" t="s">
        <v>155</v>
      </c>
      <c r="C1452">
        <v>8</v>
      </c>
      <c r="D1452" t="s">
        <v>92</v>
      </c>
      <c r="E1452">
        <v>1495</v>
      </c>
      <c r="F1452">
        <v>1952</v>
      </c>
      <c r="G1452">
        <v>771</v>
      </c>
      <c r="H1452" t="s">
        <v>123</v>
      </c>
      <c r="I1452" t="s">
        <v>173</v>
      </c>
    </row>
    <row r="1453" spans="1:9" ht="15" customHeight="1" x14ac:dyDescent="0.35">
      <c r="A1453">
        <v>2017</v>
      </c>
      <c r="B1453" t="s">
        <v>156</v>
      </c>
      <c r="C1453">
        <v>9</v>
      </c>
      <c r="D1453" t="s">
        <v>92</v>
      </c>
      <c r="E1453">
        <v>1533</v>
      </c>
      <c r="F1453">
        <v>2035</v>
      </c>
      <c r="G1453">
        <v>1006</v>
      </c>
      <c r="H1453" t="s">
        <v>123</v>
      </c>
      <c r="I1453" t="s">
        <v>173</v>
      </c>
    </row>
    <row r="1454" spans="1:9" ht="15" customHeight="1" x14ac:dyDescent="0.35">
      <c r="A1454">
        <v>2017</v>
      </c>
      <c r="B1454" t="s">
        <v>157</v>
      </c>
      <c r="C1454">
        <v>10</v>
      </c>
      <c r="D1454" t="s">
        <v>92</v>
      </c>
      <c r="E1454">
        <v>1705</v>
      </c>
      <c r="F1454">
        <v>2155</v>
      </c>
      <c r="G1454">
        <v>1263</v>
      </c>
      <c r="H1454" t="s">
        <v>123</v>
      </c>
      <c r="I1454" t="s">
        <v>173</v>
      </c>
    </row>
    <row r="1455" spans="1:9" ht="15" customHeight="1" x14ac:dyDescent="0.35">
      <c r="A1455">
        <v>2017</v>
      </c>
      <c r="B1455" t="s">
        <v>158</v>
      </c>
      <c r="C1455">
        <v>11</v>
      </c>
      <c r="D1455" t="s">
        <v>92</v>
      </c>
      <c r="E1455">
        <v>1700</v>
      </c>
      <c r="F1455">
        <v>2048</v>
      </c>
      <c r="G1455">
        <v>601</v>
      </c>
      <c r="H1455" t="s">
        <v>123</v>
      </c>
      <c r="I1455" t="s">
        <v>173</v>
      </c>
    </row>
    <row r="1456" spans="1:9" ht="15" customHeight="1" x14ac:dyDescent="0.35">
      <c r="A1456">
        <v>2017</v>
      </c>
      <c r="B1456" t="s">
        <v>159</v>
      </c>
      <c r="C1456">
        <v>12</v>
      </c>
      <c r="D1456" t="s">
        <v>92</v>
      </c>
      <c r="E1456">
        <v>1823</v>
      </c>
      <c r="F1456">
        <v>2193</v>
      </c>
      <c r="G1456">
        <v>1129</v>
      </c>
      <c r="H1456" t="s">
        <v>123</v>
      </c>
      <c r="I1456" t="s">
        <v>173</v>
      </c>
    </row>
    <row r="1457" spans="1:9" ht="15" customHeight="1" x14ac:dyDescent="0.35">
      <c r="A1457">
        <v>2018</v>
      </c>
      <c r="B1457" t="s">
        <v>147</v>
      </c>
      <c r="C1457">
        <v>1</v>
      </c>
      <c r="D1457" t="s">
        <v>92</v>
      </c>
      <c r="E1457">
        <v>1940</v>
      </c>
      <c r="F1457">
        <v>2208</v>
      </c>
      <c r="G1457">
        <v>1631</v>
      </c>
      <c r="H1457" t="s">
        <v>123</v>
      </c>
      <c r="I1457" t="s">
        <v>173</v>
      </c>
    </row>
    <row r="1458" spans="1:9" ht="15" customHeight="1" x14ac:dyDescent="0.35">
      <c r="A1458">
        <v>2018</v>
      </c>
      <c r="B1458" t="s">
        <v>149</v>
      </c>
      <c r="C1458">
        <v>2</v>
      </c>
      <c r="D1458" t="s">
        <v>92</v>
      </c>
      <c r="E1458">
        <v>1839</v>
      </c>
      <c r="F1458">
        <v>2175</v>
      </c>
      <c r="G1458">
        <v>801</v>
      </c>
      <c r="H1458" t="s">
        <v>123</v>
      </c>
      <c r="I1458" t="s">
        <v>173</v>
      </c>
    </row>
    <row r="1459" spans="1:9" ht="15" customHeight="1" x14ac:dyDescent="0.35">
      <c r="A1459">
        <v>2018</v>
      </c>
      <c r="B1459" t="s">
        <v>150</v>
      </c>
      <c r="C1459">
        <v>3</v>
      </c>
      <c r="D1459" t="s">
        <v>92</v>
      </c>
      <c r="E1459">
        <v>1770</v>
      </c>
      <c r="F1459">
        <v>2065</v>
      </c>
      <c r="G1459">
        <v>1230</v>
      </c>
      <c r="H1459" t="s">
        <v>123</v>
      </c>
      <c r="I1459" t="s">
        <v>173</v>
      </c>
    </row>
    <row r="1460" spans="1:9" ht="15" customHeight="1" x14ac:dyDescent="0.35">
      <c r="A1460">
        <v>2018</v>
      </c>
      <c r="B1460" t="s">
        <v>151</v>
      </c>
      <c r="C1460">
        <v>4</v>
      </c>
      <c r="D1460" t="s">
        <v>92</v>
      </c>
      <c r="E1460">
        <v>1664</v>
      </c>
      <c r="F1460">
        <v>2055</v>
      </c>
      <c r="G1460">
        <v>513</v>
      </c>
      <c r="H1460" t="s">
        <v>124</v>
      </c>
      <c r="I1460" t="s">
        <v>173</v>
      </c>
    </row>
    <row r="1461" spans="1:9" ht="15" customHeight="1" x14ac:dyDescent="0.35">
      <c r="A1461">
        <v>2018</v>
      </c>
      <c r="B1461" t="s">
        <v>152</v>
      </c>
      <c r="C1461">
        <v>5</v>
      </c>
      <c r="D1461" t="s">
        <v>92</v>
      </c>
      <c r="E1461">
        <v>1609</v>
      </c>
      <c r="F1461">
        <v>2111</v>
      </c>
      <c r="G1461">
        <v>703</v>
      </c>
      <c r="H1461" t="s">
        <v>124</v>
      </c>
      <c r="I1461" t="s">
        <v>173</v>
      </c>
    </row>
    <row r="1462" spans="1:9" ht="15" customHeight="1" x14ac:dyDescent="0.35">
      <c r="A1462">
        <v>2018</v>
      </c>
      <c r="B1462" t="s">
        <v>153</v>
      </c>
      <c r="C1462">
        <v>6</v>
      </c>
      <c r="D1462" t="s">
        <v>92</v>
      </c>
      <c r="E1462">
        <v>1714</v>
      </c>
      <c r="F1462">
        <v>2206</v>
      </c>
      <c r="G1462">
        <v>921</v>
      </c>
      <c r="H1462" t="s">
        <v>124</v>
      </c>
      <c r="I1462" t="s">
        <v>173</v>
      </c>
    </row>
    <row r="1463" spans="1:9" ht="15" customHeight="1" x14ac:dyDescent="0.35">
      <c r="A1463">
        <v>2018</v>
      </c>
      <c r="B1463" t="s">
        <v>154</v>
      </c>
      <c r="C1463">
        <v>7</v>
      </c>
      <c r="D1463" t="s">
        <v>92</v>
      </c>
      <c r="E1463">
        <v>1785</v>
      </c>
      <c r="F1463">
        <v>2401</v>
      </c>
      <c r="G1463">
        <v>1076</v>
      </c>
      <c r="H1463" t="s">
        <v>124</v>
      </c>
      <c r="I1463" t="s">
        <v>173</v>
      </c>
    </row>
    <row r="1464" spans="1:9" ht="15" customHeight="1" x14ac:dyDescent="0.35">
      <c r="A1464">
        <v>2018</v>
      </c>
      <c r="B1464" t="s">
        <v>155</v>
      </c>
      <c r="C1464">
        <v>8</v>
      </c>
      <c r="D1464" t="s">
        <v>92</v>
      </c>
      <c r="E1464">
        <v>1774</v>
      </c>
      <c r="F1464">
        <v>2248</v>
      </c>
      <c r="G1464">
        <v>796</v>
      </c>
      <c r="H1464" t="s">
        <v>124</v>
      </c>
      <c r="I1464" t="s">
        <v>173</v>
      </c>
    </row>
    <row r="1465" spans="1:9" ht="15" customHeight="1" x14ac:dyDescent="0.35">
      <c r="A1465">
        <v>2018</v>
      </c>
      <c r="B1465" t="s">
        <v>156</v>
      </c>
      <c r="C1465">
        <v>9</v>
      </c>
      <c r="D1465" t="s">
        <v>92</v>
      </c>
      <c r="E1465">
        <v>1799</v>
      </c>
      <c r="F1465">
        <v>2341</v>
      </c>
      <c r="G1465">
        <v>908</v>
      </c>
      <c r="H1465" t="s">
        <v>124</v>
      </c>
      <c r="I1465" t="s">
        <v>173</v>
      </c>
    </row>
    <row r="1466" spans="1:9" ht="15" customHeight="1" x14ac:dyDescent="0.35">
      <c r="A1466">
        <v>2018</v>
      </c>
      <c r="B1466" t="s">
        <v>157</v>
      </c>
      <c r="C1466">
        <v>10</v>
      </c>
      <c r="D1466" t="s">
        <v>92</v>
      </c>
      <c r="E1466">
        <v>1915</v>
      </c>
      <c r="F1466">
        <v>2336</v>
      </c>
      <c r="G1466">
        <v>719</v>
      </c>
      <c r="H1466" t="s">
        <v>124</v>
      </c>
      <c r="I1466" t="s">
        <v>173</v>
      </c>
    </row>
    <row r="1467" spans="1:9" ht="15" customHeight="1" x14ac:dyDescent="0.35">
      <c r="A1467">
        <v>2018</v>
      </c>
      <c r="B1467" t="s">
        <v>158</v>
      </c>
      <c r="C1467">
        <v>11</v>
      </c>
      <c r="D1467" t="s">
        <v>92</v>
      </c>
      <c r="E1467">
        <v>1851</v>
      </c>
      <c r="F1467">
        <v>2219</v>
      </c>
      <c r="G1467">
        <v>389</v>
      </c>
      <c r="H1467" t="s">
        <v>124</v>
      </c>
      <c r="I1467" t="s">
        <v>173</v>
      </c>
    </row>
    <row r="1468" spans="1:9" ht="15" customHeight="1" x14ac:dyDescent="0.35">
      <c r="A1468">
        <v>2018</v>
      </c>
      <c r="B1468" t="s">
        <v>159</v>
      </c>
      <c r="C1468">
        <v>12</v>
      </c>
      <c r="D1468" t="s">
        <v>92</v>
      </c>
      <c r="E1468">
        <v>2067</v>
      </c>
      <c r="F1468">
        <v>2495</v>
      </c>
      <c r="G1468">
        <v>1679</v>
      </c>
      <c r="H1468" t="s">
        <v>124</v>
      </c>
      <c r="I1468" t="s">
        <v>173</v>
      </c>
    </row>
    <row r="1469" spans="1:9" ht="15" customHeight="1" x14ac:dyDescent="0.35">
      <c r="A1469">
        <v>2019</v>
      </c>
      <c r="B1469" t="s">
        <v>147</v>
      </c>
      <c r="C1469">
        <v>1</v>
      </c>
      <c r="D1469" t="s">
        <v>92</v>
      </c>
      <c r="E1469">
        <v>2087</v>
      </c>
      <c r="F1469">
        <v>2449</v>
      </c>
      <c r="G1469">
        <v>1057</v>
      </c>
      <c r="H1469" t="s">
        <v>124</v>
      </c>
      <c r="I1469" t="s">
        <v>173</v>
      </c>
    </row>
    <row r="1470" spans="1:9" ht="15" customHeight="1" x14ac:dyDescent="0.35">
      <c r="A1470">
        <v>2019</v>
      </c>
      <c r="B1470" t="s">
        <v>149</v>
      </c>
      <c r="C1470">
        <v>2</v>
      </c>
      <c r="D1470" t="s">
        <v>92</v>
      </c>
      <c r="E1470">
        <v>1963</v>
      </c>
      <c r="F1470">
        <v>2607</v>
      </c>
      <c r="G1470">
        <v>978</v>
      </c>
      <c r="H1470" t="s">
        <v>124</v>
      </c>
      <c r="I1470" t="s">
        <v>173</v>
      </c>
    </row>
    <row r="1471" spans="1:9" ht="15" customHeight="1" x14ac:dyDescent="0.35">
      <c r="A1471">
        <v>2019</v>
      </c>
      <c r="B1471" t="s">
        <v>150</v>
      </c>
      <c r="C1471">
        <v>3</v>
      </c>
      <c r="D1471" t="s">
        <v>92</v>
      </c>
      <c r="E1471">
        <v>1944</v>
      </c>
      <c r="F1471">
        <v>2351</v>
      </c>
      <c r="G1471">
        <v>1422</v>
      </c>
      <c r="H1471" t="s">
        <v>124</v>
      </c>
      <c r="I1471" t="s">
        <v>173</v>
      </c>
    </row>
    <row r="1472" spans="1:9" ht="15" customHeight="1" x14ac:dyDescent="0.35">
      <c r="A1472">
        <v>2019</v>
      </c>
      <c r="B1472" t="s">
        <v>151</v>
      </c>
      <c r="C1472">
        <v>4</v>
      </c>
      <c r="D1472" t="s">
        <v>92</v>
      </c>
      <c r="E1472">
        <v>1826</v>
      </c>
      <c r="F1472">
        <v>2256</v>
      </c>
      <c r="G1472">
        <v>901</v>
      </c>
      <c r="H1472" t="s">
        <v>71</v>
      </c>
      <c r="I1472" t="s">
        <v>173</v>
      </c>
    </row>
    <row r="1473" spans="1:9" ht="15" customHeight="1" x14ac:dyDescent="0.35">
      <c r="A1473">
        <v>2019</v>
      </c>
      <c r="B1473" t="s">
        <v>152</v>
      </c>
      <c r="C1473">
        <v>5</v>
      </c>
      <c r="D1473" t="s">
        <v>92</v>
      </c>
      <c r="E1473">
        <v>1935</v>
      </c>
      <c r="F1473">
        <v>2415</v>
      </c>
      <c r="G1473">
        <v>1055</v>
      </c>
      <c r="H1473" t="s">
        <v>71</v>
      </c>
      <c r="I1473" t="s">
        <v>173</v>
      </c>
    </row>
    <row r="1474" spans="1:9" ht="15" customHeight="1" x14ac:dyDescent="0.35">
      <c r="A1474">
        <v>2019</v>
      </c>
      <c r="B1474" t="s">
        <v>153</v>
      </c>
      <c r="C1474">
        <v>6</v>
      </c>
      <c r="D1474" t="s">
        <v>92</v>
      </c>
      <c r="E1474">
        <v>1917</v>
      </c>
      <c r="F1474">
        <v>2325</v>
      </c>
      <c r="G1474">
        <v>801</v>
      </c>
      <c r="H1474" t="s">
        <v>71</v>
      </c>
      <c r="I1474" t="s">
        <v>173</v>
      </c>
    </row>
    <row r="1475" spans="1:9" ht="15" customHeight="1" x14ac:dyDescent="0.35">
      <c r="A1475">
        <v>2019</v>
      </c>
      <c r="B1475" t="s">
        <v>154</v>
      </c>
      <c r="C1475">
        <v>7</v>
      </c>
      <c r="D1475" t="s">
        <v>92</v>
      </c>
      <c r="E1475">
        <v>1787</v>
      </c>
      <c r="F1475">
        <v>2251</v>
      </c>
      <c r="G1475">
        <v>1097</v>
      </c>
      <c r="H1475" t="s">
        <v>71</v>
      </c>
      <c r="I1475" t="s">
        <v>173</v>
      </c>
    </row>
    <row r="1476" spans="1:9" ht="15" customHeight="1" x14ac:dyDescent="0.35">
      <c r="A1476">
        <v>2019</v>
      </c>
      <c r="B1476" t="s">
        <v>155</v>
      </c>
      <c r="C1476">
        <v>8</v>
      </c>
      <c r="D1476" t="s">
        <v>92</v>
      </c>
      <c r="E1476">
        <v>1732</v>
      </c>
      <c r="F1476">
        <v>2235</v>
      </c>
      <c r="G1476">
        <v>778</v>
      </c>
      <c r="H1476" t="s">
        <v>71</v>
      </c>
      <c r="I1476" t="s">
        <v>173</v>
      </c>
    </row>
    <row r="1477" spans="1:9" ht="15" customHeight="1" x14ac:dyDescent="0.35">
      <c r="A1477">
        <v>2019</v>
      </c>
      <c r="B1477" t="s">
        <v>156</v>
      </c>
      <c r="C1477">
        <v>9</v>
      </c>
      <c r="D1477" t="s">
        <v>92</v>
      </c>
      <c r="E1477">
        <v>1747</v>
      </c>
      <c r="F1477">
        <v>2211</v>
      </c>
      <c r="G1477">
        <v>944</v>
      </c>
      <c r="H1477" t="s">
        <v>71</v>
      </c>
      <c r="I1477" t="s">
        <v>173</v>
      </c>
    </row>
    <row r="1478" spans="1:9" ht="15" customHeight="1" x14ac:dyDescent="0.35">
      <c r="A1478">
        <v>2019</v>
      </c>
      <c r="B1478" t="s">
        <v>157</v>
      </c>
      <c r="C1478">
        <v>10</v>
      </c>
      <c r="D1478" t="s">
        <v>92</v>
      </c>
      <c r="E1478">
        <v>1726</v>
      </c>
      <c r="F1478">
        <v>2187</v>
      </c>
      <c r="G1478">
        <v>346</v>
      </c>
      <c r="H1478" t="s">
        <v>71</v>
      </c>
      <c r="I1478" t="s">
        <v>173</v>
      </c>
    </row>
    <row r="1479" spans="1:9" ht="15" customHeight="1" x14ac:dyDescent="0.35">
      <c r="A1479">
        <v>2019</v>
      </c>
      <c r="B1479" t="s">
        <v>158</v>
      </c>
      <c r="C1479">
        <v>11</v>
      </c>
      <c r="D1479" t="s">
        <v>92</v>
      </c>
      <c r="E1479">
        <v>1697</v>
      </c>
      <c r="F1479">
        <v>2334</v>
      </c>
      <c r="G1479">
        <v>115</v>
      </c>
      <c r="H1479" t="s">
        <v>71</v>
      </c>
      <c r="I1479" t="s">
        <v>173</v>
      </c>
    </row>
    <row r="1480" spans="1:9" ht="15" customHeight="1" x14ac:dyDescent="0.35">
      <c r="A1480">
        <v>2019</v>
      </c>
      <c r="B1480" t="s">
        <v>159</v>
      </c>
      <c r="C1480">
        <v>12</v>
      </c>
      <c r="D1480" t="s">
        <v>92</v>
      </c>
      <c r="E1480">
        <v>2073</v>
      </c>
      <c r="F1480">
        <v>2601</v>
      </c>
      <c r="G1480">
        <v>1171</v>
      </c>
      <c r="H1480" t="s">
        <v>71</v>
      </c>
      <c r="I1480" t="s">
        <v>173</v>
      </c>
    </row>
    <row r="1481" spans="1:9" ht="15" customHeight="1" x14ac:dyDescent="0.35">
      <c r="A1481">
        <v>2020</v>
      </c>
      <c r="B1481" t="s">
        <v>147</v>
      </c>
      <c r="C1481">
        <v>1</v>
      </c>
      <c r="D1481" t="s">
        <v>92</v>
      </c>
      <c r="E1481">
        <v>2125</v>
      </c>
      <c r="F1481">
        <v>2739</v>
      </c>
      <c r="G1481">
        <v>709</v>
      </c>
      <c r="H1481" t="s">
        <v>71</v>
      </c>
      <c r="I1481" t="s">
        <v>173</v>
      </c>
    </row>
    <row r="1482" spans="1:9" ht="15" customHeight="1" x14ac:dyDescent="0.35">
      <c r="A1482">
        <v>2020</v>
      </c>
      <c r="B1482" t="s">
        <v>149</v>
      </c>
      <c r="C1482">
        <v>2</v>
      </c>
      <c r="D1482" t="s">
        <v>92</v>
      </c>
      <c r="E1482">
        <v>2092</v>
      </c>
      <c r="F1482">
        <v>2475</v>
      </c>
      <c r="G1482">
        <v>1360</v>
      </c>
      <c r="H1482" t="s">
        <v>71</v>
      </c>
      <c r="I1482" t="s">
        <v>173</v>
      </c>
    </row>
    <row r="1483" spans="1:9" ht="15" customHeight="1" x14ac:dyDescent="0.35">
      <c r="A1483">
        <v>2020</v>
      </c>
      <c r="B1483" t="s">
        <v>150</v>
      </c>
      <c r="C1483">
        <v>3</v>
      </c>
      <c r="D1483" t="s">
        <v>92</v>
      </c>
      <c r="E1483">
        <v>1968</v>
      </c>
      <c r="F1483">
        <v>2401</v>
      </c>
      <c r="G1483">
        <v>1209</v>
      </c>
      <c r="H1483" t="s">
        <v>71</v>
      </c>
      <c r="I1483" t="s">
        <v>173</v>
      </c>
    </row>
    <row r="1484" spans="1:9" ht="15" customHeight="1" x14ac:dyDescent="0.35">
      <c r="A1484">
        <v>2020</v>
      </c>
      <c r="B1484" t="s">
        <v>151</v>
      </c>
      <c r="C1484">
        <v>4</v>
      </c>
      <c r="D1484" t="s">
        <v>92</v>
      </c>
      <c r="E1484">
        <v>1838</v>
      </c>
      <c r="F1484">
        <v>2251</v>
      </c>
      <c r="G1484">
        <v>1173</v>
      </c>
      <c r="H1484" t="s">
        <v>72</v>
      </c>
      <c r="I1484" t="s">
        <v>173</v>
      </c>
    </row>
    <row r="1485" spans="1:9" ht="15" customHeight="1" x14ac:dyDescent="0.35">
      <c r="A1485">
        <v>2020</v>
      </c>
      <c r="B1485" t="s">
        <v>152</v>
      </c>
      <c r="C1485">
        <v>5</v>
      </c>
      <c r="D1485" t="s">
        <v>92</v>
      </c>
      <c r="E1485">
        <v>1837</v>
      </c>
      <c r="F1485">
        <v>2367</v>
      </c>
      <c r="G1485">
        <v>669</v>
      </c>
      <c r="H1485" t="s">
        <v>72</v>
      </c>
      <c r="I1485" t="s">
        <v>173</v>
      </c>
    </row>
    <row r="1486" spans="1:9" ht="15" customHeight="1" x14ac:dyDescent="0.35">
      <c r="A1486">
        <v>2020</v>
      </c>
      <c r="B1486" t="s">
        <v>153</v>
      </c>
      <c r="C1486">
        <v>6</v>
      </c>
      <c r="D1486" t="s">
        <v>92</v>
      </c>
      <c r="E1486">
        <v>1828</v>
      </c>
      <c r="F1486">
        <v>2264</v>
      </c>
      <c r="G1486">
        <v>1001</v>
      </c>
      <c r="H1486" t="s">
        <v>72</v>
      </c>
      <c r="I1486" t="s">
        <v>173</v>
      </c>
    </row>
    <row r="1487" spans="1:9" ht="15" customHeight="1" x14ac:dyDescent="0.35">
      <c r="A1487">
        <v>2020</v>
      </c>
      <c r="B1487" t="s">
        <v>154</v>
      </c>
      <c r="C1487">
        <v>7</v>
      </c>
      <c r="D1487" t="s">
        <v>92</v>
      </c>
      <c r="E1487">
        <v>1832</v>
      </c>
      <c r="F1487">
        <v>2357</v>
      </c>
      <c r="G1487">
        <v>896</v>
      </c>
      <c r="H1487" t="s">
        <v>72</v>
      </c>
      <c r="I1487" t="s">
        <v>173</v>
      </c>
    </row>
    <row r="1488" spans="1:9" ht="15" customHeight="1" x14ac:dyDescent="0.35">
      <c r="A1488">
        <v>2020</v>
      </c>
      <c r="B1488" t="s">
        <v>155</v>
      </c>
      <c r="C1488">
        <v>8</v>
      </c>
      <c r="D1488" t="s">
        <v>92</v>
      </c>
      <c r="E1488">
        <v>1766</v>
      </c>
      <c r="F1488">
        <v>2298</v>
      </c>
      <c r="G1488">
        <v>825</v>
      </c>
      <c r="H1488" t="s">
        <v>72</v>
      </c>
      <c r="I1488" t="s">
        <v>173</v>
      </c>
    </row>
    <row r="1489" spans="1:9" ht="15" customHeight="1" x14ac:dyDescent="0.35">
      <c r="A1489">
        <v>2020</v>
      </c>
      <c r="B1489" t="s">
        <v>156</v>
      </c>
      <c r="C1489">
        <v>9</v>
      </c>
      <c r="D1489" t="s">
        <v>92</v>
      </c>
      <c r="E1489">
        <v>1878</v>
      </c>
      <c r="F1489">
        <v>2433</v>
      </c>
      <c r="G1489">
        <v>456</v>
      </c>
      <c r="H1489" t="s">
        <v>72</v>
      </c>
      <c r="I1489" t="s">
        <v>173</v>
      </c>
    </row>
    <row r="1490" spans="1:9" ht="15" customHeight="1" x14ac:dyDescent="0.35">
      <c r="A1490">
        <v>2020</v>
      </c>
      <c r="B1490" t="s">
        <v>157</v>
      </c>
      <c r="C1490">
        <v>10</v>
      </c>
      <c r="D1490" t="s">
        <v>92</v>
      </c>
      <c r="E1490">
        <v>1892</v>
      </c>
      <c r="F1490">
        <v>2364</v>
      </c>
      <c r="G1490">
        <v>1243</v>
      </c>
      <c r="H1490" t="s">
        <v>72</v>
      </c>
      <c r="I1490" t="s">
        <v>173</v>
      </c>
    </row>
    <row r="1491" spans="1:9" ht="15" customHeight="1" x14ac:dyDescent="0.35">
      <c r="A1491">
        <v>2020</v>
      </c>
      <c r="B1491" t="s">
        <v>158</v>
      </c>
      <c r="C1491">
        <v>11</v>
      </c>
      <c r="D1491" t="s">
        <v>92</v>
      </c>
      <c r="E1491">
        <v>2084</v>
      </c>
      <c r="F1491">
        <v>2452</v>
      </c>
      <c r="G1491">
        <v>1194</v>
      </c>
      <c r="H1491" t="s">
        <v>72</v>
      </c>
      <c r="I1491" t="s">
        <v>173</v>
      </c>
    </row>
    <row r="1492" spans="1:9" ht="15" customHeight="1" x14ac:dyDescent="0.35">
      <c r="A1492">
        <v>2020</v>
      </c>
      <c r="B1492" t="s">
        <v>159</v>
      </c>
      <c r="C1492">
        <v>12</v>
      </c>
      <c r="D1492" t="s">
        <v>92</v>
      </c>
      <c r="E1492">
        <v>2261</v>
      </c>
      <c r="F1492">
        <v>2657</v>
      </c>
      <c r="G1492">
        <v>1111</v>
      </c>
      <c r="H1492" t="s">
        <v>72</v>
      </c>
      <c r="I1492" t="s">
        <v>173</v>
      </c>
    </row>
    <row r="1493" spans="1:9" ht="15" customHeight="1" x14ac:dyDescent="0.35">
      <c r="A1493">
        <v>2021</v>
      </c>
      <c r="B1493" t="s">
        <v>147</v>
      </c>
      <c r="C1493">
        <v>1</v>
      </c>
      <c r="D1493" t="s">
        <v>92</v>
      </c>
      <c r="E1493">
        <v>2234</v>
      </c>
      <c r="F1493">
        <v>2689</v>
      </c>
      <c r="G1493">
        <v>470</v>
      </c>
      <c r="H1493" t="s">
        <v>72</v>
      </c>
      <c r="I1493" t="s">
        <v>173</v>
      </c>
    </row>
    <row r="1494" spans="1:9" ht="15" customHeight="1" x14ac:dyDescent="0.35">
      <c r="A1494">
        <v>2021</v>
      </c>
      <c r="B1494" t="s">
        <v>149</v>
      </c>
      <c r="C1494">
        <v>2</v>
      </c>
      <c r="D1494" t="s">
        <v>92</v>
      </c>
      <c r="E1494">
        <v>2223</v>
      </c>
      <c r="F1494">
        <v>2601</v>
      </c>
      <c r="G1494">
        <v>907</v>
      </c>
      <c r="H1494" t="s">
        <v>72</v>
      </c>
      <c r="I1494" t="s">
        <v>173</v>
      </c>
    </row>
    <row r="1495" spans="1:9" ht="15" customHeight="1" x14ac:dyDescent="0.35">
      <c r="A1495">
        <v>2021</v>
      </c>
      <c r="B1495" t="s">
        <v>150</v>
      </c>
      <c r="C1495">
        <v>3</v>
      </c>
      <c r="D1495" t="s">
        <v>92</v>
      </c>
      <c r="E1495">
        <v>2045</v>
      </c>
      <c r="F1495">
        <v>2458</v>
      </c>
      <c r="G1495">
        <v>1391</v>
      </c>
      <c r="H1495" t="s">
        <v>72</v>
      </c>
      <c r="I1495" t="s">
        <v>173</v>
      </c>
    </row>
    <row r="1496" spans="1:9" ht="15" customHeight="1" x14ac:dyDescent="0.35">
      <c r="A1496">
        <v>2021</v>
      </c>
      <c r="B1496" t="s">
        <v>151</v>
      </c>
      <c r="C1496">
        <v>4</v>
      </c>
      <c r="D1496" t="s">
        <v>92</v>
      </c>
      <c r="E1496">
        <v>2111</v>
      </c>
      <c r="F1496">
        <v>2532</v>
      </c>
      <c r="G1496">
        <v>1241</v>
      </c>
      <c r="H1496" t="s">
        <v>73</v>
      </c>
      <c r="I1496" t="s">
        <v>173</v>
      </c>
    </row>
    <row r="1497" spans="1:9" ht="15" customHeight="1" x14ac:dyDescent="0.35">
      <c r="A1497">
        <v>2021</v>
      </c>
      <c r="B1497" t="s">
        <v>152</v>
      </c>
      <c r="C1497">
        <v>5</v>
      </c>
      <c r="D1497" t="s">
        <v>92</v>
      </c>
      <c r="E1497">
        <v>2022</v>
      </c>
      <c r="F1497">
        <v>2519</v>
      </c>
      <c r="G1497">
        <v>921</v>
      </c>
      <c r="H1497" t="s">
        <v>73</v>
      </c>
      <c r="I1497" t="s">
        <v>173</v>
      </c>
    </row>
    <row r="1498" spans="1:9" ht="15" customHeight="1" x14ac:dyDescent="0.35">
      <c r="A1498">
        <v>2021</v>
      </c>
      <c r="B1498" t="s">
        <v>153</v>
      </c>
      <c r="C1498">
        <v>6</v>
      </c>
      <c r="D1498" t="s">
        <v>92</v>
      </c>
      <c r="E1498">
        <v>1944</v>
      </c>
      <c r="F1498">
        <v>2404</v>
      </c>
      <c r="G1498">
        <v>941</v>
      </c>
      <c r="H1498" t="s">
        <v>73</v>
      </c>
      <c r="I1498" t="s">
        <v>173</v>
      </c>
    </row>
    <row r="1499" spans="1:9" ht="15" customHeight="1" x14ac:dyDescent="0.35">
      <c r="A1499">
        <v>2021</v>
      </c>
      <c r="B1499" t="s">
        <v>154</v>
      </c>
      <c r="C1499">
        <v>7</v>
      </c>
      <c r="D1499" t="s">
        <v>92</v>
      </c>
      <c r="E1499">
        <v>1847</v>
      </c>
      <c r="F1499">
        <v>2435</v>
      </c>
      <c r="G1499">
        <v>569</v>
      </c>
      <c r="H1499" t="s">
        <v>73</v>
      </c>
      <c r="I1499" t="s">
        <v>173</v>
      </c>
    </row>
    <row r="1500" spans="1:9" ht="15" customHeight="1" x14ac:dyDescent="0.35">
      <c r="A1500">
        <v>2021</v>
      </c>
      <c r="B1500" t="s">
        <v>155</v>
      </c>
      <c r="C1500">
        <v>8</v>
      </c>
      <c r="D1500" t="s">
        <v>92</v>
      </c>
      <c r="E1500">
        <v>1973</v>
      </c>
      <c r="F1500">
        <v>2509</v>
      </c>
      <c r="G1500">
        <v>965</v>
      </c>
      <c r="H1500" t="s">
        <v>73</v>
      </c>
      <c r="I1500" t="s">
        <v>173</v>
      </c>
    </row>
    <row r="1501" spans="1:9" ht="15" customHeight="1" x14ac:dyDescent="0.35">
      <c r="A1501">
        <v>2021</v>
      </c>
      <c r="B1501" t="s">
        <v>156</v>
      </c>
      <c r="C1501">
        <v>9</v>
      </c>
      <c r="D1501" t="s">
        <v>92</v>
      </c>
      <c r="E1501">
        <v>1891</v>
      </c>
      <c r="F1501">
        <v>2501</v>
      </c>
      <c r="G1501">
        <v>949</v>
      </c>
      <c r="H1501" t="s">
        <v>73</v>
      </c>
      <c r="I1501" t="s">
        <v>173</v>
      </c>
    </row>
    <row r="1502" spans="1:9" ht="15" customHeight="1" x14ac:dyDescent="0.35">
      <c r="A1502">
        <v>2021</v>
      </c>
      <c r="B1502" t="s">
        <v>157</v>
      </c>
      <c r="C1502">
        <v>10</v>
      </c>
      <c r="D1502" t="s">
        <v>92</v>
      </c>
      <c r="E1502">
        <v>1910</v>
      </c>
      <c r="F1502">
        <v>2737</v>
      </c>
      <c r="G1502">
        <v>641</v>
      </c>
      <c r="H1502" t="s">
        <v>73</v>
      </c>
      <c r="I1502" t="s">
        <v>173</v>
      </c>
    </row>
    <row r="1503" spans="1:9" ht="15" customHeight="1" x14ac:dyDescent="0.35">
      <c r="A1503">
        <v>2021</v>
      </c>
      <c r="B1503" t="s">
        <v>158</v>
      </c>
      <c r="C1503">
        <v>11</v>
      </c>
      <c r="D1503" t="s">
        <v>92</v>
      </c>
      <c r="E1503">
        <v>2262</v>
      </c>
      <c r="F1503">
        <v>2731</v>
      </c>
      <c r="G1503">
        <v>1675</v>
      </c>
      <c r="H1503" t="s">
        <v>73</v>
      </c>
      <c r="I1503" t="s">
        <v>173</v>
      </c>
    </row>
    <row r="1504" spans="1:9" ht="15" customHeight="1" x14ac:dyDescent="0.35">
      <c r="A1504">
        <v>2021</v>
      </c>
      <c r="B1504" t="s">
        <v>159</v>
      </c>
      <c r="C1504">
        <v>12</v>
      </c>
      <c r="D1504" t="s">
        <v>92</v>
      </c>
      <c r="E1504">
        <v>2435</v>
      </c>
      <c r="F1504">
        <v>3137</v>
      </c>
      <c r="G1504">
        <v>1624</v>
      </c>
      <c r="H1504" t="s">
        <v>73</v>
      </c>
      <c r="I1504" t="s">
        <v>173</v>
      </c>
    </row>
    <row r="1505" spans="1:9" ht="15" customHeight="1" x14ac:dyDescent="0.35">
      <c r="A1505">
        <v>2022</v>
      </c>
      <c r="B1505" t="s">
        <v>147</v>
      </c>
      <c r="C1505">
        <v>1</v>
      </c>
      <c r="D1505" t="s">
        <v>92</v>
      </c>
      <c r="E1505">
        <v>2535</v>
      </c>
      <c r="F1505">
        <v>3021</v>
      </c>
      <c r="G1505">
        <v>829</v>
      </c>
      <c r="H1505" t="s">
        <v>73</v>
      </c>
      <c r="I1505" t="s">
        <v>173</v>
      </c>
    </row>
    <row r="1506" spans="1:9" ht="15" customHeight="1" x14ac:dyDescent="0.35">
      <c r="A1506">
        <v>2022</v>
      </c>
      <c r="B1506" t="s">
        <v>149</v>
      </c>
      <c r="C1506">
        <v>2</v>
      </c>
      <c r="D1506" t="s">
        <v>92</v>
      </c>
      <c r="E1506">
        <v>2446</v>
      </c>
      <c r="F1506">
        <v>3062</v>
      </c>
      <c r="G1506">
        <v>759</v>
      </c>
      <c r="H1506" t="s">
        <v>73</v>
      </c>
      <c r="I1506" t="s">
        <v>173</v>
      </c>
    </row>
    <row r="1507" spans="1:9" ht="15" customHeight="1" x14ac:dyDescent="0.35">
      <c r="A1507">
        <v>2022</v>
      </c>
      <c r="B1507" t="s">
        <v>150</v>
      </c>
      <c r="C1507">
        <v>3</v>
      </c>
      <c r="D1507" t="s">
        <v>92</v>
      </c>
      <c r="E1507">
        <v>2194</v>
      </c>
      <c r="F1507">
        <v>2817</v>
      </c>
      <c r="G1507">
        <v>1052</v>
      </c>
      <c r="H1507" t="s">
        <v>73</v>
      </c>
      <c r="I1507" t="s">
        <v>173</v>
      </c>
    </row>
    <row r="1508" spans="1:9" ht="15" customHeight="1" x14ac:dyDescent="0.35">
      <c r="A1508">
        <v>2022</v>
      </c>
      <c r="B1508" t="s">
        <v>151</v>
      </c>
      <c r="C1508">
        <v>4</v>
      </c>
      <c r="D1508" t="s">
        <v>92</v>
      </c>
      <c r="E1508">
        <v>1938</v>
      </c>
      <c r="F1508">
        <v>2598</v>
      </c>
      <c r="G1508">
        <v>1208</v>
      </c>
      <c r="H1508" t="s">
        <v>74</v>
      </c>
      <c r="I1508" t="s">
        <v>173</v>
      </c>
    </row>
    <row r="1509" spans="1:9" ht="15" customHeight="1" x14ac:dyDescent="0.35">
      <c r="A1509">
        <v>2022</v>
      </c>
      <c r="B1509" t="s">
        <v>152</v>
      </c>
      <c r="C1509">
        <v>5</v>
      </c>
      <c r="D1509" t="s">
        <v>92</v>
      </c>
      <c r="E1509">
        <v>2085</v>
      </c>
      <c r="F1509">
        <v>2658</v>
      </c>
      <c r="G1509">
        <v>941</v>
      </c>
      <c r="H1509" t="s">
        <v>74</v>
      </c>
      <c r="I1509" t="s">
        <v>173</v>
      </c>
    </row>
    <row r="1510" spans="1:9" ht="15" customHeight="1" x14ac:dyDescent="0.35">
      <c r="A1510">
        <v>2022</v>
      </c>
      <c r="B1510" t="s">
        <v>153</v>
      </c>
      <c r="C1510">
        <v>6</v>
      </c>
      <c r="D1510" t="s">
        <v>92</v>
      </c>
      <c r="E1510">
        <v>2056</v>
      </c>
      <c r="F1510">
        <v>2597</v>
      </c>
      <c r="G1510">
        <v>666</v>
      </c>
      <c r="H1510" t="s">
        <v>74</v>
      </c>
      <c r="I1510" t="s">
        <v>173</v>
      </c>
    </row>
    <row r="1511" spans="1:9" ht="15" customHeight="1" x14ac:dyDescent="0.35">
      <c r="A1511">
        <v>2022</v>
      </c>
      <c r="B1511" t="s">
        <v>154</v>
      </c>
      <c r="C1511">
        <v>7</v>
      </c>
      <c r="D1511" t="s">
        <v>92</v>
      </c>
      <c r="E1511">
        <v>2063</v>
      </c>
      <c r="F1511">
        <v>3041</v>
      </c>
      <c r="G1511">
        <v>1249</v>
      </c>
      <c r="H1511" t="s">
        <v>74</v>
      </c>
      <c r="I1511" t="s">
        <v>173</v>
      </c>
    </row>
    <row r="1512" spans="1:9" ht="15" customHeight="1" x14ac:dyDescent="0.35">
      <c r="A1512">
        <v>2022</v>
      </c>
      <c r="B1512" t="s">
        <v>155</v>
      </c>
      <c r="C1512">
        <v>8</v>
      </c>
      <c r="D1512" t="s">
        <v>92</v>
      </c>
      <c r="E1512">
        <v>2061</v>
      </c>
      <c r="F1512">
        <v>2759</v>
      </c>
      <c r="G1512">
        <v>1064</v>
      </c>
      <c r="H1512" t="s">
        <v>74</v>
      </c>
      <c r="I1512" t="s">
        <v>173</v>
      </c>
    </row>
    <row r="1513" spans="1:9" ht="15" customHeight="1" x14ac:dyDescent="0.35">
      <c r="A1513">
        <v>2022</v>
      </c>
      <c r="B1513" t="s">
        <v>156</v>
      </c>
      <c r="C1513">
        <v>9</v>
      </c>
      <c r="D1513" t="s">
        <v>92</v>
      </c>
      <c r="E1513">
        <v>2025</v>
      </c>
      <c r="F1513">
        <v>2749</v>
      </c>
      <c r="G1513">
        <v>1017</v>
      </c>
      <c r="H1513" t="s">
        <v>74</v>
      </c>
      <c r="I1513" t="s">
        <v>173</v>
      </c>
    </row>
    <row r="1514" spans="1:9" ht="15" customHeight="1" x14ac:dyDescent="0.35">
      <c r="A1514">
        <v>2022</v>
      </c>
      <c r="B1514" t="s">
        <v>157</v>
      </c>
      <c r="C1514">
        <v>10</v>
      </c>
      <c r="D1514" t="s">
        <v>92</v>
      </c>
      <c r="E1514">
        <v>2088</v>
      </c>
      <c r="F1514">
        <v>2769</v>
      </c>
      <c r="G1514">
        <v>963</v>
      </c>
      <c r="H1514" t="s">
        <v>74</v>
      </c>
      <c r="I1514" t="s">
        <v>173</v>
      </c>
    </row>
    <row r="1515" spans="1:9" ht="15" customHeight="1" x14ac:dyDescent="0.35">
      <c r="A1515">
        <v>2022</v>
      </c>
      <c r="B1515" t="s">
        <v>158</v>
      </c>
      <c r="C1515">
        <v>11</v>
      </c>
      <c r="D1515" t="s">
        <v>92</v>
      </c>
      <c r="E1515">
        <v>2276</v>
      </c>
      <c r="F1515">
        <v>2703</v>
      </c>
      <c r="G1515">
        <v>487</v>
      </c>
      <c r="H1515" t="s">
        <v>74</v>
      </c>
      <c r="I1515" t="s">
        <v>173</v>
      </c>
    </row>
    <row r="1516" spans="1:9" ht="15" customHeight="1" x14ac:dyDescent="0.35">
      <c r="A1516">
        <v>2022</v>
      </c>
      <c r="B1516" t="s">
        <v>159</v>
      </c>
      <c r="C1516">
        <v>12</v>
      </c>
      <c r="D1516" t="s">
        <v>92</v>
      </c>
      <c r="E1516">
        <v>2494</v>
      </c>
      <c r="F1516">
        <v>2925</v>
      </c>
      <c r="G1516">
        <v>1675</v>
      </c>
      <c r="H1516" t="s">
        <v>74</v>
      </c>
      <c r="I1516" t="s">
        <v>173</v>
      </c>
    </row>
    <row r="1517" spans="1:9" ht="15" customHeight="1" x14ac:dyDescent="0.35">
      <c r="A1517">
        <v>2023</v>
      </c>
      <c r="B1517" t="s">
        <v>147</v>
      </c>
      <c r="C1517">
        <v>1</v>
      </c>
      <c r="D1517" t="s">
        <v>92</v>
      </c>
      <c r="E1517">
        <v>2670</v>
      </c>
      <c r="F1517">
        <v>3072</v>
      </c>
      <c r="G1517">
        <v>1585</v>
      </c>
      <c r="H1517" t="s">
        <v>74</v>
      </c>
      <c r="I1517" t="s">
        <v>173</v>
      </c>
    </row>
    <row r="1518" spans="1:9" ht="15" customHeight="1" x14ac:dyDescent="0.35">
      <c r="A1518">
        <v>2023</v>
      </c>
      <c r="B1518" t="s">
        <v>149</v>
      </c>
      <c r="C1518">
        <v>2</v>
      </c>
      <c r="D1518" t="s">
        <v>92</v>
      </c>
      <c r="E1518">
        <v>2512</v>
      </c>
      <c r="F1518">
        <v>3038</v>
      </c>
      <c r="G1518">
        <v>1498</v>
      </c>
      <c r="H1518" t="s">
        <v>74</v>
      </c>
      <c r="I1518" t="s">
        <v>173</v>
      </c>
    </row>
    <row r="1519" spans="1:9" ht="15" customHeight="1" x14ac:dyDescent="0.35">
      <c r="A1519">
        <v>2023</v>
      </c>
      <c r="B1519" t="s">
        <v>150</v>
      </c>
      <c r="C1519">
        <v>3</v>
      </c>
      <c r="D1519" t="s">
        <v>92</v>
      </c>
      <c r="E1519">
        <v>2331</v>
      </c>
      <c r="F1519">
        <v>2899</v>
      </c>
      <c r="G1519">
        <v>1607</v>
      </c>
      <c r="H1519" t="s">
        <v>74</v>
      </c>
      <c r="I1519" t="s">
        <v>173</v>
      </c>
    </row>
    <row r="1520" spans="1:9" ht="15" customHeight="1" x14ac:dyDescent="0.35">
      <c r="A1520">
        <v>2023</v>
      </c>
      <c r="B1520" t="s">
        <v>151</v>
      </c>
      <c r="C1520">
        <v>4</v>
      </c>
      <c r="D1520" t="s">
        <v>92</v>
      </c>
      <c r="E1520">
        <v>2339</v>
      </c>
      <c r="F1520">
        <v>3004</v>
      </c>
      <c r="G1520">
        <v>1215</v>
      </c>
      <c r="H1520" t="s">
        <v>75</v>
      </c>
      <c r="I1520" t="s">
        <v>173</v>
      </c>
    </row>
    <row r="1521" spans="1:9" ht="15" customHeight="1" x14ac:dyDescent="0.35">
      <c r="A1521">
        <v>2023</v>
      </c>
      <c r="B1521" t="s">
        <v>152</v>
      </c>
      <c r="C1521">
        <v>5</v>
      </c>
      <c r="D1521" t="s">
        <v>92</v>
      </c>
      <c r="E1521">
        <v>1770</v>
      </c>
      <c r="F1521">
        <v>2821</v>
      </c>
      <c r="G1521">
        <v>740</v>
      </c>
      <c r="H1521" t="s">
        <v>75</v>
      </c>
      <c r="I1521" t="s">
        <v>173</v>
      </c>
    </row>
    <row r="1522" spans="1:9" ht="15" customHeight="1" x14ac:dyDescent="0.35">
      <c r="A1522">
        <v>2023</v>
      </c>
      <c r="B1522" t="s">
        <v>153</v>
      </c>
      <c r="C1522">
        <v>6</v>
      </c>
      <c r="D1522" t="s">
        <v>92</v>
      </c>
      <c r="E1522">
        <v>2121</v>
      </c>
      <c r="F1522">
        <v>2579</v>
      </c>
      <c r="G1522">
        <v>1044</v>
      </c>
      <c r="H1522" t="s">
        <v>75</v>
      </c>
      <c r="I1522" t="s">
        <v>173</v>
      </c>
    </row>
    <row r="1523" spans="1:9" ht="15" customHeight="1" x14ac:dyDescent="0.35">
      <c r="A1523">
        <v>2023</v>
      </c>
      <c r="B1523" t="s">
        <v>154</v>
      </c>
      <c r="C1523">
        <v>7</v>
      </c>
      <c r="D1523" t="s">
        <v>92</v>
      </c>
      <c r="E1523">
        <v>2067</v>
      </c>
      <c r="F1523">
        <v>2466</v>
      </c>
      <c r="G1523">
        <v>1142</v>
      </c>
      <c r="H1523" t="s">
        <v>75</v>
      </c>
      <c r="I1523" t="s">
        <v>173</v>
      </c>
    </row>
    <row r="1524" spans="1:9" ht="15" customHeight="1" x14ac:dyDescent="0.35">
      <c r="A1524">
        <v>2023</v>
      </c>
      <c r="B1524" t="s">
        <v>155</v>
      </c>
      <c r="C1524">
        <v>8</v>
      </c>
      <c r="D1524" t="s">
        <v>92</v>
      </c>
      <c r="E1524">
        <v>2096</v>
      </c>
      <c r="F1524">
        <v>2569</v>
      </c>
      <c r="G1524">
        <v>1208</v>
      </c>
      <c r="H1524" t="s">
        <v>75</v>
      </c>
      <c r="I1524" t="s">
        <v>173</v>
      </c>
    </row>
    <row r="1525" spans="1:9" ht="15" customHeight="1" x14ac:dyDescent="0.35">
      <c r="A1525">
        <v>2023</v>
      </c>
      <c r="B1525" t="s">
        <v>156</v>
      </c>
      <c r="C1525">
        <v>9</v>
      </c>
      <c r="D1525" t="s">
        <v>92</v>
      </c>
      <c r="E1525">
        <v>1996</v>
      </c>
      <c r="F1525">
        <v>2556</v>
      </c>
      <c r="G1525">
        <v>895</v>
      </c>
      <c r="H1525" t="s">
        <v>75</v>
      </c>
      <c r="I1525" t="s">
        <v>173</v>
      </c>
    </row>
    <row r="1526" spans="1:9" ht="15" customHeight="1" x14ac:dyDescent="0.35">
      <c r="A1526">
        <v>2023</v>
      </c>
      <c r="B1526" t="s">
        <v>157</v>
      </c>
      <c r="C1526">
        <v>10</v>
      </c>
      <c r="D1526" t="s">
        <v>92</v>
      </c>
      <c r="E1526">
        <v>2002</v>
      </c>
      <c r="F1526">
        <v>2803</v>
      </c>
      <c r="G1526">
        <v>838</v>
      </c>
      <c r="H1526" t="s">
        <v>75</v>
      </c>
      <c r="I1526" t="s">
        <v>173</v>
      </c>
    </row>
    <row r="1527" spans="1:9" ht="15" customHeight="1" x14ac:dyDescent="0.35">
      <c r="A1527">
        <v>2023</v>
      </c>
      <c r="B1527" t="s">
        <v>158</v>
      </c>
      <c r="C1527">
        <v>11</v>
      </c>
      <c r="D1527" t="s">
        <v>92</v>
      </c>
      <c r="E1527">
        <v>2187</v>
      </c>
      <c r="F1527">
        <v>2635</v>
      </c>
      <c r="G1527">
        <v>1308</v>
      </c>
      <c r="H1527" t="s">
        <v>75</v>
      </c>
      <c r="I1527" t="s">
        <v>173</v>
      </c>
    </row>
    <row r="1528" spans="1:9" ht="15" customHeight="1" x14ac:dyDescent="0.35">
      <c r="A1528">
        <v>2023</v>
      </c>
      <c r="B1528" t="s">
        <v>159</v>
      </c>
      <c r="C1528">
        <v>12</v>
      </c>
      <c r="D1528" t="s">
        <v>92</v>
      </c>
      <c r="E1528">
        <v>2432</v>
      </c>
      <c r="F1528">
        <v>2924</v>
      </c>
      <c r="G1528">
        <v>1899</v>
      </c>
      <c r="H1528" t="s">
        <v>75</v>
      </c>
      <c r="I1528" t="s">
        <v>173</v>
      </c>
    </row>
    <row r="1529" spans="1:9" ht="15" customHeight="1" x14ac:dyDescent="0.35">
      <c r="A1529">
        <v>2024</v>
      </c>
      <c r="B1529" t="s">
        <v>147</v>
      </c>
      <c r="C1529">
        <v>1</v>
      </c>
      <c r="D1529" t="s">
        <v>92</v>
      </c>
      <c r="E1529">
        <v>2723</v>
      </c>
      <c r="F1529">
        <v>3156</v>
      </c>
      <c r="G1529">
        <v>1964</v>
      </c>
      <c r="H1529" t="s">
        <v>75</v>
      </c>
      <c r="I1529" t="s">
        <v>173</v>
      </c>
    </row>
    <row r="1530" spans="1:9" ht="15" customHeight="1" x14ac:dyDescent="0.35">
      <c r="A1530">
        <v>2024</v>
      </c>
      <c r="B1530" t="s">
        <v>149</v>
      </c>
      <c r="C1530">
        <v>2</v>
      </c>
      <c r="D1530" t="s">
        <v>92</v>
      </c>
      <c r="E1530">
        <v>2475</v>
      </c>
      <c r="F1530">
        <v>3093</v>
      </c>
      <c r="G1530">
        <v>685</v>
      </c>
      <c r="H1530" t="s">
        <v>75</v>
      </c>
      <c r="I1530" t="s">
        <v>173</v>
      </c>
    </row>
    <row r="1531" spans="1:9" ht="15" customHeight="1" x14ac:dyDescent="0.35">
      <c r="A1531">
        <v>2024</v>
      </c>
      <c r="B1531" t="s">
        <v>150</v>
      </c>
      <c r="C1531">
        <v>3</v>
      </c>
      <c r="D1531" t="s">
        <v>92</v>
      </c>
      <c r="E1531">
        <v>2326</v>
      </c>
      <c r="F1531">
        <v>2941</v>
      </c>
      <c r="G1531">
        <v>1068</v>
      </c>
      <c r="H1531" t="s">
        <v>75</v>
      </c>
      <c r="I1531" t="s">
        <v>173</v>
      </c>
    </row>
    <row r="1532" spans="1:9" ht="15" customHeight="1" x14ac:dyDescent="0.35">
      <c r="A1532">
        <v>2024</v>
      </c>
      <c r="B1532" t="s">
        <v>151</v>
      </c>
      <c r="C1532">
        <v>4</v>
      </c>
      <c r="D1532" t="s">
        <v>92</v>
      </c>
      <c r="E1532">
        <v>2332</v>
      </c>
      <c r="F1532">
        <v>2941</v>
      </c>
      <c r="G1532">
        <v>1068</v>
      </c>
      <c r="H1532" t="s">
        <v>77</v>
      </c>
      <c r="I1532" t="s">
        <v>173</v>
      </c>
    </row>
    <row r="1533" spans="1:9" ht="15" customHeight="1" x14ac:dyDescent="0.35">
      <c r="A1533">
        <v>2024</v>
      </c>
      <c r="B1533" t="s">
        <v>152</v>
      </c>
      <c r="C1533">
        <v>5</v>
      </c>
      <c r="D1533" t="s">
        <v>92</v>
      </c>
      <c r="E1533">
        <v>2164</v>
      </c>
      <c r="F1533">
        <v>2769</v>
      </c>
      <c r="G1533">
        <v>1260</v>
      </c>
      <c r="H1533" t="s">
        <v>77</v>
      </c>
      <c r="I1533" t="s">
        <v>173</v>
      </c>
    </row>
    <row r="1534" spans="1:9" ht="15" customHeight="1" x14ac:dyDescent="0.35">
      <c r="A1534">
        <v>2024</v>
      </c>
      <c r="B1534" t="s">
        <v>153</v>
      </c>
      <c r="C1534">
        <v>6</v>
      </c>
      <c r="D1534" t="s">
        <v>92</v>
      </c>
      <c r="E1534">
        <v>2227</v>
      </c>
      <c r="F1534">
        <v>2793</v>
      </c>
      <c r="G1534">
        <v>1239</v>
      </c>
      <c r="H1534" t="s">
        <v>77</v>
      </c>
      <c r="I1534" t="s">
        <v>173</v>
      </c>
    </row>
    <row r="1535" spans="1:9" ht="15" customHeight="1" x14ac:dyDescent="0.35">
      <c r="A1535">
        <v>2024</v>
      </c>
      <c r="B1535" t="s">
        <v>154</v>
      </c>
      <c r="C1535">
        <v>7</v>
      </c>
      <c r="D1535" t="s">
        <v>92</v>
      </c>
      <c r="E1535">
        <v>2181</v>
      </c>
      <c r="F1535">
        <v>2754</v>
      </c>
      <c r="G1535">
        <v>931</v>
      </c>
      <c r="H1535" t="s">
        <v>77</v>
      </c>
      <c r="I1535" t="s">
        <v>173</v>
      </c>
    </row>
    <row r="1536" spans="1:9" ht="15" customHeight="1" x14ac:dyDescent="0.35">
      <c r="A1536">
        <v>2024</v>
      </c>
      <c r="B1536" t="s">
        <v>155</v>
      </c>
      <c r="C1536">
        <v>8</v>
      </c>
      <c r="D1536" t="s">
        <v>92</v>
      </c>
      <c r="E1536">
        <v>2038</v>
      </c>
      <c r="F1536">
        <v>2606</v>
      </c>
      <c r="G1536">
        <v>1130</v>
      </c>
      <c r="H1536" t="s">
        <v>77</v>
      </c>
      <c r="I1536" t="s">
        <v>173</v>
      </c>
    </row>
    <row r="1537" spans="1:9" ht="15" customHeight="1" x14ac:dyDescent="0.35">
      <c r="A1537">
        <v>2024</v>
      </c>
      <c r="B1537" t="s">
        <v>156</v>
      </c>
      <c r="C1537">
        <v>9</v>
      </c>
      <c r="D1537" t="s">
        <v>92</v>
      </c>
      <c r="E1537">
        <v>2159</v>
      </c>
      <c r="F1537">
        <v>3050</v>
      </c>
      <c r="G1537">
        <v>1185</v>
      </c>
      <c r="H1537" t="s">
        <v>77</v>
      </c>
      <c r="I1537" t="s">
        <v>173</v>
      </c>
    </row>
    <row r="1538" spans="1:9" ht="15" customHeight="1" x14ac:dyDescent="0.35">
      <c r="A1538">
        <v>2024</v>
      </c>
      <c r="B1538" t="s">
        <v>157</v>
      </c>
      <c r="C1538">
        <v>10</v>
      </c>
      <c r="D1538" t="s">
        <v>92</v>
      </c>
      <c r="E1538">
        <v>2085</v>
      </c>
      <c r="F1538">
        <v>2889</v>
      </c>
      <c r="G1538">
        <v>1055</v>
      </c>
      <c r="H1538" t="s">
        <v>77</v>
      </c>
      <c r="I1538" t="s">
        <v>173</v>
      </c>
    </row>
    <row r="1539" spans="1:9" ht="15" customHeight="1" x14ac:dyDescent="0.35">
      <c r="A1539">
        <v>2024</v>
      </c>
      <c r="B1539" t="s">
        <v>158</v>
      </c>
      <c r="C1539">
        <v>11</v>
      </c>
      <c r="D1539" t="s">
        <v>92</v>
      </c>
      <c r="E1539">
        <v>2307</v>
      </c>
      <c r="F1539">
        <v>2926</v>
      </c>
      <c r="G1539">
        <v>1302</v>
      </c>
      <c r="H1539" t="s">
        <v>77</v>
      </c>
      <c r="I1539" t="s">
        <v>173</v>
      </c>
    </row>
    <row r="1540" spans="1:9" ht="15" customHeight="1" x14ac:dyDescent="0.35">
      <c r="A1540">
        <v>2024</v>
      </c>
      <c r="B1540" t="s">
        <v>159</v>
      </c>
      <c r="C1540">
        <v>12</v>
      </c>
      <c r="D1540" t="s">
        <v>92</v>
      </c>
      <c r="E1540">
        <v>2690</v>
      </c>
      <c r="F1540">
        <v>3396</v>
      </c>
      <c r="G1540">
        <v>1133</v>
      </c>
      <c r="H1540" t="s">
        <v>77</v>
      </c>
      <c r="I1540" t="s">
        <v>173</v>
      </c>
    </row>
    <row r="1541" spans="1:9" ht="15" customHeight="1" x14ac:dyDescent="0.35">
      <c r="A1541">
        <v>2025</v>
      </c>
      <c r="B1541" t="s">
        <v>147</v>
      </c>
      <c r="C1541">
        <v>1</v>
      </c>
      <c r="D1541" t="s">
        <v>92</v>
      </c>
      <c r="E1541">
        <v>2829</v>
      </c>
      <c r="F1541">
        <v>3368</v>
      </c>
      <c r="G1541">
        <v>1697</v>
      </c>
      <c r="H1541" t="s">
        <v>77</v>
      </c>
      <c r="I1541" t="s">
        <v>173</v>
      </c>
    </row>
    <row r="1542" spans="1:9" ht="15" customHeight="1" x14ac:dyDescent="0.35">
      <c r="A1542">
        <v>2025</v>
      </c>
      <c r="B1542" t="s">
        <v>149</v>
      </c>
      <c r="C1542">
        <v>2</v>
      </c>
      <c r="D1542" t="s">
        <v>92</v>
      </c>
      <c r="E1542">
        <v>2593</v>
      </c>
      <c r="F1542">
        <v>3075</v>
      </c>
      <c r="G1542">
        <v>1205</v>
      </c>
      <c r="H1542" t="s">
        <v>77</v>
      </c>
      <c r="I1542" t="s">
        <v>173</v>
      </c>
    </row>
    <row r="1543" spans="1:9" ht="15" customHeight="1" x14ac:dyDescent="0.35">
      <c r="A1543">
        <v>2025</v>
      </c>
      <c r="B1543" t="s">
        <v>150</v>
      </c>
      <c r="C1543">
        <v>3</v>
      </c>
      <c r="D1543" t="s">
        <v>92</v>
      </c>
      <c r="E1543">
        <v>2498</v>
      </c>
      <c r="F1543">
        <v>3043</v>
      </c>
      <c r="G1543">
        <v>1507</v>
      </c>
      <c r="H1543" t="s">
        <v>77</v>
      </c>
      <c r="I1543" t="s">
        <v>173</v>
      </c>
    </row>
    <row r="1544" spans="1:9" ht="15" customHeight="1" x14ac:dyDescent="0.35">
      <c r="A1544">
        <v>2025</v>
      </c>
      <c r="B1544" t="s">
        <v>151</v>
      </c>
      <c r="C1544">
        <v>4</v>
      </c>
      <c r="D1544" t="s">
        <v>92</v>
      </c>
      <c r="E1544">
        <v>2245</v>
      </c>
      <c r="F1544">
        <v>2941</v>
      </c>
      <c r="G1544">
        <v>843</v>
      </c>
      <c r="H1544" t="s">
        <v>78</v>
      </c>
      <c r="I1544" t="s">
        <v>173</v>
      </c>
    </row>
    <row r="1545" spans="1:9" ht="15" customHeight="1" x14ac:dyDescent="0.35">
      <c r="A1545">
        <v>2025</v>
      </c>
      <c r="B1545" t="s">
        <v>152</v>
      </c>
      <c r="C1545">
        <v>5</v>
      </c>
      <c r="D1545" t="s">
        <v>92</v>
      </c>
      <c r="E1545">
        <v>2153</v>
      </c>
      <c r="F1545">
        <v>2925</v>
      </c>
      <c r="G1545">
        <v>936</v>
      </c>
      <c r="H1545" t="s">
        <v>78</v>
      </c>
      <c r="I1545" t="s">
        <v>173</v>
      </c>
    </row>
    <row r="1546" spans="1:9" ht="15" customHeight="1" x14ac:dyDescent="0.35">
      <c r="A1546">
        <v>2025</v>
      </c>
      <c r="B1546" t="s">
        <v>153</v>
      </c>
      <c r="C1546">
        <v>6</v>
      </c>
      <c r="D1546" t="s">
        <v>92</v>
      </c>
      <c r="E1546">
        <v>2281</v>
      </c>
      <c r="F1546">
        <v>2890</v>
      </c>
      <c r="G1546">
        <v>1251</v>
      </c>
      <c r="H1546" t="s">
        <v>78</v>
      </c>
      <c r="I1546" t="s">
        <v>173</v>
      </c>
    </row>
    <row r="1547" spans="1:9" ht="15" customHeight="1" x14ac:dyDescent="0.35">
      <c r="A1547">
        <v>2025</v>
      </c>
      <c r="B1547" t="s">
        <v>154</v>
      </c>
      <c r="C1547">
        <v>7</v>
      </c>
      <c r="D1547" t="s">
        <v>92</v>
      </c>
      <c r="E1547">
        <v>2109</v>
      </c>
      <c r="F1547">
        <v>2699</v>
      </c>
      <c r="G1547">
        <v>1173</v>
      </c>
      <c r="H1547" t="s">
        <v>78</v>
      </c>
      <c r="I1547" t="s">
        <v>173</v>
      </c>
    </row>
    <row r="1548" spans="1:9" ht="15" customHeight="1" x14ac:dyDescent="0.35">
      <c r="A1548">
        <v>2025</v>
      </c>
      <c r="B1548" t="s">
        <v>155</v>
      </c>
      <c r="C1548">
        <v>8</v>
      </c>
      <c r="D1548" t="s">
        <v>92</v>
      </c>
      <c r="E1548">
        <v>1952</v>
      </c>
      <c r="F1548">
        <v>2746</v>
      </c>
      <c r="G1548">
        <v>648</v>
      </c>
      <c r="H1548" t="s">
        <v>78</v>
      </c>
      <c r="I1548" t="s">
        <v>173</v>
      </c>
    </row>
    <row r="1549" spans="1:9" ht="15" customHeight="1" x14ac:dyDescent="0.35">
      <c r="A1549">
        <v>2025</v>
      </c>
      <c r="B1549" t="s">
        <v>156</v>
      </c>
      <c r="C1549">
        <v>9</v>
      </c>
      <c r="D1549" t="s">
        <v>92</v>
      </c>
      <c r="E1549">
        <v>2042</v>
      </c>
      <c r="F1549">
        <v>2767</v>
      </c>
      <c r="G1549">
        <v>737</v>
      </c>
      <c r="H1549" t="s">
        <v>78</v>
      </c>
      <c r="I1549" t="s">
        <v>173</v>
      </c>
    </row>
    <row r="1550" spans="1:9" ht="15" customHeight="1" x14ac:dyDescent="0.35">
      <c r="A1550">
        <v>2025</v>
      </c>
      <c r="B1550" t="s">
        <v>157</v>
      </c>
      <c r="C1550">
        <v>10</v>
      </c>
      <c r="D1550" t="s">
        <v>92</v>
      </c>
      <c r="E1550">
        <v>2084</v>
      </c>
      <c r="F1550">
        <v>2760</v>
      </c>
      <c r="G1550">
        <v>691</v>
      </c>
      <c r="H1550" t="s">
        <v>78</v>
      </c>
      <c r="I1550" t="s">
        <v>173</v>
      </c>
    </row>
    <row r="1551" spans="1:9" ht="15" customHeight="1" x14ac:dyDescent="0.35">
      <c r="A1551">
        <v>2025</v>
      </c>
      <c r="B1551" t="s">
        <v>158</v>
      </c>
      <c r="C1551">
        <v>11</v>
      </c>
      <c r="D1551" t="s">
        <v>92</v>
      </c>
      <c r="E1551">
        <v>2472</v>
      </c>
      <c r="F1551">
        <v>3199</v>
      </c>
      <c r="G1551">
        <v>898</v>
      </c>
      <c r="H1551" t="s">
        <v>78</v>
      </c>
      <c r="I1551" t="s">
        <v>173</v>
      </c>
    </row>
    <row r="1552" spans="1:9" ht="15" customHeight="1" x14ac:dyDescent="0.35">
      <c r="A1552">
        <v>2025</v>
      </c>
      <c r="B1552" t="s">
        <v>159</v>
      </c>
      <c r="C1552">
        <v>12</v>
      </c>
      <c r="D1552" t="s">
        <v>92</v>
      </c>
      <c r="E1552">
        <v>2733</v>
      </c>
      <c r="F1552">
        <v>3320</v>
      </c>
      <c r="G1552">
        <v>1810</v>
      </c>
      <c r="H1552" t="s">
        <v>78</v>
      </c>
      <c r="I1552" t="s">
        <v>173</v>
      </c>
    </row>
    <row r="1553" spans="1:9" ht="15" customHeight="1" x14ac:dyDescent="0.35">
      <c r="A1553">
        <v>2026</v>
      </c>
      <c r="B1553" t="s">
        <v>147</v>
      </c>
      <c r="C1553">
        <v>1</v>
      </c>
      <c r="D1553" t="s">
        <v>92</v>
      </c>
      <c r="E1553">
        <v>2632</v>
      </c>
      <c r="F1553">
        <v>3338</v>
      </c>
      <c r="G1553">
        <v>46</v>
      </c>
      <c r="H1553" t="s">
        <v>78</v>
      </c>
      <c r="I1553" t="s">
        <v>173</v>
      </c>
    </row>
    <row r="1554" spans="1:9" ht="15" customHeight="1" x14ac:dyDescent="0.35">
      <c r="A1554">
        <v>2026</v>
      </c>
      <c r="B1554" t="s">
        <v>149</v>
      </c>
      <c r="C1554">
        <v>2</v>
      </c>
      <c r="D1554" t="s">
        <v>92</v>
      </c>
      <c r="E1554">
        <v>2461</v>
      </c>
      <c r="F1554">
        <v>3157</v>
      </c>
      <c r="G1554">
        <v>1696</v>
      </c>
      <c r="H1554" t="s">
        <v>78</v>
      </c>
      <c r="I1554" t="s">
        <v>173</v>
      </c>
    </row>
    <row r="1555" spans="1:9" ht="15" customHeight="1" x14ac:dyDescent="0.35">
      <c r="A1555">
        <v>2026</v>
      </c>
      <c r="B1555" t="s">
        <v>150</v>
      </c>
      <c r="C1555">
        <v>3</v>
      </c>
      <c r="D1555" t="s">
        <v>92</v>
      </c>
      <c r="E1555">
        <v>2632</v>
      </c>
      <c r="F1555">
        <v>3338</v>
      </c>
      <c r="G1555">
        <v>46</v>
      </c>
      <c r="H1555" t="s">
        <v>78</v>
      </c>
      <c r="I1555" t="s">
        <v>173</v>
      </c>
    </row>
    <row r="1556" spans="1:9" ht="15" customHeight="1" x14ac:dyDescent="0.35">
      <c r="A1556">
        <v>2017</v>
      </c>
      <c r="B1556" t="s">
        <v>147</v>
      </c>
      <c r="C1556">
        <v>1</v>
      </c>
      <c r="D1556" t="s">
        <v>93</v>
      </c>
      <c r="E1556">
        <v>883</v>
      </c>
      <c r="F1556">
        <v>1127</v>
      </c>
      <c r="G1556">
        <v>642</v>
      </c>
      <c r="H1556" t="s">
        <v>122</v>
      </c>
      <c r="I1556" t="s">
        <v>174</v>
      </c>
    </row>
    <row r="1557" spans="1:9" ht="15" customHeight="1" x14ac:dyDescent="0.35">
      <c r="A1557">
        <v>2017</v>
      </c>
      <c r="B1557" t="s">
        <v>149</v>
      </c>
      <c r="C1557">
        <v>2</v>
      </c>
      <c r="D1557" t="s">
        <v>93</v>
      </c>
      <c r="E1557">
        <v>845</v>
      </c>
      <c r="F1557">
        <v>1097</v>
      </c>
      <c r="G1557">
        <v>603</v>
      </c>
      <c r="H1557" t="s">
        <v>122</v>
      </c>
      <c r="I1557" t="s">
        <v>174</v>
      </c>
    </row>
    <row r="1558" spans="1:9" ht="15" customHeight="1" x14ac:dyDescent="0.35">
      <c r="A1558">
        <v>2017</v>
      </c>
      <c r="B1558" t="s">
        <v>150</v>
      </c>
      <c r="C1558">
        <v>3</v>
      </c>
      <c r="D1558" t="s">
        <v>93</v>
      </c>
      <c r="E1558">
        <v>898</v>
      </c>
      <c r="F1558">
        <v>1153</v>
      </c>
      <c r="G1558">
        <v>525</v>
      </c>
      <c r="H1558" t="s">
        <v>122</v>
      </c>
      <c r="I1558" t="s">
        <v>174</v>
      </c>
    </row>
    <row r="1559" spans="1:9" ht="15" customHeight="1" x14ac:dyDescent="0.35">
      <c r="A1559">
        <v>2017</v>
      </c>
      <c r="B1559" t="s">
        <v>151</v>
      </c>
      <c r="C1559">
        <v>4</v>
      </c>
      <c r="D1559" t="s">
        <v>93</v>
      </c>
      <c r="E1559">
        <v>917</v>
      </c>
      <c r="F1559">
        <v>1190</v>
      </c>
      <c r="G1559">
        <v>323</v>
      </c>
      <c r="H1559" t="s">
        <v>123</v>
      </c>
      <c r="I1559" t="s">
        <v>174</v>
      </c>
    </row>
    <row r="1560" spans="1:9" ht="15" customHeight="1" x14ac:dyDescent="0.35">
      <c r="A1560">
        <v>2017</v>
      </c>
      <c r="B1560" t="s">
        <v>152</v>
      </c>
      <c r="C1560">
        <v>5</v>
      </c>
      <c r="D1560" t="s">
        <v>93</v>
      </c>
      <c r="E1560">
        <v>863</v>
      </c>
      <c r="F1560">
        <v>1167</v>
      </c>
      <c r="G1560">
        <v>470</v>
      </c>
      <c r="H1560" t="s">
        <v>123</v>
      </c>
      <c r="I1560" t="s">
        <v>174</v>
      </c>
    </row>
    <row r="1561" spans="1:9" ht="15" customHeight="1" x14ac:dyDescent="0.35">
      <c r="A1561">
        <v>2017</v>
      </c>
      <c r="B1561" t="s">
        <v>153</v>
      </c>
      <c r="C1561">
        <v>6</v>
      </c>
      <c r="D1561" t="s">
        <v>93</v>
      </c>
      <c r="E1561">
        <v>821</v>
      </c>
      <c r="F1561">
        <v>1123</v>
      </c>
      <c r="G1561">
        <v>519</v>
      </c>
      <c r="H1561" t="s">
        <v>123</v>
      </c>
      <c r="I1561" t="s">
        <v>174</v>
      </c>
    </row>
    <row r="1562" spans="1:9" ht="15" customHeight="1" x14ac:dyDescent="0.35">
      <c r="A1562">
        <v>2017</v>
      </c>
      <c r="B1562" t="s">
        <v>154</v>
      </c>
      <c r="C1562">
        <v>7</v>
      </c>
      <c r="D1562" t="s">
        <v>93</v>
      </c>
      <c r="E1562">
        <v>782</v>
      </c>
      <c r="F1562">
        <v>1089</v>
      </c>
      <c r="G1562">
        <v>427</v>
      </c>
      <c r="H1562" t="s">
        <v>123</v>
      </c>
      <c r="I1562" t="s">
        <v>174</v>
      </c>
    </row>
    <row r="1563" spans="1:9" ht="15" customHeight="1" x14ac:dyDescent="0.35">
      <c r="A1563">
        <v>2017</v>
      </c>
      <c r="B1563" t="s">
        <v>155</v>
      </c>
      <c r="C1563">
        <v>8</v>
      </c>
      <c r="D1563" t="s">
        <v>93</v>
      </c>
      <c r="E1563">
        <v>898</v>
      </c>
      <c r="F1563">
        <v>1173</v>
      </c>
      <c r="G1563">
        <v>544</v>
      </c>
      <c r="H1563" t="s">
        <v>123</v>
      </c>
      <c r="I1563" t="s">
        <v>174</v>
      </c>
    </row>
    <row r="1564" spans="1:9" ht="15" customHeight="1" x14ac:dyDescent="0.35">
      <c r="A1564">
        <v>2017</v>
      </c>
      <c r="B1564" t="s">
        <v>156</v>
      </c>
      <c r="C1564">
        <v>9</v>
      </c>
      <c r="D1564" t="s">
        <v>93</v>
      </c>
      <c r="E1564">
        <v>903</v>
      </c>
      <c r="F1564">
        <v>1191</v>
      </c>
      <c r="G1564">
        <v>532</v>
      </c>
      <c r="H1564" t="s">
        <v>123</v>
      </c>
      <c r="I1564" t="s">
        <v>174</v>
      </c>
    </row>
    <row r="1565" spans="1:9" ht="15" customHeight="1" x14ac:dyDescent="0.35">
      <c r="A1565">
        <v>2017</v>
      </c>
      <c r="B1565" t="s">
        <v>157</v>
      </c>
      <c r="C1565">
        <v>10</v>
      </c>
      <c r="D1565" t="s">
        <v>93</v>
      </c>
      <c r="E1565">
        <v>847</v>
      </c>
      <c r="F1565">
        <v>1158</v>
      </c>
      <c r="G1565">
        <v>515</v>
      </c>
      <c r="H1565" t="s">
        <v>123</v>
      </c>
      <c r="I1565" t="s">
        <v>174</v>
      </c>
    </row>
    <row r="1566" spans="1:9" ht="15" customHeight="1" x14ac:dyDescent="0.35">
      <c r="A1566">
        <v>2017</v>
      </c>
      <c r="B1566" t="s">
        <v>158</v>
      </c>
      <c r="C1566">
        <v>11</v>
      </c>
      <c r="D1566" t="s">
        <v>93</v>
      </c>
      <c r="E1566">
        <v>822</v>
      </c>
      <c r="F1566">
        <v>1070</v>
      </c>
      <c r="G1566">
        <v>596</v>
      </c>
      <c r="H1566" t="s">
        <v>123</v>
      </c>
      <c r="I1566" t="s">
        <v>174</v>
      </c>
    </row>
    <row r="1567" spans="1:9" ht="15" customHeight="1" x14ac:dyDescent="0.35">
      <c r="A1567">
        <v>2017</v>
      </c>
      <c r="B1567" t="s">
        <v>159</v>
      </c>
      <c r="C1567">
        <v>12</v>
      </c>
      <c r="D1567" t="s">
        <v>93</v>
      </c>
      <c r="E1567">
        <v>839</v>
      </c>
      <c r="F1567">
        <v>1132</v>
      </c>
      <c r="G1567">
        <v>605</v>
      </c>
      <c r="H1567" t="s">
        <v>123</v>
      </c>
      <c r="I1567" t="s">
        <v>174</v>
      </c>
    </row>
    <row r="1568" spans="1:9" ht="15" customHeight="1" x14ac:dyDescent="0.35">
      <c r="A1568">
        <v>2018</v>
      </c>
      <c r="B1568" t="s">
        <v>147</v>
      </c>
      <c r="C1568">
        <v>1</v>
      </c>
      <c r="D1568" t="s">
        <v>93</v>
      </c>
      <c r="E1568">
        <v>845</v>
      </c>
      <c r="F1568">
        <v>1074</v>
      </c>
      <c r="G1568">
        <v>452</v>
      </c>
      <c r="H1568" t="s">
        <v>123</v>
      </c>
      <c r="I1568" t="s">
        <v>174</v>
      </c>
    </row>
    <row r="1569" spans="1:9" ht="15" customHeight="1" x14ac:dyDescent="0.35">
      <c r="A1569">
        <v>2018</v>
      </c>
      <c r="B1569" t="s">
        <v>149</v>
      </c>
      <c r="C1569">
        <v>2</v>
      </c>
      <c r="D1569" t="s">
        <v>93</v>
      </c>
      <c r="E1569">
        <v>828</v>
      </c>
      <c r="F1569">
        <v>1109</v>
      </c>
      <c r="G1569">
        <v>538</v>
      </c>
      <c r="H1569" t="s">
        <v>123</v>
      </c>
      <c r="I1569" t="s">
        <v>174</v>
      </c>
    </row>
    <row r="1570" spans="1:9" ht="15" customHeight="1" x14ac:dyDescent="0.35">
      <c r="A1570">
        <v>2018</v>
      </c>
      <c r="B1570" t="s">
        <v>150</v>
      </c>
      <c r="C1570">
        <v>3</v>
      </c>
      <c r="D1570" t="s">
        <v>93</v>
      </c>
      <c r="E1570">
        <v>926</v>
      </c>
      <c r="F1570">
        <v>1164</v>
      </c>
      <c r="G1570">
        <v>423</v>
      </c>
      <c r="H1570" t="s">
        <v>123</v>
      </c>
      <c r="I1570" t="s">
        <v>174</v>
      </c>
    </row>
    <row r="1571" spans="1:9" ht="15" customHeight="1" x14ac:dyDescent="0.35">
      <c r="A1571">
        <v>2018</v>
      </c>
      <c r="B1571" t="s">
        <v>151</v>
      </c>
      <c r="C1571">
        <v>4</v>
      </c>
      <c r="D1571" t="s">
        <v>93</v>
      </c>
      <c r="E1571">
        <v>870</v>
      </c>
      <c r="F1571">
        <v>1190</v>
      </c>
      <c r="G1571">
        <v>350</v>
      </c>
      <c r="H1571" t="s">
        <v>124</v>
      </c>
      <c r="I1571" t="s">
        <v>174</v>
      </c>
    </row>
    <row r="1572" spans="1:9" ht="15" customHeight="1" x14ac:dyDescent="0.35">
      <c r="A1572">
        <v>2018</v>
      </c>
      <c r="B1572" t="s">
        <v>152</v>
      </c>
      <c r="C1572">
        <v>5</v>
      </c>
      <c r="D1572" t="s">
        <v>93</v>
      </c>
      <c r="E1572">
        <v>942</v>
      </c>
      <c r="F1572">
        <v>1261</v>
      </c>
      <c r="G1572">
        <v>411</v>
      </c>
      <c r="H1572" t="s">
        <v>124</v>
      </c>
      <c r="I1572" t="s">
        <v>174</v>
      </c>
    </row>
    <row r="1573" spans="1:9" ht="15" customHeight="1" x14ac:dyDescent="0.35">
      <c r="A1573">
        <v>2018</v>
      </c>
      <c r="B1573" t="s">
        <v>153</v>
      </c>
      <c r="C1573">
        <v>6</v>
      </c>
      <c r="D1573" t="s">
        <v>93</v>
      </c>
      <c r="E1573">
        <v>844</v>
      </c>
      <c r="F1573">
        <v>1075</v>
      </c>
      <c r="G1573">
        <v>469</v>
      </c>
      <c r="H1573" t="s">
        <v>124</v>
      </c>
      <c r="I1573" t="s">
        <v>174</v>
      </c>
    </row>
    <row r="1574" spans="1:9" ht="15" customHeight="1" x14ac:dyDescent="0.35">
      <c r="A1574">
        <v>2018</v>
      </c>
      <c r="B1574" t="s">
        <v>154</v>
      </c>
      <c r="C1574">
        <v>7</v>
      </c>
      <c r="D1574" t="s">
        <v>93</v>
      </c>
      <c r="E1574">
        <v>852</v>
      </c>
      <c r="F1574">
        <v>1151</v>
      </c>
      <c r="G1574">
        <v>521</v>
      </c>
      <c r="H1574" t="s">
        <v>124</v>
      </c>
      <c r="I1574" t="s">
        <v>174</v>
      </c>
    </row>
    <row r="1575" spans="1:9" ht="15" customHeight="1" x14ac:dyDescent="0.35">
      <c r="A1575">
        <v>2018</v>
      </c>
      <c r="B1575" t="s">
        <v>155</v>
      </c>
      <c r="C1575">
        <v>8</v>
      </c>
      <c r="D1575" t="s">
        <v>93</v>
      </c>
      <c r="E1575">
        <v>845</v>
      </c>
      <c r="F1575">
        <v>1039</v>
      </c>
      <c r="G1575">
        <v>615</v>
      </c>
      <c r="H1575" t="s">
        <v>124</v>
      </c>
      <c r="I1575" t="s">
        <v>174</v>
      </c>
    </row>
    <row r="1576" spans="1:9" ht="15" customHeight="1" x14ac:dyDescent="0.35">
      <c r="A1576">
        <v>2018</v>
      </c>
      <c r="B1576" t="s">
        <v>156</v>
      </c>
      <c r="C1576">
        <v>9</v>
      </c>
      <c r="D1576" t="s">
        <v>93</v>
      </c>
      <c r="E1576">
        <v>844</v>
      </c>
      <c r="F1576">
        <v>1081</v>
      </c>
      <c r="G1576">
        <v>489</v>
      </c>
      <c r="H1576" t="s">
        <v>124</v>
      </c>
      <c r="I1576" t="s">
        <v>174</v>
      </c>
    </row>
    <row r="1577" spans="1:9" ht="15" customHeight="1" x14ac:dyDescent="0.35">
      <c r="A1577">
        <v>2018</v>
      </c>
      <c r="B1577" t="s">
        <v>157</v>
      </c>
      <c r="C1577">
        <v>10</v>
      </c>
      <c r="D1577" t="s">
        <v>93</v>
      </c>
      <c r="E1577">
        <v>870</v>
      </c>
      <c r="F1577">
        <v>1079</v>
      </c>
      <c r="G1577">
        <v>538</v>
      </c>
      <c r="H1577" t="s">
        <v>124</v>
      </c>
      <c r="I1577" t="s">
        <v>174</v>
      </c>
    </row>
    <row r="1578" spans="1:9" ht="15" customHeight="1" x14ac:dyDescent="0.35">
      <c r="A1578">
        <v>2018</v>
      </c>
      <c r="B1578" t="s">
        <v>158</v>
      </c>
      <c r="C1578">
        <v>11</v>
      </c>
      <c r="D1578" t="s">
        <v>93</v>
      </c>
      <c r="E1578">
        <v>942</v>
      </c>
      <c r="F1578">
        <v>1149</v>
      </c>
      <c r="G1578">
        <v>734</v>
      </c>
      <c r="H1578" t="s">
        <v>124</v>
      </c>
      <c r="I1578" t="s">
        <v>174</v>
      </c>
    </row>
    <row r="1579" spans="1:9" ht="15" customHeight="1" x14ac:dyDescent="0.35">
      <c r="A1579">
        <v>2018</v>
      </c>
      <c r="B1579" t="s">
        <v>159</v>
      </c>
      <c r="C1579">
        <v>12</v>
      </c>
      <c r="D1579" t="s">
        <v>93</v>
      </c>
      <c r="E1579">
        <v>955</v>
      </c>
      <c r="F1579">
        <v>1285</v>
      </c>
      <c r="G1579">
        <v>515</v>
      </c>
      <c r="H1579" t="s">
        <v>124</v>
      </c>
      <c r="I1579" t="s">
        <v>174</v>
      </c>
    </row>
    <row r="1580" spans="1:9" ht="15" customHeight="1" x14ac:dyDescent="0.35">
      <c r="A1580">
        <v>2019</v>
      </c>
      <c r="B1580" t="s">
        <v>147</v>
      </c>
      <c r="C1580">
        <v>1</v>
      </c>
      <c r="D1580" t="s">
        <v>93</v>
      </c>
      <c r="E1580">
        <v>922</v>
      </c>
      <c r="F1580">
        <v>1173</v>
      </c>
      <c r="G1580">
        <v>641</v>
      </c>
      <c r="H1580" t="s">
        <v>124</v>
      </c>
      <c r="I1580" t="s">
        <v>174</v>
      </c>
    </row>
    <row r="1581" spans="1:9" ht="15" customHeight="1" x14ac:dyDescent="0.35">
      <c r="A1581">
        <v>2019</v>
      </c>
      <c r="B1581" t="s">
        <v>149</v>
      </c>
      <c r="C1581">
        <v>2</v>
      </c>
      <c r="D1581" t="s">
        <v>93</v>
      </c>
      <c r="E1581">
        <v>855</v>
      </c>
      <c r="F1581">
        <v>1128</v>
      </c>
      <c r="G1581">
        <v>334</v>
      </c>
      <c r="H1581" t="s">
        <v>124</v>
      </c>
      <c r="I1581" t="s">
        <v>174</v>
      </c>
    </row>
    <row r="1582" spans="1:9" ht="15" customHeight="1" x14ac:dyDescent="0.35">
      <c r="A1582">
        <v>2019</v>
      </c>
      <c r="B1582" t="s">
        <v>150</v>
      </c>
      <c r="C1582">
        <v>3</v>
      </c>
      <c r="D1582" t="s">
        <v>93</v>
      </c>
      <c r="E1582">
        <v>895</v>
      </c>
      <c r="F1582">
        <v>1181</v>
      </c>
      <c r="G1582">
        <v>458</v>
      </c>
      <c r="H1582" t="s">
        <v>124</v>
      </c>
      <c r="I1582" t="s">
        <v>174</v>
      </c>
    </row>
    <row r="1583" spans="1:9" ht="15" customHeight="1" x14ac:dyDescent="0.35">
      <c r="A1583">
        <v>2019</v>
      </c>
      <c r="B1583" t="s">
        <v>151</v>
      </c>
      <c r="C1583">
        <v>4</v>
      </c>
      <c r="D1583" t="s">
        <v>93</v>
      </c>
      <c r="E1583">
        <v>916</v>
      </c>
      <c r="F1583">
        <v>1255</v>
      </c>
      <c r="G1583">
        <v>323</v>
      </c>
      <c r="H1583" t="s">
        <v>71</v>
      </c>
      <c r="I1583" t="s">
        <v>174</v>
      </c>
    </row>
    <row r="1584" spans="1:9" ht="15" customHeight="1" x14ac:dyDescent="0.35">
      <c r="A1584">
        <v>2019</v>
      </c>
      <c r="B1584" t="s">
        <v>152</v>
      </c>
      <c r="C1584">
        <v>5</v>
      </c>
      <c r="D1584" t="s">
        <v>93</v>
      </c>
      <c r="E1584">
        <v>1027</v>
      </c>
      <c r="F1584">
        <v>1308</v>
      </c>
      <c r="G1584">
        <v>440</v>
      </c>
      <c r="H1584" t="s">
        <v>71</v>
      </c>
      <c r="I1584" t="s">
        <v>174</v>
      </c>
    </row>
    <row r="1585" spans="1:9" ht="15" customHeight="1" x14ac:dyDescent="0.35">
      <c r="A1585">
        <v>2019</v>
      </c>
      <c r="B1585" t="s">
        <v>153</v>
      </c>
      <c r="C1585">
        <v>6</v>
      </c>
      <c r="D1585" t="s">
        <v>93</v>
      </c>
      <c r="E1585">
        <v>989</v>
      </c>
      <c r="F1585">
        <v>1263</v>
      </c>
      <c r="G1585">
        <v>498</v>
      </c>
      <c r="H1585" t="s">
        <v>71</v>
      </c>
      <c r="I1585" t="s">
        <v>174</v>
      </c>
    </row>
    <row r="1586" spans="1:9" ht="15" customHeight="1" x14ac:dyDescent="0.35">
      <c r="A1586">
        <v>2019</v>
      </c>
      <c r="B1586" t="s">
        <v>154</v>
      </c>
      <c r="C1586">
        <v>7</v>
      </c>
      <c r="D1586" t="s">
        <v>93</v>
      </c>
      <c r="E1586">
        <v>938</v>
      </c>
      <c r="F1586">
        <v>1277</v>
      </c>
      <c r="G1586">
        <v>599</v>
      </c>
      <c r="H1586" t="s">
        <v>71</v>
      </c>
      <c r="I1586" t="s">
        <v>174</v>
      </c>
    </row>
    <row r="1587" spans="1:9" ht="15" customHeight="1" x14ac:dyDescent="0.35">
      <c r="A1587">
        <v>2019</v>
      </c>
      <c r="B1587" t="s">
        <v>155</v>
      </c>
      <c r="C1587">
        <v>8</v>
      </c>
      <c r="D1587" t="s">
        <v>93</v>
      </c>
      <c r="E1587">
        <v>915</v>
      </c>
      <c r="F1587">
        <v>1244</v>
      </c>
      <c r="G1587">
        <v>556</v>
      </c>
      <c r="H1587" t="s">
        <v>71</v>
      </c>
      <c r="I1587" t="s">
        <v>174</v>
      </c>
    </row>
    <row r="1588" spans="1:9" ht="15" customHeight="1" x14ac:dyDescent="0.35">
      <c r="A1588">
        <v>2019</v>
      </c>
      <c r="B1588" t="s">
        <v>156</v>
      </c>
      <c r="C1588">
        <v>9</v>
      </c>
      <c r="D1588" t="s">
        <v>93</v>
      </c>
      <c r="E1588">
        <v>927</v>
      </c>
      <c r="F1588">
        <v>1211</v>
      </c>
      <c r="G1588">
        <v>511</v>
      </c>
      <c r="H1588" t="s">
        <v>71</v>
      </c>
      <c r="I1588" t="s">
        <v>174</v>
      </c>
    </row>
    <row r="1589" spans="1:9" ht="15" customHeight="1" x14ac:dyDescent="0.35">
      <c r="A1589">
        <v>2019</v>
      </c>
      <c r="B1589" t="s">
        <v>157</v>
      </c>
      <c r="C1589">
        <v>10</v>
      </c>
      <c r="D1589" t="s">
        <v>93</v>
      </c>
      <c r="E1589">
        <v>895</v>
      </c>
      <c r="F1589">
        <v>1264</v>
      </c>
      <c r="G1589">
        <v>384</v>
      </c>
      <c r="H1589" t="s">
        <v>71</v>
      </c>
      <c r="I1589" t="s">
        <v>174</v>
      </c>
    </row>
    <row r="1590" spans="1:9" ht="15" customHeight="1" x14ac:dyDescent="0.35">
      <c r="A1590">
        <v>2019</v>
      </c>
      <c r="B1590" t="s">
        <v>158</v>
      </c>
      <c r="C1590">
        <v>11</v>
      </c>
      <c r="D1590" t="s">
        <v>93</v>
      </c>
      <c r="E1590">
        <v>935</v>
      </c>
      <c r="F1590">
        <v>1213</v>
      </c>
      <c r="G1590">
        <v>574</v>
      </c>
      <c r="H1590" t="s">
        <v>71</v>
      </c>
      <c r="I1590" t="s">
        <v>174</v>
      </c>
    </row>
    <row r="1591" spans="1:9" ht="15" customHeight="1" x14ac:dyDescent="0.35">
      <c r="A1591">
        <v>2019</v>
      </c>
      <c r="B1591" t="s">
        <v>159</v>
      </c>
      <c r="C1591">
        <v>12</v>
      </c>
      <c r="D1591" t="s">
        <v>93</v>
      </c>
      <c r="E1591">
        <v>980</v>
      </c>
      <c r="F1591">
        <v>1301</v>
      </c>
      <c r="G1591">
        <v>677</v>
      </c>
      <c r="H1591" t="s">
        <v>71</v>
      </c>
      <c r="I1591" t="s">
        <v>174</v>
      </c>
    </row>
    <row r="1592" spans="1:9" ht="15" customHeight="1" x14ac:dyDescent="0.35">
      <c r="A1592">
        <v>2020</v>
      </c>
      <c r="B1592" t="s">
        <v>147</v>
      </c>
      <c r="C1592">
        <v>1</v>
      </c>
      <c r="D1592" t="s">
        <v>93</v>
      </c>
      <c r="E1592">
        <v>1001</v>
      </c>
      <c r="F1592">
        <v>1319</v>
      </c>
      <c r="G1592">
        <v>683</v>
      </c>
      <c r="H1592" t="s">
        <v>71</v>
      </c>
      <c r="I1592" t="s">
        <v>174</v>
      </c>
    </row>
    <row r="1593" spans="1:9" ht="15" customHeight="1" x14ac:dyDescent="0.35">
      <c r="A1593">
        <v>2020</v>
      </c>
      <c r="B1593" t="s">
        <v>149</v>
      </c>
      <c r="C1593">
        <v>2</v>
      </c>
      <c r="D1593" t="s">
        <v>93</v>
      </c>
      <c r="E1593">
        <v>956</v>
      </c>
      <c r="F1593">
        <v>1286</v>
      </c>
      <c r="G1593">
        <v>625</v>
      </c>
      <c r="H1593" t="s">
        <v>71</v>
      </c>
      <c r="I1593" t="s">
        <v>174</v>
      </c>
    </row>
    <row r="1594" spans="1:9" ht="15" customHeight="1" x14ac:dyDescent="0.35">
      <c r="A1594">
        <v>2020</v>
      </c>
      <c r="B1594" t="s">
        <v>150</v>
      </c>
      <c r="C1594">
        <v>3</v>
      </c>
      <c r="D1594" t="s">
        <v>93</v>
      </c>
      <c r="E1594">
        <v>924</v>
      </c>
      <c r="F1594">
        <v>1244</v>
      </c>
      <c r="G1594">
        <v>437</v>
      </c>
      <c r="H1594" t="s">
        <v>71</v>
      </c>
      <c r="I1594" t="s">
        <v>174</v>
      </c>
    </row>
    <row r="1595" spans="1:9" ht="15" customHeight="1" x14ac:dyDescent="0.35">
      <c r="A1595">
        <v>2020</v>
      </c>
      <c r="B1595" t="s">
        <v>151</v>
      </c>
      <c r="C1595">
        <v>4</v>
      </c>
      <c r="D1595" t="s">
        <v>93</v>
      </c>
      <c r="E1595">
        <v>952</v>
      </c>
      <c r="F1595">
        <v>1351</v>
      </c>
      <c r="G1595">
        <v>489</v>
      </c>
      <c r="H1595" t="s">
        <v>72</v>
      </c>
      <c r="I1595" t="s">
        <v>174</v>
      </c>
    </row>
    <row r="1596" spans="1:9" ht="15" customHeight="1" x14ac:dyDescent="0.35">
      <c r="A1596">
        <v>2020</v>
      </c>
      <c r="B1596" t="s">
        <v>152</v>
      </c>
      <c r="C1596">
        <v>5</v>
      </c>
      <c r="D1596" t="s">
        <v>93</v>
      </c>
      <c r="E1596">
        <v>1027</v>
      </c>
      <c r="F1596">
        <v>1415</v>
      </c>
      <c r="G1596">
        <v>410</v>
      </c>
      <c r="H1596" t="s">
        <v>72</v>
      </c>
      <c r="I1596" t="s">
        <v>174</v>
      </c>
    </row>
    <row r="1597" spans="1:9" ht="15" customHeight="1" x14ac:dyDescent="0.35">
      <c r="A1597">
        <v>2020</v>
      </c>
      <c r="B1597" t="s">
        <v>153</v>
      </c>
      <c r="C1597">
        <v>6</v>
      </c>
      <c r="D1597" t="s">
        <v>93</v>
      </c>
      <c r="E1597">
        <v>1094</v>
      </c>
      <c r="F1597">
        <v>1371</v>
      </c>
      <c r="G1597">
        <v>786</v>
      </c>
      <c r="H1597" t="s">
        <v>72</v>
      </c>
      <c r="I1597" t="s">
        <v>174</v>
      </c>
    </row>
    <row r="1598" spans="1:9" ht="15" customHeight="1" x14ac:dyDescent="0.35">
      <c r="A1598">
        <v>2020</v>
      </c>
      <c r="B1598" t="s">
        <v>154</v>
      </c>
      <c r="C1598">
        <v>7</v>
      </c>
      <c r="D1598" t="s">
        <v>93</v>
      </c>
      <c r="E1598">
        <v>1159</v>
      </c>
      <c r="F1598">
        <v>1503</v>
      </c>
      <c r="G1598">
        <v>840</v>
      </c>
      <c r="H1598" t="s">
        <v>72</v>
      </c>
      <c r="I1598" t="s">
        <v>174</v>
      </c>
    </row>
    <row r="1599" spans="1:9" ht="15" customHeight="1" x14ac:dyDescent="0.35">
      <c r="A1599">
        <v>2020</v>
      </c>
      <c r="B1599" t="s">
        <v>155</v>
      </c>
      <c r="C1599">
        <v>8</v>
      </c>
      <c r="D1599" t="s">
        <v>93</v>
      </c>
      <c r="E1599">
        <v>1176</v>
      </c>
      <c r="F1599">
        <v>1458</v>
      </c>
      <c r="G1599">
        <v>717</v>
      </c>
      <c r="H1599" t="s">
        <v>72</v>
      </c>
      <c r="I1599" t="s">
        <v>174</v>
      </c>
    </row>
    <row r="1600" spans="1:9" ht="15" customHeight="1" x14ac:dyDescent="0.35">
      <c r="A1600">
        <v>2020</v>
      </c>
      <c r="B1600" t="s">
        <v>156</v>
      </c>
      <c r="C1600">
        <v>9</v>
      </c>
      <c r="D1600" t="s">
        <v>93</v>
      </c>
      <c r="E1600">
        <v>1246</v>
      </c>
      <c r="F1600">
        <v>1609</v>
      </c>
      <c r="G1600">
        <v>833</v>
      </c>
      <c r="H1600" t="s">
        <v>72</v>
      </c>
      <c r="I1600" t="s">
        <v>174</v>
      </c>
    </row>
    <row r="1601" spans="1:9" ht="15" customHeight="1" x14ac:dyDescent="0.35">
      <c r="A1601">
        <v>2020</v>
      </c>
      <c r="B1601" t="s">
        <v>157</v>
      </c>
      <c r="C1601">
        <v>10</v>
      </c>
      <c r="D1601" t="s">
        <v>93</v>
      </c>
      <c r="E1601">
        <v>1202</v>
      </c>
      <c r="F1601">
        <v>1497</v>
      </c>
      <c r="G1601">
        <v>854</v>
      </c>
      <c r="H1601" t="s">
        <v>72</v>
      </c>
      <c r="I1601" t="s">
        <v>174</v>
      </c>
    </row>
    <row r="1602" spans="1:9" ht="15" customHeight="1" x14ac:dyDescent="0.35">
      <c r="A1602">
        <v>2020</v>
      </c>
      <c r="B1602" t="s">
        <v>158</v>
      </c>
      <c r="C1602">
        <v>11</v>
      </c>
      <c r="D1602" t="s">
        <v>93</v>
      </c>
      <c r="E1602">
        <v>1098</v>
      </c>
      <c r="F1602">
        <v>1411</v>
      </c>
      <c r="G1602">
        <v>895</v>
      </c>
      <c r="H1602" t="s">
        <v>72</v>
      </c>
      <c r="I1602" t="s">
        <v>174</v>
      </c>
    </row>
    <row r="1603" spans="1:9" ht="15" customHeight="1" x14ac:dyDescent="0.35">
      <c r="A1603">
        <v>2020</v>
      </c>
      <c r="B1603" t="s">
        <v>159</v>
      </c>
      <c r="C1603">
        <v>12</v>
      </c>
      <c r="D1603" t="s">
        <v>93</v>
      </c>
      <c r="E1603">
        <v>1124</v>
      </c>
      <c r="F1603">
        <v>1507</v>
      </c>
      <c r="G1603">
        <v>820</v>
      </c>
      <c r="H1603" t="s">
        <v>72</v>
      </c>
      <c r="I1603" t="s">
        <v>174</v>
      </c>
    </row>
    <row r="1604" spans="1:9" ht="15" customHeight="1" x14ac:dyDescent="0.35">
      <c r="A1604">
        <v>2021</v>
      </c>
      <c r="B1604" t="s">
        <v>147</v>
      </c>
      <c r="C1604">
        <v>1</v>
      </c>
      <c r="D1604" t="s">
        <v>93</v>
      </c>
      <c r="E1604">
        <v>1151</v>
      </c>
      <c r="F1604">
        <v>1491</v>
      </c>
      <c r="G1604">
        <v>881</v>
      </c>
      <c r="H1604" t="s">
        <v>72</v>
      </c>
      <c r="I1604" t="s">
        <v>174</v>
      </c>
    </row>
    <row r="1605" spans="1:9" ht="15" customHeight="1" x14ac:dyDescent="0.35">
      <c r="A1605">
        <v>2021</v>
      </c>
      <c r="B1605" t="s">
        <v>149</v>
      </c>
      <c r="C1605">
        <v>2</v>
      </c>
      <c r="D1605" t="s">
        <v>93</v>
      </c>
      <c r="E1605">
        <v>1118</v>
      </c>
      <c r="F1605">
        <v>1413</v>
      </c>
      <c r="G1605">
        <v>890</v>
      </c>
      <c r="H1605" t="s">
        <v>72</v>
      </c>
      <c r="I1605" t="s">
        <v>174</v>
      </c>
    </row>
    <row r="1606" spans="1:9" ht="15" customHeight="1" x14ac:dyDescent="0.35">
      <c r="A1606">
        <v>2021</v>
      </c>
      <c r="B1606" t="s">
        <v>150</v>
      </c>
      <c r="C1606">
        <v>3</v>
      </c>
      <c r="D1606" t="s">
        <v>93</v>
      </c>
      <c r="E1606">
        <v>1153</v>
      </c>
      <c r="F1606">
        <v>1508</v>
      </c>
      <c r="G1606">
        <v>770</v>
      </c>
      <c r="H1606" t="s">
        <v>72</v>
      </c>
      <c r="I1606" t="s">
        <v>174</v>
      </c>
    </row>
    <row r="1607" spans="1:9" ht="15" customHeight="1" x14ac:dyDescent="0.35">
      <c r="A1607">
        <v>2021</v>
      </c>
      <c r="B1607" t="s">
        <v>151</v>
      </c>
      <c r="C1607">
        <v>4</v>
      </c>
      <c r="D1607" t="s">
        <v>93</v>
      </c>
      <c r="E1607">
        <v>1284</v>
      </c>
      <c r="F1607">
        <v>1588</v>
      </c>
      <c r="G1607">
        <v>849</v>
      </c>
      <c r="H1607" t="s">
        <v>73</v>
      </c>
      <c r="I1607" t="s">
        <v>174</v>
      </c>
    </row>
    <row r="1608" spans="1:9" ht="15" customHeight="1" x14ac:dyDescent="0.35">
      <c r="A1608">
        <v>2021</v>
      </c>
      <c r="B1608" t="s">
        <v>152</v>
      </c>
      <c r="C1608">
        <v>5</v>
      </c>
      <c r="D1608" t="s">
        <v>93</v>
      </c>
      <c r="E1608">
        <v>1120</v>
      </c>
      <c r="F1608">
        <v>1577</v>
      </c>
      <c r="G1608">
        <v>519</v>
      </c>
      <c r="H1608" t="s">
        <v>73</v>
      </c>
      <c r="I1608" t="s">
        <v>174</v>
      </c>
    </row>
    <row r="1609" spans="1:9" ht="15" customHeight="1" x14ac:dyDescent="0.35">
      <c r="A1609">
        <v>2021</v>
      </c>
      <c r="B1609" t="s">
        <v>153</v>
      </c>
      <c r="C1609">
        <v>6</v>
      </c>
      <c r="D1609" t="s">
        <v>93</v>
      </c>
      <c r="E1609">
        <v>1216</v>
      </c>
      <c r="F1609">
        <v>1555</v>
      </c>
      <c r="G1609">
        <v>814</v>
      </c>
      <c r="H1609" t="s">
        <v>73</v>
      </c>
      <c r="I1609" t="s">
        <v>174</v>
      </c>
    </row>
    <row r="1610" spans="1:9" ht="15" customHeight="1" x14ac:dyDescent="0.35">
      <c r="A1610">
        <v>2021</v>
      </c>
      <c r="B1610" t="s">
        <v>154</v>
      </c>
      <c r="C1610">
        <v>7</v>
      </c>
      <c r="D1610" t="s">
        <v>93</v>
      </c>
      <c r="E1610">
        <v>1227</v>
      </c>
      <c r="F1610">
        <v>1533</v>
      </c>
      <c r="G1610">
        <v>753</v>
      </c>
      <c r="H1610" t="s">
        <v>73</v>
      </c>
      <c r="I1610" t="s">
        <v>174</v>
      </c>
    </row>
    <row r="1611" spans="1:9" ht="15" customHeight="1" x14ac:dyDescent="0.35">
      <c r="A1611">
        <v>2021</v>
      </c>
      <c r="B1611" t="s">
        <v>155</v>
      </c>
      <c r="C1611">
        <v>8</v>
      </c>
      <c r="D1611" t="s">
        <v>93</v>
      </c>
      <c r="E1611">
        <v>1181</v>
      </c>
      <c r="F1611">
        <v>1506</v>
      </c>
      <c r="G1611">
        <v>915</v>
      </c>
      <c r="H1611" t="s">
        <v>73</v>
      </c>
      <c r="I1611" t="s">
        <v>174</v>
      </c>
    </row>
    <row r="1612" spans="1:9" ht="15" customHeight="1" x14ac:dyDescent="0.35">
      <c r="A1612">
        <v>2021</v>
      </c>
      <c r="B1612" t="s">
        <v>156</v>
      </c>
      <c r="C1612">
        <v>9</v>
      </c>
      <c r="D1612" t="s">
        <v>93</v>
      </c>
      <c r="E1612">
        <v>1185</v>
      </c>
      <c r="F1612">
        <v>1472</v>
      </c>
      <c r="G1612">
        <v>803</v>
      </c>
      <c r="H1612" t="s">
        <v>73</v>
      </c>
      <c r="I1612" t="s">
        <v>174</v>
      </c>
    </row>
    <row r="1613" spans="1:9" ht="15" customHeight="1" x14ac:dyDescent="0.35">
      <c r="A1613">
        <v>2021</v>
      </c>
      <c r="B1613" t="s">
        <v>157</v>
      </c>
      <c r="C1613">
        <v>10</v>
      </c>
      <c r="D1613" t="s">
        <v>93</v>
      </c>
      <c r="E1613">
        <v>1183</v>
      </c>
      <c r="F1613">
        <v>1442</v>
      </c>
      <c r="G1613">
        <v>786</v>
      </c>
      <c r="H1613" t="s">
        <v>73</v>
      </c>
      <c r="I1613" t="s">
        <v>174</v>
      </c>
    </row>
    <row r="1614" spans="1:9" ht="15" customHeight="1" x14ac:dyDescent="0.35">
      <c r="A1614">
        <v>2021</v>
      </c>
      <c r="B1614" t="s">
        <v>158</v>
      </c>
      <c r="C1614">
        <v>11</v>
      </c>
      <c r="D1614" t="s">
        <v>93</v>
      </c>
      <c r="E1614">
        <v>1176</v>
      </c>
      <c r="F1614">
        <v>1469</v>
      </c>
      <c r="G1614">
        <v>911</v>
      </c>
      <c r="H1614" t="s">
        <v>73</v>
      </c>
      <c r="I1614" t="s">
        <v>174</v>
      </c>
    </row>
    <row r="1615" spans="1:9" ht="15" customHeight="1" x14ac:dyDescent="0.35">
      <c r="A1615">
        <v>2021</v>
      </c>
      <c r="B1615" t="s">
        <v>159</v>
      </c>
      <c r="C1615">
        <v>12</v>
      </c>
      <c r="D1615" t="s">
        <v>93</v>
      </c>
      <c r="E1615">
        <v>1164</v>
      </c>
      <c r="F1615">
        <v>1589</v>
      </c>
      <c r="G1615">
        <v>497</v>
      </c>
      <c r="H1615" t="s">
        <v>73</v>
      </c>
      <c r="I1615" t="s">
        <v>174</v>
      </c>
    </row>
    <row r="1616" spans="1:9" ht="15" customHeight="1" x14ac:dyDescent="0.35">
      <c r="A1616">
        <v>2022</v>
      </c>
      <c r="B1616" t="s">
        <v>147</v>
      </c>
      <c r="C1616">
        <v>1</v>
      </c>
      <c r="D1616" t="s">
        <v>93</v>
      </c>
      <c r="E1616">
        <v>1260</v>
      </c>
      <c r="F1616">
        <v>1609</v>
      </c>
      <c r="G1616">
        <v>909</v>
      </c>
      <c r="H1616" t="s">
        <v>73</v>
      </c>
      <c r="I1616" t="s">
        <v>174</v>
      </c>
    </row>
    <row r="1617" spans="1:9" ht="15" customHeight="1" x14ac:dyDescent="0.35">
      <c r="A1617">
        <v>2022</v>
      </c>
      <c r="B1617" t="s">
        <v>149</v>
      </c>
      <c r="C1617">
        <v>2</v>
      </c>
      <c r="D1617" t="s">
        <v>93</v>
      </c>
      <c r="E1617">
        <v>1188</v>
      </c>
      <c r="F1617">
        <v>1462</v>
      </c>
      <c r="G1617">
        <v>482</v>
      </c>
      <c r="H1617" t="s">
        <v>73</v>
      </c>
      <c r="I1617" t="s">
        <v>174</v>
      </c>
    </row>
    <row r="1618" spans="1:9" ht="15" customHeight="1" x14ac:dyDescent="0.35">
      <c r="A1618">
        <v>2022</v>
      </c>
      <c r="B1618" t="s">
        <v>150</v>
      </c>
      <c r="C1618">
        <v>3</v>
      </c>
      <c r="D1618" t="s">
        <v>93</v>
      </c>
      <c r="E1618">
        <v>1284</v>
      </c>
      <c r="F1618">
        <v>1513</v>
      </c>
      <c r="G1618">
        <v>944</v>
      </c>
      <c r="H1618" t="s">
        <v>73</v>
      </c>
      <c r="I1618" t="s">
        <v>174</v>
      </c>
    </row>
    <row r="1619" spans="1:9" ht="15" customHeight="1" x14ac:dyDescent="0.35">
      <c r="A1619">
        <v>2022</v>
      </c>
      <c r="B1619" t="s">
        <v>151</v>
      </c>
      <c r="C1619">
        <v>4</v>
      </c>
      <c r="D1619" t="s">
        <v>93</v>
      </c>
      <c r="E1619">
        <v>1355</v>
      </c>
      <c r="F1619">
        <v>1774</v>
      </c>
      <c r="G1619">
        <v>652</v>
      </c>
      <c r="H1619" t="s">
        <v>74</v>
      </c>
      <c r="I1619" t="s">
        <v>174</v>
      </c>
    </row>
    <row r="1620" spans="1:9" ht="15" customHeight="1" x14ac:dyDescent="0.35">
      <c r="A1620">
        <v>2022</v>
      </c>
      <c r="B1620" t="s">
        <v>152</v>
      </c>
      <c r="C1620">
        <v>5</v>
      </c>
      <c r="D1620" t="s">
        <v>93</v>
      </c>
      <c r="E1620">
        <v>1227</v>
      </c>
      <c r="F1620">
        <v>1483</v>
      </c>
      <c r="G1620">
        <v>692</v>
      </c>
      <c r="H1620" t="s">
        <v>74</v>
      </c>
      <c r="I1620" t="s">
        <v>174</v>
      </c>
    </row>
    <row r="1621" spans="1:9" ht="15" customHeight="1" x14ac:dyDescent="0.35">
      <c r="A1621">
        <v>2022</v>
      </c>
      <c r="B1621" t="s">
        <v>153</v>
      </c>
      <c r="C1621">
        <v>6</v>
      </c>
      <c r="D1621" t="s">
        <v>93</v>
      </c>
      <c r="E1621">
        <v>1250</v>
      </c>
      <c r="F1621">
        <v>1551</v>
      </c>
      <c r="G1621">
        <v>835</v>
      </c>
      <c r="H1621" t="s">
        <v>74</v>
      </c>
      <c r="I1621" t="s">
        <v>174</v>
      </c>
    </row>
    <row r="1622" spans="1:9" ht="15" customHeight="1" x14ac:dyDescent="0.35">
      <c r="A1622">
        <v>2022</v>
      </c>
      <c r="B1622" t="s">
        <v>154</v>
      </c>
      <c r="C1622">
        <v>7</v>
      </c>
      <c r="D1622" t="s">
        <v>93</v>
      </c>
      <c r="E1622">
        <v>1329</v>
      </c>
      <c r="F1622">
        <v>1654</v>
      </c>
      <c r="G1622">
        <v>931</v>
      </c>
      <c r="H1622" t="s">
        <v>74</v>
      </c>
      <c r="I1622" t="s">
        <v>174</v>
      </c>
    </row>
    <row r="1623" spans="1:9" ht="15" customHeight="1" x14ac:dyDescent="0.35">
      <c r="A1623">
        <v>2022</v>
      </c>
      <c r="B1623" t="s">
        <v>155</v>
      </c>
      <c r="C1623">
        <v>8</v>
      </c>
      <c r="D1623" t="s">
        <v>93</v>
      </c>
      <c r="E1623">
        <v>1220</v>
      </c>
      <c r="F1623">
        <v>1643</v>
      </c>
      <c r="G1623">
        <v>452</v>
      </c>
      <c r="H1623" t="s">
        <v>74</v>
      </c>
      <c r="I1623" t="s">
        <v>174</v>
      </c>
    </row>
    <row r="1624" spans="1:9" ht="15" customHeight="1" x14ac:dyDescent="0.35">
      <c r="A1624">
        <v>2022</v>
      </c>
      <c r="B1624" t="s">
        <v>156</v>
      </c>
      <c r="C1624">
        <v>9</v>
      </c>
      <c r="D1624" t="s">
        <v>93</v>
      </c>
      <c r="E1624">
        <v>1322</v>
      </c>
      <c r="F1624">
        <v>1667</v>
      </c>
      <c r="G1624">
        <v>906</v>
      </c>
      <c r="H1624" t="s">
        <v>74</v>
      </c>
      <c r="I1624" t="s">
        <v>174</v>
      </c>
    </row>
    <row r="1625" spans="1:9" ht="15" customHeight="1" x14ac:dyDescent="0.35">
      <c r="A1625">
        <v>2022</v>
      </c>
      <c r="B1625" t="s">
        <v>157</v>
      </c>
      <c r="C1625">
        <v>10</v>
      </c>
      <c r="D1625" t="s">
        <v>93</v>
      </c>
      <c r="E1625">
        <v>1267</v>
      </c>
      <c r="F1625">
        <v>1748</v>
      </c>
      <c r="G1625">
        <v>844</v>
      </c>
      <c r="H1625" t="s">
        <v>74</v>
      </c>
      <c r="I1625" t="s">
        <v>174</v>
      </c>
    </row>
    <row r="1626" spans="1:9" ht="15" customHeight="1" x14ac:dyDescent="0.35">
      <c r="A1626">
        <v>2022</v>
      </c>
      <c r="B1626" t="s">
        <v>158</v>
      </c>
      <c r="C1626">
        <v>11</v>
      </c>
      <c r="D1626" t="s">
        <v>93</v>
      </c>
      <c r="E1626">
        <v>1173</v>
      </c>
      <c r="F1626">
        <v>1615</v>
      </c>
      <c r="G1626">
        <v>880</v>
      </c>
      <c r="H1626" t="s">
        <v>74</v>
      </c>
      <c r="I1626" t="s">
        <v>174</v>
      </c>
    </row>
    <row r="1627" spans="1:9" ht="15" customHeight="1" x14ac:dyDescent="0.35">
      <c r="A1627">
        <v>2022</v>
      </c>
      <c r="B1627" t="s">
        <v>159</v>
      </c>
      <c r="C1627">
        <v>12</v>
      </c>
      <c r="D1627" t="s">
        <v>93</v>
      </c>
      <c r="E1627">
        <v>1156</v>
      </c>
      <c r="F1627">
        <v>1574</v>
      </c>
      <c r="G1627">
        <v>796</v>
      </c>
      <c r="H1627" t="s">
        <v>74</v>
      </c>
      <c r="I1627" t="s">
        <v>174</v>
      </c>
    </row>
    <row r="1628" spans="1:9" ht="15" customHeight="1" x14ac:dyDescent="0.35">
      <c r="A1628">
        <v>2023</v>
      </c>
      <c r="B1628" t="s">
        <v>147</v>
      </c>
      <c r="C1628">
        <v>1</v>
      </c>
      <c r="D1628" t="s">
        <v>93</v>
      </c>
      <c r="E1628">
        <v>1216</v>
      </c>
      <c r="F1628">
        <v>1613</v>
      </c>
      <c r="G1628">
        <v>904</v>
      </c>
      <c r="H1628" t="s">
        <v>74</v>
      </c>
      <c r="I1628" t="s">
        <v>174</v>
      </c>
    </row>
    <row r="1629" spans="1:9" ht="15" customHeight="1" x14ac:dyDescent="0.35">
      <c r="A1629">
        <v>2023</v>
      </c>
      <c r="B1629" t="s">
        <v>149</v>
      </c>
      <c r="C1629">
        <v>2</v>
      </c>
      <c r="D1629" t="s">
        <v>93</v>
      </c>
      <c r="E1629">
        <v>1143</v>
      </c>
      <c r="F1629">
        <v>1490</v>
      </c>
      <c r="G1629">
        <v>873</v>
      </c>
      <c r="H1629" t="s">
        <v>74</v>
      </c>
      <c r="I1629" t="s">
        <v>174</v>
      </c>
    </row>
    <row r="1630" spans="1:9" ht="15" customHeight="1" x14ac:dyDescent="0.35">
      <c r="A1630">
        <v>2023</v>
      </c>
      <c r="B1630" t="s">
        <v>150</v>
      </c>
      <c r="C1630">
        <v>3</v>
      </c>
      <c r="D1630" t="s">
        <v>93</v>
      </c>
      <c r="E1630">
        <v>1116</v>
      </c>
      <c r="F1630">
        <v>1413</v>
      </c>
      <c r="G1630">
        <v>517</v>
      </c>
      <c r="H1630" t="s">
        <v>74</v>
      </c>
      <c r="I1630" t="s">
        <v>174</v>
      </c>
    </row>
    <row r="1631" spans="1:9" ht="15" customHeight="1" x14ac:dyDescent="0.35">
      <c r="A1631">
        <v>2023</v>
      </c>
      <c r="B1631" t="s">
        <v>151</v>
      </c>
      <c r="C1631">
        <v>4</v>
      </c>
      <c r="D1631" t="s">
        <v>93</v>
      </c>
      <c r="E1631">
        <v>1318</v>
      </c>
      <c r="F1631">
        <v>1762</v>
      </c>
      <c r="G1631">
        <v>703</v>
      </c>
      <c r="H1631" t="s">
        <v>75</v>
      </c>
      <c r="I1631" t="s">
        <v>174</v>
      </c>
    </row>
    <row r="1632" spans="1:9" ht="15" customHeight="1" x14ac:dyDescent="0.35">
      <c r="A1632">
        <v>2023</v>
      </c>
      <c r="B1632" t="s">
        <v>152</v>
      </c>
      <c r="C1632">
        <v>5</v>
      </c>
      <c r="D1632" t="s">
        <v>93</v>
      </c>
      <c r="E1632">
        <v>1425</v>
      </c>
      <c r="F1632">
        <v>1754</v>
      </c>
      <c r="G1632">
        <v>807</v>
      </c>
      <c r="H1632" t="s">
        <v>75</v>
      </c>
      <c r="I1632" t="s">
        <v>174</v>
      </c>
    </row>
    <row r="1633" spans="1:9" ht="15" customHeight="1" x14ac:dyDescent="0.35">
      <c r="A1633">
        <v>2023</v>
      </c>
      <c r="B1633" t="s">
        <v>153</v>
      </c>
      <c r="C1633">
        <v>6</v>
      </c>
      <c r="D1633" t="s">
        <v>93</v>
      </c>
      <c r="E1633">
        <v>1502</v>
      </c>
      <c r="F1633">
        <v>1834</v>
      </c>
      <c r="G1633">
        <v>997</v>
      </c>
      <c r="H1633" t="s">
        <v>75</v>
      </c>
      <c r="I1633" t="s">
        <v>174</v>
      </c>
    </row>
    <row r="1634" spans="1:9" ht="15" customHeight="1" x14ac:dyDescent="0.35">
      <c r="A1634">
        <v>2023</v>
      </c>
      <c r="B1634" t="s">
        <v>154</v>
      </c>
      <c r="C1634">
        <v>7</v>
      </c>
      <c r="D1634" t="s">
        <v>93</v>
      </c>
      <c r="E1634">
        <v>1451</v>
      </c>
      <c r="F1634">
        <v>1802</v>
      </c>
      <c r="G1634">
        <v>790</v>
      </c>
      <c r="H1634" t="s">
        <v>75</v>
      </c>
      <c r="I1634" t="s">
        <v>174</v>
      </c>
    </row>
    <row r="1635" spans="1:9" ht="15" customHeight="1" x14ac:dyDescent="0.35">
      <c r="A1635">
        <v>2023</v>
      </c>
      <c r="B1635" t="s">
        <v>155</v>
      </c>
      <c r="C1635">
        <v>8</v>
      </c>
      <c r="D1635" t="s">
        <v>93</v>
      </c>
      <c r="E1635">
        <v>1463</v>
      </c>
      <c r="F1635">
        <v>1919</v>
      </c>
      <c r="G1635">
        <v>883</v>
      </c>
      <c r="H1635" t="s">
        <v>75</v>
      </c>
      <c r="I1635" t="s">
        <v>174</v>
      </c>
    </row>
    <row r="1636" spans="1:9" ht="15" customHeight="1" x14ac:dyDescent="0.35">
      <c r="A1636">
        <v>2023</v>
      </c>
      <c r="B1636" t="s">
        <v>156</v>
      </c>
      <c r="C1636">
        <v>9</v>
      </c>
      <c r="D1636" t="s">
        <v>93</v>
      </c>
      <c r="E1636">
        <v>1422</v>
      </c>
      <c r="F1636">
        <v>1726</v>
      </c>
      <c r="G1636">
        <v>1005</v>
      </c>
      <c r="H1636" t="s">
        <v>75</v>
      </c>
      <c r="I1636" t="s">
        <v>174</v>
      </c>
    </row>
    <row r="1637" spans="1:9" ht="15" customHeight="1" x14ac:dyDescent="0.35">
      <c r="A1637">
        <v>2023</v>
      </c>
      <c r="B1637" t="s">
        <v>157</v>
      </c>
      <c r="C1637">
        <v>10</v>
      </c>
      <c r="D1637" t="s">
        <v>93</v>
      </c>
      <c r="E1637">
        <v>1286</v>
      </c>
      <c r="F1637">
        <v>1529</v>
      </c>
      <c r="G1637">
        <v>943</v>
      </c>
      <c r="H1637" t="s">
        <v>75</v>
      </c>
      <c r="I1637" t="s">
        <v>174</v>
      </c>
    </row>
    <row r="1638" spans="1:9" ht="15" customHeight="1" x14ac:dyDescent="0.35">
      <c r="A1638">
        <v>2023</v>
      </c>
      <c r="B1638" t="s">
        <v>158</v>
      </c>
      <c r="C1638">
        <v>11</v>
      </c>
      <c r="D1638" t="s">
        <v>93</v>
      </c>
      <c r="E1638">
        <v>1265</v>
      </c>
      <c r="F1638">
        <v>1612</v>
      </c>
      <c r="G1638">
        <v>985</v>
      </c>
      <c r="H1638" t="s">
        <v>75</v>
      </c>
      <c r="I1638" t="s">
        <v>174</v>
      </c>
    </row>
    <row r="1639" spans="1:9" ht="15" customHeight="1" x14ac:dyDescent="0.35">
      <c r="A1639">
        <v>2023</v>
      </c>
      <c r="B1639" t="s">
        <v>159</v>
      </c>
      <c r="C1639">
        <v>12</v>
      </c>
      <c r="D1639" t="s">
        <v>93</v>
      </c>
      <c r="E1639">
        <v>1316</v>
      </c>
      <c r="F1639">
        <v>1728</v>
      </c>
      <c r="G1639">
        <v>700</v>
      </c>
      <c r="H1639" t="s">
        <v>75</v>
      </c>
      <c r="I1639" t="s">
        <v>174</v>
      </c>
    </row>
    <row r="1640" spans="1:9" ht="15" customHeight="1" x14ac:dyDescent="0.35">
      <c r="A1640">
        <v>2024</v>
      </c>
      <c r="B1640" t="s">
        <v>147</v>
      </c>
      <c r="C1640">
        <v>1</v>
      </c>
      <c r="D1640" t="s">
        <v>93</v>
      </c>
      <c r="E1640">
        <v>1299</v>
      </c>
      <c r="F1640">
        <v>1674</v>
      </c>
      <c r="G1640">
        <v>849</v>
      </c>
      <c r="H1640" t="s">
        <v>75</v>
      </c>
      <c r="I1640" t="s">
        <v>174</v>
      </c>
    </row>
    <row r="1641" spans="1:9" ht="15" customHeight="1" x14ac:dyDescent="0.35">
      <c r="A1641">
        <v>2024</v>
      </c>
      <c r="B1641" t="s">
        <v>149</v>
      </c>
      <c r="C1641">
        <v>2</v>
      </c>
      <c r="D1641" t="s">
        <v>93</v>
      </c>
      <c r="E1641">
        <v>1258</v>
      </c>
      <c r="F1641">
        <v>1662</v>
      </c>
      <c r="G1641">
        <v>871</v>
      </c>
      <c r="H1641" t="s">
        <v>75</v>
      </c>
      <c r="I1641" t="s">
        <v>174</v>
      </c>
    </row>
    <row r="1642" spans="1:9" ht="15" customHeight="1" x14ac:dyDescent="0.35">
      <c r="A1642">
        <v>2024</v>
      </c>
      <c r="B1642" t="s">
        <v>150</v>
      </c>
      <c r="C1642">
        <v>3</v>
      </c>
      <c r="D1642" t="s">
        <v>93</v>
      </c>
      <c r="E1642">
        <v>1345</v>
      </c>
      <c r="F1642">
        <v>1695</v>
      </c>
      <c r="G1642">
        <v>837</v>
      </c>
      <c r="H1642" t="s">
        <v>75</v>
      </c>
      <c r="I1642" t="s">
        <v>174</v>
      </c>
    </row>
    <row r="1643" spans="1:9" ht="15" customHeight="1" x14ac:dyDescent="0.35">
      <c r="A1643">
        <v>2024</v>
      </c>
      <c r="B1643" t="s">
        <v>151</v>
      </c>
      <c r="C1643">
        <v>4</v>
      </c>
      <c r="D1643" t="s">
        <v>93</v>
      </c>
      <c r="E1643">
        <v>1348</v>
      </c>
      <c r="F1643">
        <v>1695</v>
      </c>
      <c r="G1643">
        <v>837</v>
      </c>
      <c r="H1643" t="s">
        <v>77</v>
      </c>
      <c r="I1643" t="s">
        <v>174</v>
      </c>
    </row>
    <row r="1644" spans="1:9" ht="15" customHeight="1" x14ac:dyDescent="0.35">
      <c r="A1644">
        <v>2024</v>
      </c>
      <c r="B1644" t="s">
        <v>152</v>
      </c>
      <c r="C1644">
        <v>5</v>
      </c>
      <c r="D1644" t="s">
        <v>93</v>
      </c>
      <c r="E1644">
        <v>1665</v>
      </c>
      <c r="F1644">
        <v>2094</v>
      </c>
      <c r="G1644">
        <v>737</v>
      </c>
      <c r="H1644" t="s">
        <v>77</v>
      </c>
      <c r="I1644" t="s">
        <v>174</v>
      </c>
    </row>
    <row r="1645" spans="1:9" ht="15" customHeight="1" x14ac:dyDescent="0.35">
      <c r="A1645">
        <v>2024</v>
      </c>
      <c r="B1645" t="s">
        <v>153</v>
      </c>
      <c r="C1645">
        <v>6</v>
      </c>
      <c r="D1645" t="s">
        <v>93</v>
      </c>
      <c r="E1645">
        <v>1789</v>
      </c>
      <c r="F1645">
        <v>2072</v>
      </c>
      <c r="G1645">
        <v>1223</v>
      </c>
      <c r="H1645" t="s">
        <v>77</v>
      </c>
      <c r="I1645" t="s">
        <v>174</v>
      </c>
    </row>
    <row r="1646" spans="1:9" ht="15" customHeight="1" x14ac:dyDescent="0.35">
      <c r="A1646">
        <v>2024</v>
      </c>
      <c r="B1646" t="s">
        <v>154</v>
      </c>
      <c r="C1646">
        <v>7</v>
      </c>
      <c r="D1646" t="s">
        <v>93</v>
      </c>
      <c r="E1646">
        <v>1669</v>
      </c>
      <c r="F1646">
        <v>2084</v>
      </c>
      <c r="G1646">
        <v>992</v>
      </c>
      <c r="H1646" t="s">
        <v>77</v>
      </c>
      <c r="I1646" t="s">
        <v>174</v>
      </c>
    </row>
    <row r="1647" spans="1:9" ht="15" customHeight="1" x14ac:dyDescent="0.35">
      <c r="A1647">
        <v>2024</v>
      </c>
      <c r="B1647" t="s">
        <v>155</v>
      </c>
      <c r="C1647">
        <v>8</v>
      </c>
      <c r="D1647" t="s">
        <v>93</v>
      </c>
      <c r="E1647">
        <v>1531</v>
      </c>
      <c r="F1647">
        <v>1894</v>
      </c>
      <c r="G1647">
        <v>912</v>
      </c>
      <c r="H1647" t="s">
        <v>77</v>
      </c>
      <c r="I1647" t="s">
        <v>174</v>
      </c>
    </row>
    <row r="1648" spans="1:9" ht="15" customHeight="1" x14ac:dyDescent="0.35">
      <c r="A1648">
        <v>2024</v>
      </c>
      <c r="B1648" t="s">
        <v>156</v>
      </c>
      <c r="C1648">
        <v>9</v>
      </c>
      <c r="D1648" t="s">
        <v>93</v>
      </c>
      <c r="E1648">
        <v>1526</v>
      </c>
      <c r="F1648">
        <v>1978</v>
      </c>
      <c r="G1648">
        <v>656</v>
      </c>
      <c r="H1648" t="s">
        <v>77</v>
      </c>
      <c r="I1648" t="s">
        <v>174</v>
      </c>
    </row>
    <row r="1649" spans="1:9" ht="15" customHeight="1" x14ac:dyDescent="0.35">
      <c r="A1649">
        <v>2024</v>
      </c>
      <c r="B1649" t="s">
        <v>157</v>
      </c>
      <c r="C1649">
        <v>10</v>
      </c>
      <c r="D1649" t="s">
        <v>93</v>
      </c>
      <c r="E1649">
        <v>1539</v>
      </c>
      <c r="F1649">
        <v>1967</v>
      </c>
      <c r="G1649">
        <v>1062</v>
      </c>
      <c r="H1649" t="s">
        <v>77</v>
      </c>
      <c r="I1649" t="s">
        <v>174</v>
      </c>
    </row>
    <row r="1650" spans="1:9" ht="15" customHeight="1" x14ac:dyDescent="0.35">
      <c r="A1650">
        <v>2024</v>
      </c>
      <c r="B1650" t="s">
        <v>158</v>
      </c>
      <c r="C1650">
        <v>11</v>
      </c>
      <c r="D1650" t="s">
        <v>93</v>
      </c>
      <c r="E1650">
        <v>1407</v>
      </c>
      <c r="F1650">
        <v>2023</v>
      </c>
      <c r="G1650">
        <v>971</v>
      </c>
      <c r="H1650" t="s">
        <v>77</v>
      </c>
      <c r="I1650" t="s">
        <v>174</v>
      </c>
    </row>
    <row r="1651" spans="1:9" ht="15" customHeight="1" x14ac:dyDescent="0.35">
      <c r="A1651">
        <v>2024</v>
      </c>
      <c r="B1651" t="s">
        <v>159</v>
      </c>
      <c r="C1651">
        <v>12</v>
      </c>
      <c r="D1651" t="s">
        <v>93</v>
      </c>
      <c r="E1651">
        <v>1451</v>
      </c>
      <c r="F1651">
        <v>1977</v>
      </c>
      <c r="G1651">
        <v>991</v>
      </c>
      <c r="H1651" t="s">
        <v>77</v>
      </c>
      <c r="I1651" t="s">
        <v>174</v>
      </c>
    </row>
    <row r="1652" spans="1:9" ht="15" customHeight="1" x14ac:dyDescent="0.35">
      <c r="A1652">
        <v>2025</v>
      </c>
      <c r="B1652" t="s">
        <v>147</v>
      </c>
      <c r="C1652">
        <v>1</v>
      </c>
      <c r="D1652" t="s">
        <v>93</v>
      </c>
      <c r="E1652">
        <v>1480</v>
      </c>
      <c r="F1652">
        <v>1932</v>
      </c>
      <c r="G1652">
        <v>975</v>
      </c>
      <c r="H1652" t="s">
        <v>77</v>
      </c>
      <c r="I1652" t="s">
        <v>174</v>
      </c>
    </row>
    <row r="1653" spans="1:9" ht="15" customHeight="1" x14ac:dyDescent="0.35">
      <c r="A1653">
        <v>2025</v>
      </c>
      <c r="B1653" t="s">
        <v>149</v>
      </c>
      <c r="C1653">
        <v>2</v>
      </c>
      <c r="D1653" t="s">
        <v>93</v>
      </c>
      <c r="E1653">
        <v>1479</v>
      </c>
      <c r="F1653">
        <v>1921</v>
      </c>
      <c r="G1653">
        <v>1079</v>
      </c>
      <c r="H1653" t="s">
        <v>77</v>
      </c>
      <c r="I1653" t="s">
        <v>174</v>
      </c>
    </row>
    <row r="1654" spans="1:9" ht="15" customHeight="1" x14ac:dyDescent="0.35">
      <c r="A1654">
        <v>2025</v>
      </c>
      <c r="B1654" t="s">
        <v>150</v>
      </c>
      <c r="C1654">
        <v>3</v>
      </c>
      <c r="D1654" t="s">
        <v>93</v>
      </c>
      <c r="E1654">
        <v>1549</v>
      </c>
      <c r="F1654">
        <v>1954</v>
      </c>
      <c r="G1654">
        <v>787</v>
      </c>
      <c r="H1654" t="s">
        <v>77</v>
      </c>
      <c r="I1654" t="s">
        <v>174</v>
      </c>
    </row>
    <row r="1655" spans="1:9" ht="15" customHeight="1" x14ac:dyDescent="0.35">
      <c r="A1655">
        <v>2025</v>
      </c>
      <c r="B1655" t="s">
        <v>151</v>
      </c>
      <c r="C1655">
        <v>4</v>
      </c>
      <c r="D1655" t="s">
        <v>93</v>
      </c>
      <c r="E1655">
        <v>1599</v>
      </c>
      <c r="F1655">
        <v>1999</v>
      </c>
      <c r="G1655">
        <v>643</v>
      </c>
      <c r="H1655" t="s">
        <v>78</v>
      </c>
      <c r="I1655" t="s">
        <v>174</v>
      </c>
    </row>
    <row r="1656" spans="1:9" ht="15" customHeight="1" x14ac:dyDescent="0.35">
      <c r="A1656">
        <v>2025</v>
      </c>
      <c r="B1656" t="s">
        <v>152</v>
      </c>
      <c r="C1656">
        <v>5</v>
      </c>
      <c r="D1656" t="s">
        <v>93</v>
      </c>
      <c r="E1656">
        <v>1616</v>
      </c>
      <c r="F1656">
        <v>1961</v>
      </c>
      <c r="G1656">
        <v>560</v>
      </c>
      <c r="H1656" t="s">
        <v>78</v>
      </c>
      <c r="I1656" t="s">
        <v>174</v>
      </c>
    </row>
    <row r="1657" spans="1:9" ht="15" customHeight="1" x14ac:dyDescent="0.35">
      <c r="A1657">
        <v>2025</v>
      </c>
      <c r="B1657" t="s">
        <v>153</v>
      </c>
      <c r="C1657">
        <v>6</v>
      </c>
      <c r="D1657" t="s">
        <v>93</v>
      </c>
      <c r="E1657">
        <v>1654</v>
      </c>
      <c r="F1657">
        <v>2069</v>
      </c>
      <c r="G1657">
        <v>983</v>
      </c>
      <c r="H1657" t="s">
        <v>78</v>
      </c>
      <c r="I1657" t="s">
        <v>174</v>
      </c>
    </row>
    <row r="1658" spans="1:9" ht="15" customHeight="1" x14ac:dyDescent="0.35">
      <c r="A1658">
        <v>2025</v>
      </c>
      <c r="B1658" t="s">
        <v>154</v>
      </c>
      <c r="C1658">
        <v>7</v>
      </c>
      <c r="D1658" t="s">
        <v>93</v>
      </c>
      <c r="E1658">
        <v>1574</v>
      </c>
      <c r="F1658">
        <v>1945</v>
      </c>
      <c r="G1658">
        <v>1138</v>
      </c>
      <c r="H1658" t="s">
        <v>78</v>
      </c>
      <c r="I1658" t="s">
        <v>174</v>
      </c>
    </row>
    <row r="1659" spans="1:9" ht="15" customHeight="1" x14ac:dyDescent="0.35">
      <c r="A1659">
        <v>2025</v>
      </c>
      <c r="B1659" t="s">
        <v>155</v>
      </c>
      <c r="C1659">
        <v>8</v>
      </c>
      <c r="D1659" t="s">
        <v>93</v>
      </c>
      <c r="E1659">
        <v>1610</v>
      </c>
      <c r="F1659">
        <v>2060</v>
      </c>
      <c r="G1659">
        <v>1083</v>
      </c>
      <c r="H1659" t="s">
        <v>78</v>
      </c>
      <c r="I1659" t="s">
        <v>174</v>
      </c>
    </row>
    <row r="1660" spans="1:9" ht="15" customHeight="1" x14ac:dyDescent="0.35">
      <c r="A1660">
        <v>2025</v>
      </c>
      <c r="B1660" t="s">
        <v>156</v>
      </c>
      <c r="C1660">
        <v>9</v>
      </c>
      <c r="D1660" t="s">
        <v>93</v>
      </c>
      <c r="E1660">
        <v>1690</v>
      </c>
      <c r="F1660">
        <v>2096</v>
      </c>
      <c r="G1660">
        <v>1201</v>
      </c>
      <c r="H1660" t="s">
        <v>78</v>
      </c>
      <c r="I1660" t="s">
        <v>174</v>
      </c>
    </row>
    <row r="1661" spans="1:9" ht="15" customHeight="1" x14ac:dyDescent="0.35">
      <c r="A1661">
        <v>2025</v>
      </c>
      <c r="B1661" t="s">
        <v>157</v>
      </c>
      <c r="C1661">
        <v>10</v>
      </c>
      <c r="D1661" t="s">
        <v>93</v>
      </c>
      <c r="E1661">
        <v>1606</v>
      </c>
      <c r="F1661">
        <v>2029</v>
      </c>
      <c r="G1661">
        <v>1159</v>
      </c>
      <c r="H1661" t="s">
        <v>78</v>
      </c>
      <c r="I1661" t="s">
        <v>174</v>
      </c>
    </row>
    <row r="1662" spans="1:9" ht="15" customHeight="1" x14ac:dyDescent="0.35">
      <c r="A1662">
        <v>2025</v>
      </c>
      <c r="B1662" t="s">
        <v>158</v>
      </c>
      <c r="C1662">
        <v>11</v>
      </c>
      <c r="D1662" t="s">
        <v>93</v>
      </c>
      <c r="E1662">
        <v>1443</v>
      </c>
      <c r="F1662">
        <v>1992</v>
      </c>
      <c r="G1662">
        <v>992</v>
      </c>
      <c r="H1662" t="s">
        <v>78</v>
      </c>
      <c r="I1662" t="s">
        <v>174</v>
      </c>
    </row>
    <row r="1663" spans="1:9" ht="15" customHeight="1" x14ac:dyDescent="0.35">
      <c r="A1663">
        <v>2025</v>
      </c>
      <c r="B1663" t="s">
        <v>159</v>
      </c>
      <c r="C1663">
        <v>12</v>
      </c>
      <c r="D1663" t="s">
        <v>93</v>
      </c>
      <c r="E1663">
        <v>1554</v>
      </c>
      <c r="F1663">
        <v>2063</v>
      </c>
      <c r="G1663">
        <v>1051</v>
      </c>
      <c r="H1663" t="s">
        <v>78</v>
      </c>
      <c r="I1663" t="s">
        <v>174</v>
      </c>
    </row>
    <row r="1664" spans="1:9" ht="15" customHeight="1" x14ac:dyDescent="0.35">
      <c r="A1664">
        <v>2026</v>
      </c>
      <c r="B1664" t="s">
        <v>147</v>
      </c>
      <c r="C1664">
        <v>1</v>
      </c>
      <c r="D1664" t="s">
        <v>93</v>
      </c>
      <c r="E1664">
        <v>1585</v>
      </c>
      <c r="F1664">
        <v>2146</v>
      </c>
      <c r="G1664">
        <v>1034</v>
      </c>
      <c r="H1664" t="s">
        <v>78</v>
      </c>
      <c r="I1664" t="s">
        <v>174</v>
      </c>
    </row>
    <row r="1665" spans="1:9" ht="15" customHeight="1" x14ac:dyDescent="0.35">
      <c r="A1665">
        <v>2026</v>
      </c>
      <c r="B1665" t="s">
        <v>149</v>
      </c>
      <c r="C1665">
        <v>2</v>
      </c>
      <c r="D1665" t="s">
        <v>93</v>
      </c>
      <c r="E1665">
        <v>1528</v>
      </c>
      <c r="F1665">
        <v>2012</v>
      </c>
      <c r="G1665">
        <v>897</v>
      </c>
      <c r="H1665" t="s">
        <v>78</v>
      </c>
      <c r="I1665" t="s">
        <v>174</v>
      </c>
    </row>
    <row r="1666" spans="1:9" ht="15" customHeight="1" x14ac:dyDescent="0.35">
      <c r="A1666">
        <v>2026</v>
      </c>
      <c r="B1666" t="s">
        <v>150</v>
      </c>
      <c r="C1666">
        <v>3</v>
      </c>
      <c r="D1666" t="s">
        <v>93</v>
      </c>
      <c r="E1666">
        <v>1585</v>
      </c>
      <c r="F1666">
        <v>2146</v>
      </c>
      <c r="G1666">
        <v>1034</v>
      </c>
      <c r="H1666" t="s">
        <v>78</v>
      </c>
      <c r="I1666" t="s">
        <v>174</v>
      </c>
    </row>
    <row r="1667" spans="1:9" ht="15" customHeight="1" x14ac:dyDescent="0.35">
      <c r="A1667">
        <v>2017</v>
      </c>
      <c r="B1667" t="s">
        <v>147</v>
      </c>
      <c r="C1667">
        <v>1</v>
      </c>
      <c r="D1667" t="s">
        <v>94</v>
      </c>
      <c r="E1667">
        <v>7557</v>
      </c>
      <c r="F1667">
        <v>8717</v>
      </c>
      <c r="G1667">
        <v>6207</v>
      </c>
      <c r="H1667" t="s">
        <v>122</v>
      </c>
      <c r="I1667" t="s">
        <v>175</v>
      </c>
    </row>
    <row r="1668" spans="1:9" ht="15" customHeight="1" x14ac:dyDescent="0.35">
      <c r="A1668">
        <v>2017</v>
      </c>
      <c r="B1668" t="s">
        <v>149</v>
      </c>
      <c r="C1668">
        <v>2</v>
      </c>
      <c r="D1668" t="s">
        <v>94</v>
      </c>
      <c r="E1668">
        <v>8115</v>
      </c>
      <c r="F1668">
        <v>9273</v>
      </c>
      <c r="G1668">
        <v>6754</v>
      </c>
      <c r="H1668" t="s">
        <v>122</v>
      </c>
      <c r="I1668" t="s">
        <v>175</v>
      </c>
    </row>
    <row r="1669" spans="1:9" ht="15" customHeight="1" x14ac:dyDescent="0.35">
      <c r="A1669">
        <v>2017</v>
      </c>
      <c r="B1669" t="s">
        <v>150</v>
      </c>
      <c r="C1669">
        <v>3</v>
      </c>
      <c r="D1669" t="s">
        <v>94</v>
      </c>
      <c r="E1669">
        <v>8376</v>
      </c>
      <c r="F1669">
        <v>9455</v>
      </c>
      <c r="G1669">
        <v>6876</v>
      </c>
      <c r="H1669" t="s">
        <v>122</v>
      </c>
      <c r="I1669" t="s">
        <v>175</v>
      </c>
    </row>
    <row r="1670" spans="1:9" ht="15" customHeight="1" x14ac:dyDescent="0.35">
      <c r="A1670">
        <v>2017</v>
      </c>
      <c r="B1670" t="s">
        <v>151</v>
      </c>
      <c r="C1670">
        <v>4</v>
      </c>
      <c r="D1670" t="s">
        <v>94</v>
      </c>
      <c r="E1670">
        <v>8527</v>
      </c>
      <c r="F1670">
        <v>9660</v>
      </c>
      <c r="G1670">
        <v>6508</v>
      </c>
      <c r="H1670" t="s">
        <v>123</v>
      </c>
      <c r="I1670" t="s">
        <v>175</v>
      </c>
    </row>
    <row r="1671" spans="1:9" ht="15" customHeight="1" x14ac:dyDescent="0.35">
      <c r="A1671">
        <v>2017</v>
      </c>
      <c r="B1671" t="s">
        <v>152</v>
      </c>
      <c r="C1671">
        <v>5</v>
      </c>
      <c r="D1671" t="s">
        <v>94</v>
      </c>
      <c r="E1671">
        <v>7245</v>
      </c>
      <c r="F1671">
        <v>9189</v>
      </c>
      <c r="G1671">
        <v>4509</v>
      </c>
      <c r="H1671" t="s">
        <v>123</v>
      </c>
      <c r="I1671" t="s">
        <v>175</v>
      </c>
    </row>
    <row r="1672" spans="1:9" ht="15" customHeight="1" x14ac:dyDescent="0.35">
      <c r="A1672">
        <v>2017</v>
      </c>
      <c r="B1672" t="s">
        <v>153</v>
      </c>
      <c r="C1672">
        <v>6</v>
      </c>
      <c r="D1672" t="s">
        <v>94</v>
      </c>
      <c r="E1672">
        <v>6806</v>
      </c>
      <c r="F1672">
        <v>8438</v>
      </c>
      <c r="G1672">
        <v>5218</v>
      </c>
      <c r="H1672" t="s">
        <v>123</v>
      </c>
      <c r="I1672" t="s">
        <v>175</v>
      </c>
    </row>
    <row r="1673" spans="1:9" ht="15" customHeight="1" x14ac:dyDescent="0.35">
      <c r="A1673">
        <v>2017</v>
      </c>
      <c r="B1673" t="s">
        <v>154</v>
      </c>
      <c r="C1673">
        <v>7</v>
      </c>
      <c r="D1673" t="s">
        <v>94</v>
      </c>
      <c r="E1673">
        <v>7176</v>
      </c>
      <c r="F1673">
        <v>9036</v>
      </c>
      <c r="G1673">
        <v>5499</v>
      </c>
      <c r="H1673" t="s">
        <v>123</v>
      </c>
      <c r="I1673" t="s">
        <v>175</v>
      </c>
    </row>
    <row r="1674" spans="1:9" ht="15" customHeight="1" x14ac:dyDescent="0.35">
      <c r="A1674">
        <v>2017</v>
      </c>
      <c r="B1674" t="s">
        <v>155</v>
      </c>
      <c r="C1674">
        <v>8</v>
      </c>
      <c r="D1674" t="s">
        <v>94</v>
      </c>
      <c r="E1674">
        <v>7127</v>
      </c>
      <c r="F1674">
        <v>8896</v>
      </c>
      <c r="G1674">
        <v>5050</v>
      </c>
      <c r="H1674" t="s">
        <v>123</v>
      </c>
      <c r="I1674" t="s">
        <v>175</v>
      </c>
    </row>
    <row r="1675" spans="1:9" ht="15" customHeight="1" x14ac:dyDescent="0.35">
      <c r="A1675">
        <v>2017</v>
      </c>
      <c r="B1675" t="s">
        <v>156</v>
      </c>
      <c r="C1675">
        <v>9</v>
      </c>
      <c r="D1675" t="s">
        <v>94</v>
      </c>
      <c r="E1675">
        <v>6191</v>
      </c>
      <c r="F1675">
        <v>8338</v>
      </c>
      <c r="G1675">
        <v>3910</v>
      </c>
      <c r="H1675" t="s">
        <v>123</v>
      </c>
      <c r="I1675" t="s">
        <v>175</v>
      </c>
    </row>
    <row r="1676" spans="1:9" ht="15" customHeight="1" x14ac:dyDescent="0.35">
      <c r="A1676">
        <v>2017</v>
      </c>
      <c r="B1676" t="s">
        <v>157</v>
      </c>
      <c r="C1676">
        <v>10</v>
      </c>
      <c r="D1676" t="s">
        <v>94</v>
      </c>
      <c r="E1676">
        <v>5905</v>
      </c>
      <c r="F1676">
        <v>8171</v>
      </c>
      <c r="G1676">
        <v>3843</v>
      </c>
      <c r="H1676" t="s">
        <v>123</v>
      </c>
      <c r="I1676" t="s">
        <v>175</v>
      </c>
    </row>
    <row r="1677" spans="1:9" ht="15" customHeight="1" x14ac:dyDescent="0.35">
      <c r="A1677">
        <v>2017</v>
      </c>
      <c r="B1677" t="s">
        <v>158</v>
      </c>
      <c r="C1677">
        <v>11</v>
      </c>
      <c r="D1677" t="s">
        <v>94</v>
      </c>
      <c r="E1677">
        <v>7849</v>
      </c>
      <c r="F1677">
        <v>9614</v>
      </c>
      <c r="G1677">
        <v>5742</v>
      </c>
      <c r="H1677" t="s">
        <v>123</v>
      </c>
      <c r="I1677" t="s">
        <v>175</v>
      </c>
    </row>
    <row r="1678" spans="1:9" ht="15" customHeight="1" x14ac:dyDescent="0.35">
      <c r="A1678">
        <v>2017</v>
      </c>
      <c r="B1678" t="s">
        <v>159</v>
      </c>
      <c r="C1678">
        <v>12</v>
      </c>
      <c r="D1678" t="s">
        <v>94</v>
      </c>
      <c r="E1678">
        <v>8083</v>
      </c>
      <c r="F1678">
        <v>9831</v>
      </c>
      <c r="G1678">
        <v>6131</v>
      </c>
      <c r="H1678" t="s">
        <v>123</v>
      </c>
      <c r="I1678" t="s">
        <v>175</v>
      </c>
    </row>
    <row r="1679" spans="1:9" ht="15" customHeight="1" x14ac:dyDescent="0.35">
      <c r="A1679">
        <v>2018</v>
      </c>
      <c r="B1679" t="s">
        <v>147</v>
      </c>
      <c r="C1679">
        <v>1</v>
      </c>
      <c r="D1679" t="s">
        <v>94</v>
      </c>
      <c r="E1679">
        <v>8490</v>
      </c>
      <c r="F1679">
        <v>10077</v>
      </c>
      <c r="G1679">
        <v>7049</v>
      </c>
      <c r="H1679" t="s">
        <v>123</v>
      </c>
      <c r="I1679" t="s">
        <v>175</v>
      </c>
    </row>
    <row r="1680" spans="1:9" ht="15" customHeight="1" x14ac:dyDescent="0.35">
      <c r="A1680">
        <v>2018</v>
      </c>
      <c r="B1680" t="s">
        <v>149</v>
      </c>
      <c r="C1680">
        <v>2</v>
      </c>
      <c r="D1680" t="s">
        <v>94</v>
      </c>
      <c r="E1680">
        <v>8806</v>
      </c>
      <c r="F1680">
        <v>10150</v>
      </c>
      <c r="G1680">
        <v>7374</v>
      </c>
      <c r="H1680" t="s">
        <v>123</v>
      </c>
      <c r="I1680" t="s">
        <v>175</v>
      </c>
    </row>
    <row r="1681" spans="1:9" ht="15" customHeight="1" x14ac:dyDescent="0.35">
      <c r="A1681">
        <v>2018</v>
      </c>
      <c r="B1681" t="s">
        <v>150</v>
      </c>
      <c r="C1681">
        <v>3</v>
      </c>
      <c r="D1681" t="s">
        <v>94</v>
      </c>
      <c r="E1681">
        <v>9238</v>
      </c>
      <c r="F1681">
        <v>10631</v>
      </c>
      <c r="G1681">
        <v>6408</v>
      </c>
      <c r="H1681" t="s">
        <v>123</v>
      </c>
      <c r="I1681" t="s">
        <v>175</v>
      </c>
    </row>
    <row r="1682" spans="1:9" ht="15" customHeight="1" x14ac:dyDescent="0.35">
      <c r="A1682">
        <v>2018</v>
      </c>
      <c r="B1682" t="s">
        <v>151</v>
      </c>
      <c r="C1682">
        <v>4</v>
      </c>
      <c r="D1682" t="s">
        <v>94</v>
      </c>
      <c r="E1682">
        <v>9031</v>
      </c>
      <c r="F1682">
        <v>10596</v>
      </c>
      <c r="G1682">
        <v>6296</v>
      </c>
      <c r="H1682" t="s">
        <v>124</v>
      </c>
      <c r="I1682" t="s">
        <v>175</v>
      </c>
    </row>
    <row r="1683" spans="1:9" ht="15" customHeight="1" x14ac:dyDescent="0.35">
      <c r="A1683">
        <v>2018</v>
      </c>
      <c r="B1683" t="s">
        <v>152</v>
      </c>
      <c r="C1683">
        <v>5</v>
      </c>
      <c r="D1683" t="s">
        <v>94</v>
      </c>
      <c r="E1683">
        <v>7487</v>
      </c>
      <c r="F1683">
        <v>9611</v>
      </c>
      <c r="G1683">
        <v>5308</v>
      </c>
      <c r="H1683" t="s">
        <v>124</v>
      </c>
      <c r="I1683" t="s">
        <v>175</v>
      </c>
    </row>
    <row r="1684" spans="1:9" ht="15" customHeight="1" x14ac:dyDescent="0.35">
      <c r="A1684">
        <v>2018</v>
      </c>
      <c r="B1684" t="s">
        <v>153</v>
      </c>
      <c r="C1684">
        <v>6</v>
      </c>
      <c r="D1684" t="s">
        <v>94</v>
      </c>
      <c r="E1684">
        <v>6892</v>
      </c>
      <c r="F1684">
        <v>8813</v>
      </c>
      <c r="G1684">
        <v>4889</v>
      </c>
      <c r="H1684" t="s">
        <v>124</v>
      </c>
      <c r="I1684" t="s">
        <v>175</v>
      </c>
    </row>
    <row r="1685" spans="1:9" ht="15" customHeight="1" x14ac:dyDescent="0.35">
      <c r="A1685">
        <v>2018</v>
      </c>
      <c r="B1685" t="s">
        <v>154</v>
      </c>
      <c r="C1685">
        <v>7</v>
      </c>
      <c r="D1685" t="s">
        <v>94</v>
      </c>
      <c r="E1685">
        <v>7224</v>
      </c>
      <c r="F1685">
        <v>9339</v>
      </c>
      <c r="G1685">
        <v>5173</v>
      </c>
      <c r="H1685" t="s">
        <v>124</v>
      </c>
      <c r="I1685" t="s">
        <v>175</v>
      </c>
    </row>
    <row r="1686" spans="1:9" ht="15" customHeight="1" x14ac:dyDescent="0.35">
      <c r="A1686">
        <v>2018</v>
      </c>
      <c r="B1686" t="s">
        <v>155</v>
      </c>
      <c r="C1686">
        <v>8</v>
      </c>
      <c r="D1686" t="s">
        <v>94</v>
      </c>
      <c r="E1686">
        <v>7252</v>
      </c>
      <c r="F1686">
        <v>9185</v>
      </c>
      <c r="G1686">
        <v>4508</v>
      </c>
      <c r="H1686" t="s">
        <v>124</v>
      </c>
      <c r="I1686" t="s">
        <v>175</v>
      </c>
    </row>
    <row r="1687" spans="1:9" ht="15" customHeight="1" x14ac:dyDescent="0.35">
      <c r="A1687">
        <v>2018</v>
      </c>
      <c r="B1687" t="s">
        <v>156</v>
      </c>
      <c r="C1687">
        <v>9</v>
      </c>
      <c r="D1687" t="s">
        <v>94</v>
      </c>
      <c r="E1687">
        <v>7892</v>
      </c>
      <c r="F1687">
        <v>9709</v>
      </c>
      <c r="G1687">
        <v>5181</v>
      </c>
      <c r="H1687" t="s">
        <v>124</v>
      </c>
      <c r="I1687" t="s">
        <v>175</v>
      </c>
    </row>
    <row r="1688" spans="1:9" ht="15" customHeight="1" x14ac:dyDescent="0.35">
      <c r="A1688">
        <v>2018</v>
      </c>
      <c r="B1688" t="s">
        <v>157</v>
      </c>
      <c r="C1688">
        <v>10</v>
      </c>
      <c r="D1688" t="s">
        <v>94</v>
      </c>
      <c r="E1688">
        <v>7717</v>
      </c>
      <c r="F1688">
        <v>10122</v>
      </c>
      <c r="G1688">
        <v>4192</v>
      </c>
      <c r="H1688" t="s">
        <v>124</v>
      </c>
      <c r="I1688" t="s">
        <v>175</v>
      </c>
    </row>
    <row r="1689" spans="1:9" ht="15" customHeight="1" x14ac:dyDescent="0.35">
      <c r="A1689">
        <v>2018</v>
      </c>
      <c r="B1689" t="s">
        <v>158</v>
      </c>
      <c r="C1689">
        <v>11</v>
      </c>
      <c r="D1689" t="s">
        <v>94</v>
      </c>
      <c r="E1689">
        <v>8310</v>
      </c>
      <c r="F1689">
        <v>10341</v>
      </c>
      <c r="G1689">
        <v>6264</v>
      </c>
      <c r="H1689" t="s">
        <v>124</v>
      </c>
      <c r="I1689" t="s">
        <v>175</v>
      </c>
    </row>
    <row r="1690" spans="1:9" ht="15" customHeight="1" x14ac:dyDescent="0.35">
      <c r="A1690">
        <v>2018</v>
      </c>
      <c r="B1690" t="s">
        <v>159</v>
      </c>
      <c r="C1690">
        <v>12</v>
      </c>
      <c r="D1690" t="s">
        <v>94</v>
      </c>
      <c r="E1690">
        <v>8273</v>
      </c>
      <c r="F1690">
        <v>10437</v>
      </c>
      <c r="G1690">
        <v>5882</v>
      </c>
      <c r="H1690" t="s">
        <v>124</v>
      </c>
      <c r="I1690" t="s">
        <v>175</v>
      </c>
    </row>
    <row r="1691" spans="1:9" ht="15" customHeight="1" x14ac:dyDescent="0.35">
      <c r="A1691">
        <v>2019</v>
      </c>
      <c r="B1691" t="s">
        <v>147</v>
      </c>
      <c r="C1691">
        <v>1</v>
      </c>
      <c r="D1691" t="s">
        <v>94</v>
      </c>
      <c r="E1691">
        <v>8403</v>
      </c>
      <c r="F1691">
        <v>10903</v>
      </c>
      <c r="G1691">
        <v>6088</v>
      </c>
      <c r="H1691" t="s">
        <v>124</v>
      </c>
      <c r="I1691" t="s">
        <v>175</v>
      </c>
    </row>
    <row r="1692" spans="1:9" ht="15" customHeight="1" x14ac:dyDescent="0.35">
      <c r="A1692">
        <v>2019</v>
      </c>
      <c r="B1692" t="s">
        <v>149</v>
      </c>
      <c r="C1692">
        <v>2</v>
      </c>
      <c r="D1692" t="s">
        <v>94</v>
      </c>
      <c r="E1692">
        <v>8913</v>
      </c>
      <c r="F1692">
        <v>10952</v>
      </c>
      <c r="G1692">
        <v>6215</v>
      </c>
      <c r="H1692" t="s">
        <v>124</v>
      </c>
      <c r="I1692" t="s">
        <v>175</v>
      </c>
    </row>
    <row r="1693" spans="1:9" ht="15" customHeight="1" x14ac:dyDescent="0.35">
      <c r="A1693">
        <v>2019</v>
      </c>
      <c r="B1693" t="s">
        <v>150</v>
      </c>
      <c r="C1693">
        <v>3</v>
      </c>
      <c r="D1693" t="s">
        <v>94</v>
      </c>
      <c r="E1693">
        <v>9861</v>
      </c>
      <c r="F1693">
        <v>11630</v>
      </c>
      <c r="G1693">
        <v>7829</v>
      </c>
      <c r="H1693" t="s">
        <v>124</v>
      </c>
      <c r="I1693" t="s">
        <v>175</v>
      </c>
    </row>
    <row r="1694" spans="1:9" ht="15" customHeight="1" x14ac:dyDescent="0.35">
      <c r="A1694">
        <v>2019</v>
      </c>
      <c r="B1694" t="s">
        <v>151</v>
      </c>
      <c r="C1694">
        <v>4</v>
      </c>
      <c r="D1694" t="s">
        <v>94</v>
      </c>
      <c r="E1694">
        <v>9351</v>
      </c>
      <c r="F1694">
        <v>11316</v>
      </c>
      <c r="G1694">
        <v>6643</v>
      </c>
      <c r="H1694" t="s">
        <v>71</v>
      </c>
      <c r="I1694" t="s">
        <v>175</v>
      </c>
    </row>
    <row r="1695" spans="1:9" ht="15" customHeight="1" x14ac:dyDescent="0.35">
      <c r="A1695">
        <v>2019</v>
      </c>
      <c r="B1695" t="s">
        <v>152</v>
      </c>
      <c r="C1695">
        <v>5</v>
      </c>
      <c r="D1695" t="s">
        <v>94</v>
      </c>
      <c r="E1695">
        <v>8590</v>
      </c>
      <c r="F1695">
        <v>10624</v>
      </c>
      <c r="G1695">
        <v>5548</v>
      </c>
      <c r="H1695" t="s">
        <v>71</v>
      </c>
      <c r="I1695" t="s">
        <v>175</v>
      </c>
    </row>
    <row r="1696" spans="1:9" ht="15" customHeight="1" x14ac:dyDescent="0.35">
      <c r="A1696">
        <v>2019</v>
      </c>
      <c r="B1696" t="s">
        <v>153</v>
      </c>
      <c r="C1696">
        <v>6</v>
      </c>
      <c r="D1696" t="s">
        <v>94</v>
      </c>
      <c r="E1696">
        <v>7701</v>
      </c>
      <c r="F1696">
        <v>10354</v>
      </c>
      <c r="G1696">
        <v>4627</v>
      </c>
      <c r="H1696" t="s">
        <v>71</v>
      </c>
      <c r="I1696" t="s">
        <v>175</v>
      </c>
    </row>
    <row r="1697" spans="1:9" ht="15" customHeight="1" x14ac:dyDescent="0.35">
      <c r="A1697">
        <v>2019</v>
      </c>
      <c r="B1697" t="s">
        <v>154</v>
      </c>
      <c r="C1697">
        <v>7</v>
      </c>
      <c r="D1697" t="s">
        <v>94</v>
      </c>
      <c r="E1697">
        <v>6672</v>
      </c>
      <c r="F1697">
        <v>9492</v>
      </c>
      <c r="G1697">
        <v>2567</v>
      </c>
      <c r="H1697" t="s">
        <v>71</v>
      </c>
      <c r="I1697" t="s">
        <v>175</v>
      </c>
    </row>
    <row r="1698" spans="1:9" ht="15" customHeight="1" x14ac:dyDescent="0.35">
      <c r="A1698">
        <v>2019</v>
      </c>
      <c r="B1698" t="s">
        <v>155</v>
      </c>
      <c r="C1698">
        <v>8</v>
      </c>
      <c r="D1698" t="s">
        <v>94</v>
      </c>
      <c r="E1698">
        <v>6524</v>
      </c>
      <c r="F1698">
        <v>9169</v>
      </c>
      <c r="G1698">
        <v>4370</v>
      </c>
      <c r="H1698" t="s">
        <v>71</v>
      </c>
      <c r="I1698" t="s">
        <v>175</v>
      </c>
    </row>
    <row r="1699" spans="1:9" ht="15" customHeight="1" x14ac:dyDescent="0.35">
      <c r="A1699">
        <v>2019</v>
      </c>
      <c r="B1699" t="s">
        <v>156</v>
      </c>
      <c r="C1699">
        <v>9</v>
      </c>
      <c r="D1699" t="s">
        <v>94</v>
      </c>
      <c r="E1699">
        <v>6946</v>
      </c>
      <c r="F1699">
        <v>9194</v>
      </c>
      <c r="G1699">
        <v>4626</v>
      </c>
      <c r="H1699" t="s">
        <v>71</v>
      </c>
      <c r="I1699" t="s">
        <v>175</v>
      </c>
    </row>
    <row r="1700" spans="1:9" ht="15" customHeight="1" x14ac:dyDescent="0.35">
      <c r="A1700">
        <v>2019</v>
      </c>
      <c r="B1700" t="s">
        <v>157</v>
      </c>
      <c r="C1700">
        <v>10</v>
      </c>
      <c r="D1700" t="s">
        <v>94</v>
      </c>
      <c r="E1700">
        <v>5832</v>
      </c>
      <c r="F1700">
        <v>7706</v>
      </c>
      <c r="G1700">
        <v>4013</v>
      </c>
      <c r="H1700" t="s">
        <v>71</v>
      </c>
      <c r="I1700" t="s">
        <v>175</v>
      </c>
    </row>
    <row r="1701" spans="1:9" ht="15" customHeight="1" x14ac:dyDescent="0.35">
      <c r="A1701">
        <v>2019</v>
      </c>
      <c r="B1701" t="s">
        <v>158</v>
      </c>
      <c r="C1701">
        <v>11</v>
      </c>
      <c r="D1701" t="s">
        <v>94</v>
      </c>
      <c r="E1701">
        <v>6820</v>
      </c>
      <c r="F1701">
        <v>9434</v>
      </c>
      <c r="G1701">
        <v>4095</v>
      </c>
      <c r="H1701" t="s">
        <v>71</v>
      </c>
      <c r="I1701" t="s">
        <v>175</v>
      </c>
    </row>
    <row r="1702" spans="1:9" ht="15" customHeight="1" x14ac:dyDescent="0.35">
      <c r="A1702">
        <v>2019</v>
      </c>
      <c r="B1702" t="s">
        <v>159</v>
      </c>
      <c r="C1702">
        <v>12</v>
      </c>
      <c r="D1702" t="s">
        <v>94</v>
      </c>
      <c r="E1702">
        <v>7690</v>
      </c>
      <c r="F1702">
        <v>10833</v>
      </c>
      <c r="G1702">
        <v>4812</v>
      </c>
      <c r="H1702" t="s">
        <v>71</v>
      </c>
      <c r="I1702" t="s">
        <v>175</v>
      </c>
    </row>
    <row r="1703" spans="1:9" ht="15" customHeight="1" x14ac:dyDescent="0.35">
      <c r="A1703">
        <v>2020</v>
      </c>
      <c r="B1703" t="s">
        <v>147</v>
      </c>
      <c r="C1703">
        <v>1</v>
      </c>
      <c r="D1703" t="s">
        <v>94</v>
      </c>
      <c r="E1703">
        <v>8911</v>
      </c>
      <c r="F1703">
        <v>11903</v>
      </c>
      <c r="G1703">
        <v>6439</v>
      </c>
      <c r="H1703" t="s">
        <v>71</v>
      </c>
      <c r="I1703" t="s">
        <v>175</v>
      </c>
    </row>
    <row r="1704" spans="1:9" ht="15" customHeight="1" x14ac:dyDescent="0.35">
      <c r="A1704">
        <v>2020</v>
      </c>
      <c r="B1704" t="s">
        <v>149</v>
      </c>
      <c r="C1704">
        <v>2</v>
      </c>
      <c r="D1704" t="s">
        <v>94</v>
      </c>
      <c r="E1704">
        <v>9656</v>
      </c>
      <c r="F1704">
        <v>12182</v>
      </c>
      <c r="G1704">
        <v>6096</v>
      </c>
      <c r="H1704" t="s">
        <v>71</v>
      </c>
      <c r="I1704" t="s">
        <v>175</v>
      </c>
    </row>
    <row r="1705" spans="1:9" ht="15" customHeight="1" x14ac:dyDescent="0.35">
      <c r="A1705">
        <v>2020</v>
      </c>
      <c r="B1705" t="s">
        <v>150</v>
      </c>
      <c r="C1705">
        <v>3</v>
      </c>
      <c r="D1705" t="s">
        <v>94</v>
      </c>
      <c r="E1705">
        <v>9677</v>
      </c>
      <c r="F1705">
        <v>12422</v>
      </c>
      <c r="G1705">
        <v>7106</v>
      </c>
      <c r="H1705" t="s">
        <v>71</v>
      </c>
      <c r="I1705" t="s">
        <v>175</v>
      </c>
    </row>
    <row r="1706" spans="1:9" ht="15" customHeight="1" x14ac:dyDescent="0.35">
      <c r="A1706">
        <v>2020</v>
      </c>
      <c r="B1706" t="s">
        <v>151</v>
      </c>
      <c r="C1706">
        <v>4</v>
      </c>
      <c r="D1706" t="s">
        <v>94</v>
      </c>
      <c r="E1706">
        <v>8145</v>
      </c>
      <c r="F1706">
        <v>10518</v>
      </c>
      <c r="G1706">
        <v>5978</v>
      </c>
      <c r="H1706" t="s">
        <v>72</v>
      </c>
      <c r="I1706" t="s">
        <v>175</v>
      </c>
    </row>
    <row r="1707" spans="1:9" ht="15" customHeight="1" x14ac:dyDescent="0.35">
      <c r="A1707">
        <v>2020</v>
      </c>
      <c r="B1707" t="s">
        <v>152</v>
      </c>
      <c r="C1707">
        <v>5</v>
      </c>
      <c r="D1707" t="s">
        <v>94</v>
      </c>
      <c r="E1707">
        <v>7754</v>
      </c>
      <c r="F1707">
        <v>9881</v>
      </c>
      <c r="G1707">
        <v>5162</v>
      </c>
      <c r="H1707" t="s">
        <v>72</v>
      </c>
      <c r="I1707" t="s">
        <v>175</v>
      </c>
    </row>
    <row r="1708" spans="1:9" ht="15" customHeight="1" x14ac:dyDescent="0.35">
      <c r="A1708">
        <v>2020</v>
      </c>
      <c r="B1708" t="s">
        <v>153</v>
      </c>
      <c r="C1708">
        <v>6</v>
      </c>
      <c r="D1708" t="s">
        <v>94</v>
      </c>
      <c r="E1708">
        <v>7114</v>
      </c>
      <c r="F1708">
        <v>10080</v>
      </c>
      <c r="G1708">
        <v>5076</v>
      </c>
      <c r="H1708" t="s">
        <v>72</v>
      </c>
      <c r="I1708" t="s">
        <v>175</v>
      </c>
    </row>
    <row r="1709" spans="1:9" ht="15" customHeight="1" x14ac:dyDescent="0.35">
      <c r="A1709">
        <v>2020</v>
      </c>
      <c r="B1709" t="s">
        <v>154</v>
      </c>
      <c r="C1709">
        <v>7</v>
      </c>
      <c r="D1709" t="s">
        <v>94</v>
      </c>
      <c r="E1709">
        <v>6397</v>
      </c>
      <c r="F1709">
        <v>8839</v>
      </c>
      <c r="G1709">
        <v>3989</v>
      </c>
      <c r="H1709" t="s">
        <v>72</v>
      </c>
      <c r="I1709" t="s">
        <v>175</v>
      </c>
    </row>
    <row r="1710" spans="1:9" ht="15" customHeight="1" x14ac:dyDescent="0.35">
      <c r="A1710">
        <v>2020</v>
      </c>
      <c r="B1710" t="s">
        <v>155</v>
      </c>
      <c r="C1710">
        <v>8</v>
      </c>
      <c r="D1710" t="s">
        <v>94</v>
      </c>
      <c r="E1710">
        <v>6339</v>
      </c>
      <c r="F1710">
        <v>9960</v>
      </c>
      <c r="G1710">
        <v>4122</v>
      </c>
      <c r="H1710" t="s">
        <v>72</v>
      </c>
      <c r="I1710" t="s">
        <v>175</v>
      </c>
    </row>
    <row r="1711" spans="1:9" ht="15" customHeight="1" x14ac:dyDescent="0.35">
      <c r="A1711">
        <v>2020</v>
      </c>
      <c r="B1711" t="s">
        <v>156</v>
      </c>
      <c r="C1711">
        <v>9</v>
      </c>
      <c r="D1711" t="s">
        <v>94</v>
      </c>
      <c r="E1711">
        <v>6216</v>
      </c>
      <c r="F1711">
        <v>8702</v>
      </c>
      <c r="G1711">
        <v>3674</v>
      </c>
      <c r="H1711" t="s">
        <v>72</v>
      </c>
      <c r="I1711" t="s">
        <v>175</v>
      </c>
    </row>
    <row r="1712" spans="1:9" ht="15" customHeight="1" x14ac:dyDescent="0.35">
      <c r="A1712">
        <v>2020</v>
      </c>
      <c r="B1712" t="s">
        <v>157</v>
      </c>
      <c r="C1712">
        <v>10</v>
      </c>
      <c r="D1712" t="s">
        <v>94</v>
      </c>
      <c r="E1712">
        <v>6382</v>
      </c>
      <c r="F1712">
        <v>9839</v>
      </c>
      <c r="G1712">
        <v>4127</v>
      </c>
      <c r="H1712" t="s">
        <v>72</v>
      </c>
      <c r="I1712" t="s">
        <v>175</v>
      </c>
    </row>
    <row r="1713" spans="1:9" ht="15" customHeight="1" x14ac:dyDescent="0.35">
      <c r="A1713">
        <v>2020</v>
      </c>
      <c r="B1713" t="s">
        <v>158</v>
      </c>
      <c r="C1713">
        <v>11</v>
      </c>
      <c r="D1713" t="s">
        <v>94</v>
      </c>
      <c r="E1713">
        <v>7567</v>
      </c>
      <c r="F1713">
        <v>10637</v>
      </c>
      <c r="G1713">
        <v>4641</v>
      </c>
      <c r="H1713" t="s">
        <v>72</v>
      </c>
      <c r="I1713" t="s">
        <v>175</v>
      </c>
    </row>
    <row r="1714" spans="1:9" ht="15" customHeight="1" x14ac:dyDescent="0.35">
      <c r="A1714">
        <v>2020</v>
      </c>
      <c r="B1714" t="s">
        <v>159</v>
      </c>
      <c r="C1714">
        <v>12</v>
      </c>
      <c r="D1714" t="s">
        <v>94</v>
      </c>
      <c r="E1714">
        <v>8243</v>
      </c>
      <c r="F1714">
        <v>11897</v>
      </c>
      <c r="G1714">
        <v>5297</v>
      </c>
      <c r="H1714" t="s">
        <v>72</v>
      </c>
      <c r="I1714" t="s">
        <v>175</v>
      </c>
    </row>
    <row r="1715" spans="1:9" ht="15" customHeight="1" x14ac:dyDescent="0.35">
      <c r="A1715">
        <v>2021</v>
      </c>
      <c r="B1715" t="s">
        <v>147</v>
      </c>
      <c r="C1715">
        <v>1</v>
      </c>
      <c r="D1715" t="s">
        <v>94</v>
      </c>
      <c r="E1715">
        <v>8587</v>
      </c>
      <c r="F1715">
        <v>12526</v>
      </c>
      <c r="G1715">
        <v>4975</v>
      </c>
      <c r="H1715" t="s">
        <v>72</v>
      </c>
      <c r="I1715" t="s">
        <v>175</v>
      </c>
    </row>
    <row r="1716" spans="1:9" ht="15" customHeight="1" x14ac:dyDescent="0.35">
      <c r="A1716">
        <v>2021</v>
      </c>
      <c r="B1716" t="s">
        <v>149</v>
      </c>
      <c r="C1716">
        <v>2</v>
      </c>
      <c r="D1716" t="s">
        <v>94</v>
      </c>
      <c r="E1716">
        <v>9508</v>
      </c>
      <c r="F1716">
        <v>12940</v>
      </c>
      <c r="G1716">
        <v>5499</v>
      </c>
      <c r="H1716" t="s">
        <v>72</v>
      </c>
      <c r="I1716" t="s">
        <v>175</v>
      </c>
    </row>
    <row r="1717" spans="1:9" ht="15" customHeight="1" x14ac:dyDescent="0.35">
      <c r="A1717">
        <v>2021</v>
      </c>
      <c r="B1717" t="s">
        <v>150</v>
      </c>
      <c r="C1717">
        <v>3</v>
      </c>
      <c r="D1717" t="s">
        <v>94</v>
      </c>
      <c r="E1717">
        <v>10744</v>
      </c>
      <c r="F1717">
        <v>14033</v>
      </c>
      <c r="G1717">
        <v>7282</v>
      </c>
      <c r="H1717" t="s">
        <v>72</v>
      </c>
      <c r="I1717" t="s">
        <v>175</v>
      </c>
    </row>
    <row r="1718" spans="1:9" ht="15" customHeight="1" x14ac:dyDescent="0.35">
      <c r="A1718">
        <v>2021</v>
      </c>
      <c r="B1718" t="s">
        <v>151</v>
      </c>
      <c r="C1718">
        <v>4</v>
      </c>
      <c r="D1718" t="s">
        <v>94</v>
      </c>
      <c r="E1718">
        <v>10114</v>
      </c>
      <c r="F1718">
        <v>14057</v>
      </c>
      <c r="G1718">
        <v>6448</v>
      </c>
      <c r="H1718" t="s">
        <v>73</v>
      </c>
      <c r="I1718" t="s">
        <v>175</v>
      </c>
    </row>
    <row r="1719" spans="1:9" ht="15" customHeight="1" x14ac:dyDescent="0.35">
      <c r="A1719">
        <v>2021</v>
      </c>
      <c r="B1719" t="s">
        <v>152</v>
      </c>
      <c r="C1719">
        <v>5</v>
      </c>
      <c r="D1719" t="s">
        <v>94</v>
      </c>
      <c r="E1719">
        <v>7785</v>
      </c>
      <c r="F1719">
        <v>10711</v>
      </c>
      <c r="G1719">
        <v>5259</v>
      </c>
      <c r="H1719" t="s">
        <v>73</v>
      </c>
      <c r="I1719" t="s">
        <v>175</v>
      </c>
    </row>
    <row r="1720" spans="1:9" ht="15" customHeight="1" x14ac:dyDescent="0.35">
      <c r="A1720">
        <v>2021</v>
      </c>
      <c r="B1720" t="s">
        <v>153</v>
      </c>
      <c r="C1720">
        <v>6</v>
      </c>
      <c r="D1720" t="s">
        <v>94</v>
      </c>
      <c r="E1720">
        <v>7305</v>
      </c>
      <c r="F1720">
        <v>11119</v>
      </c>
      <c r="G1720">
        <v>4987</v>
      </c>
      <c r="H1720" t="s">
        <v>73</v>
      </c>
      <c r="I1720" t="s">
        <v>175</v>
      </c>
    </row>
    <row r="1721" spans="1:9" ht="15" customHeight="1" x14ac:dyDescent="0.35">
      <c r="A1721">
        <v>2021</v>
      </c>
      <c r="B1721" t="s">
        <v>154</v>
      </c>
      <c r="C1721">
        <v>7</v>
      </c>
      <c r="D1721" t="s">
        <v>94</v>
      </c>
      <c r="E1721">
        <v>6979</v>
      </c>
      <c r="F1721">
        <v>11294</v>
      </c>
      <c r="G1721">
        <v>4232</v>
      </c>
      <c r="H1721" t="s">
        <v>73</v>
      </c>
      <c r="I1721" t="s">
        <v>175</v>
      </c>
    </row>
    <row r="1722" spans="1:9" ht="15" customHeight="1" x14ac:dyDescent="0.35">
      <c r="A1722">
        <v>2021</v>
      </c>
      <c r="B1722" t="s">
        <v>155</v>
      </c>
      <c r="C1722">
        <v>8</v>
      </c>
      <c r="D1722" t="s">
        <v>94</v>
      </c>
      <c r="E1722">
        <v>7720</v>
      </c>
      <c r="F1722">
        <v>10768</v>
      </c>
      <c r="G1722">
        <v>4738</v>
      </c>
      <c r="H1722" t="s">
        <v>73</v>
      </c>
      <c r="I1722" t="s">
        <v>175</v>
      </c>
    </row>
    <row r="1723" spans="1:9" ht="15" customHeight="1" x14ac:dyDescent="0.35">
      <c r="A1723">
        <v>2021</v>
      </c>
      <c r="B1723" t="s">
        <v>156</v>
      </c>
      <c r="C1723">
        <v>9</v>
      </c>
      <c r="D1723" t="s">
        <v>94</v>
      </c>
      <c r="E1723">
        <v>7703</v>
      </c>
      <c r="F1723">
        <v>11852</v>
      </c>
      <c r="G1723">
        <v>4614</v>
      </c>
      <c r="H1723" t="s">
        <v>73</v>
      </c>
      <c r="I1723" t="s">
        <v>175</v>
      </c>
    </row>
    <row r="1724" spans="1:9" ht="15" customHeight="1" x14ac:dyDescent="0.35">
      <c r="A1724">
        <v>2021</v>
      </c>
      <c r="B1724" t="s">
        <v>157</v>
      </c>
      <c r="C1724">
        <v>10</v>
      </c>
      <c r="D1724" t="s">
        <v>94</v>
      </c>
      <c r="E1724">
        <v>7027</v>
      </c>
      <c r="F1724">
        <v>10647</v>
      </c>
      <c r="G1724">
        <v>4627</v>
      </c>
      <c r="H1724" t="s">
        <v>73</v>
      </c>
      <c r="I1724" t="s">
        <v>175</v>
      </c>
    </row>
    <row r="1725" spans="1:9" ht="15" customHeight="1" x14ac:dyDescent="0.35">
      <c r="A1725">
        <v>2021</v>
      </c>
      <c r="B1725" t="s">
        <v>158</v>
      </c>
      <c r="C1725">
        <v>11</v>
      </c>
      <c r="D1725" t="s">
        <v>94</v>
      </c>
      <c r="E1725">
        <v>6535</v>
      </c>
      <c r="F1725">
        <v>9310</v>
      </c>
      <c r="G1725">
        <v>4157</v>
      </c>
      <c r="H1725" t="s">
        <v>73</v>
      </c>
      <c r="I1725" t="s">
        <v>175</v>
      </c>
    </row>
    <row r="1726" spans="1:9" ht="15" customHeight="1" x14ac:dyDescent="0.35">
      <c r="A1726">
        <v>2021</v>
      </c>
      <c r="B1726" t="s">
        <v>159</v>
      </c>
      <c r="C1726">
        <v>12</v>
      </c>
      <c r="D1726" t="s">
        <v>94</v>
      </c>
      <c r="E1726">
        <v>7303</v>
      </c>
      <c r="F1726">
        <v>11962</v>
      </c>
      <c r="G1726">
        <v>4092</v>
      </c>
      <c r="H1726" t="s">
        <v>73</v>
      </c>
      <c r="I1726" t="s">
        <v>175</v>
      </c>
    </row>
    <row r="1727" spans="1:9" ht="15" customHeight="1" x14ac:dyDescent="0.35">
      <c r="A1727">
        <v>2022</v>
      </c>
      <c r="B1727" t="s">
        <v>147</v>
      </c>
      <c r="C1727">
        <v>1</v>
      </c>
      <c r="D1727" t="s">
        <v>94</v>
      </c>
      <c r="E1727">
        <v>9214</v>
      </c>
      <c r="F1727">
        <v>13397</v>
      </c>
      <c r="G1727">
        <v>5589</v>
      </c>
      <c r="H1727" t="s">
        <v>73</v>
      </c>
      <c r="I1727" t="s">
        <v>175</v>
      </c>
    </row>
    <row r="1728" spans="1:9" ht="15" customHeight="1" x14ac:dyDescent="0.35">
      <c r="A1728">
        <v>2022</v>
      </c>
      <c r="B1728" t="s">
        <v>149</v>
      </c>
      <c r="C1728">
        <v>2</v>
      </c>
      <c r="D1728" t="s">
        <v>94</v>
      </c>
      <c r="E1728">
        <v>10437</v>
      </c>
      <c r="F1728">
        <v>14515</v>
      </c>
      <c r="G1728">
        <v>7692</v>
      </c>
      <c r="H1728" t="s">
        <v>73</v>
      </c>
      <c r="I1728" t="s">
        <v>175</v>
      </c>
    </row>
    <row r="1729" spans="1:9" ht="15" customHeight="1" x14ac:dyDescent="0.35">
      <c r="A1729">
        <v>2022</v>
      </c>
      <c r="B1729" t="s">
        <v>150</v>
      </c>
      <c r="C1729">
        <v>3</v>
      </c>
      <c r="D1729" t="s">
        <v>94</v>
      </c>
      <c r="E1729">
        <v>11086</v>
      </c>
      <c r="F1729">
        <v>14752</v>
      </c>
      <c r="G1729">
        <v>8264</v>
      </c>
      <c r="H1729" t="s">
        <v>73</v>
      </c>
      <c r="I1729" t="s">
        <v>175</v>
      </c>
    </row>
    <row r="1730" spans="1:9" ht="15" customHeight="1" x14ac:dyDescent="0.35">
      <c r="A1730">
        <v>2022</v>
      </c>
      <c r="B1730" t="s">
        <v>151</v>
      </c>
      <c r="C1730">
        <v>4</v>
      </c>
      <c r="D1730" t="s">
        <v>94</v>
      </c>
      <c r="E1730">
        <v>10167</v>
      </c>
      <c r="F1730">
        <v>14701</v>
      </c>
      <c r="G1730">
        <v>6293</v>
      </c>
      <c r="H1730" t="s">
        <v>74</v>
      </c>
      <c r="I1730" t="s">
        <v>175</v>
      </c>
    </row>
    <row r="1731" spans="1:9" ht="15" customHeight="1" x14ac:dyDescent="0.35">
      <c r="A1731">
        <v>2022</v>
      </c>
      <c r="B1731" t="s">
        <v>152</v>
      </c>
      <c r="C1731">
        <v>5</v>
      </c>
      <c r="D1731" t="s">
        <v>94</v>
      </c>
      <c r="E1731">
        <v>8274</v>
      </c>
      <c r="F1731">
        <v>12284</v>
      </c>
      <c r="G1731">
        <v>4717</v>
      </c>
      <c r="H1731" t="s">
        <v>74</v>
      </c>
      <c r="I1731" t="s">
        <v>175</v>
      </c>
    </row>
    <row r="1732" spans="1:9" ht="15" customHeight="1" x14ac:dyDescent="0.35">
      <c r="A1732">
        <v>2022</v>
      </c>
      <c r="B1732" t="s">
        <v>153</v>
      </c>
      <c r="C1732">
        <v>6</v>
      </c>
      <c r="D1732" t="s">
        <v>94</v>
      </c>
      <c r="E1732">
        <v>8355</v>
      </c>
      <c r="F1732">
        <v>11840</v>
      </c>
      <c r="G1732">
        <v>5030</v>
      </c>
      <c r="H1732" t="s">
        <v>74</v>
      </c>
      <c r="I1732" t="s">
        <v>175</v>
      </c>
    </row>
    <row r="1733" spans="1:9" ht="15" customHeight="1" x14ac:dyDescent="0.35">
      <c r="A1733">
        <v>2022</v>
      </c>
      <c r="B1733" t="s">
        <v>154</v>
      </c>
      <c r="C1733">
        <v>7</v>
      </c>
      <c r="D1733" t="s">
        <v>94</v>
      </c>
      <c r="E1733">
        <v>7139</v>
      </c>
      <c r="F1733">
        <v>10590</v>
      </c>
      <c r="G1733">
        <v>4196</v>
      </c>
      <c r="H1733" t="s">
        <v>74</v>
      </c>
      <c r="I1733" t="s">
        <v>175</v>
      </c>
    </row>
    <row r="1734" spans="1:9" ht="15" customHeight="1" x14ac:dyDescent="0.35">
      <c r="A1734">
        <v>2022</v>
      </c>
      <c r="B1734" t="s">
        <v>155</v>
      </c>
      <c r="C1734">
        <v>8</v>
      </c>
      <c r="D1734" t="s">
        <v>94</v>
      </c>
      <c r="E1734">
        <v>7040</v>
      </c>
      <c r="F1734">
        <v>10960</v>
      </c>
      <c r="G1734">
        <v>3803</v>
      </c>
      <c r="H1734" t="s">
        <v>74</v>
      </c>
      <c r="I1734" t="s">
        <v>175</v>
      </c>
    </row>
    <row r="1735" spans="1:9" ht="15" customHeight="1" x14ac:dyDescent="0.35">
      <c r="A1735">
        <v>2022</v>
      </c>
      <c r="B1735" t="s">
        <v>156</v>
      </c>
      <c r="C1735">
        <v>9</v>
      </c>
      <c r="D1735" t="s">
        <v>94</v>
      </c>
      <c r="E1735">
        <v>7356</v>
      </c>
      <c r="F1735">
        <v>11545</v>
      </c>
      <c r="G1735">
        <v>3953</v>
      </c>
      <c r="H1735" t="s">
        <v>74</v>
      </c>
      <c r="I1735" t="s">
        <v>175</v>
      </c>
    </row>
    <row r="1736" spans="1:9" ht="15" customHeight="1" x14ac:dyDescent="0.35">
      <c r="A1736">
        <v>2022</v>
      </c>
      <c r="B1736" t="s">
        <v>157</v>
      </c>
      <c r="C1736">
        <v>10</v>
      </c>
      <c r="D1736" t="s">
        <v>94</v>
      </c>
      <c r="E1736">
        <v>6826</v>
      </c>
      <c r="F1736">
        <v>10250</v>
      </c>
      <c r="G1736">
        <v>4683</v>
      </c>
      <c r="H1736" t="s">
        <v>74</v>
      </c>
      <c r="I1736" t="s">
        <v>175</v>
      </c>
    </row>
    <row r="1737" spans="1:9" ht="15" customHeight="1" x14ac:dyDescent="0.35">
      <c r="A1737">
        <v>2022</v>
      </c>
      <c r="B1737" t="s">
        <v>158</v>
      </c>
      <c r="C1737">
        <v>11</v>
      </c>
      <c r="D1737" t="s">
        <v>94</v>
      </c>
      <c r="E1737">
        <v>8272</v>
      </c>
      <c r="F1737">
        <v>11879</v>
      </c>
      <c r="G1737">
        <v>5201</v>
      </c>
      <c r="H1737" t="s">
        <v>74</v>
      </c>
      <c r="I1737" t="s">
        <v>175</v>
      </c>
    </row>
    <row r="1738" spans="1:9" ht="15" customHeight="1" x14ac:dyDescent="0.35">
      <c r="A1738">
        <v>2022</v>
      </c>
      <c r="B1738" t="s">
        <v>159</v>
      </c>
      <c r="C1738">
        <v>12</v>
      </c>
      <c r="D1738" t="s">
        <v>94</v>
      </c>
      <c r="E1738">
        <v>8438</v>
      </c>
      <c r="F1738">
        <v>12776</v>
      </c>
      <c r="G1738">
        <v>4329</v>
      </c>
      <c r="H1738" t="s">
        <v>74</v>
      </c>
      <c r="I1738" t="s">
        <v>175</v>
      </c>
    </row>
    <row r="1739" spans="1:9" ht="15" customHeight="1" x14ac:dyDescent="0.35">
      <c r="A1739">
        <v>2023</v>
      </c>
      <c r="B1739" t="s">
        <v>147</v>
      </c>
      <c r="C1739">
        <v>1</v>
      </c>
      <c r="D1739" t="s">
        <v>94</v>
      </c>
      <c r="E1739">
        <v>9835</v>
      </c>
      <c r="F1739">
        <v>14594</v>
      </c>
      <c r="G1739">
        <v>6702</v>
      </c>
      <c r="H1739" t="s">
        <v>74</v>
      </c>
      <c r="I1739" t="s">
        <v>175</v>
      </c>
    </row>
    <row r="1740" spans="1:9" ht="15" customHeight="1" x14ac:dyDescent="0.35">
      <c r="A1740">
        <v>2023</v>
      </c>
      <c r="B1740" t="s">
        <v>149</v>
      </c>
      <c r="C1740">
        <v>2</v>
      </c>
      <c r="D1740" t="s">
        <v>94</v>
      </c>
      <c r="E1740">
        <v>11080</v>
      </c>
      <c r="F1740">
        <v>15269</v>
      </c>
      <c r="G1740">
        <v>7967</v>
      </c>
      <c r="H1740" t="s">
        <v>74</v>
      </c>
      <c r="I1740" t="s">
        <v>175</v>
      </c>
    </row>
    <row r="1741" spans="1:9" ht="15" customHeight="1" x14ac:dyDescent="0.35">
      <c r="A1741">
        <v>2023</v>
      </c>
      <c r="B1741" t="s">
        <v>150</v>
      </c>
      <c r="C1741">
        <v>3</v>
      </c>
      <c r="D1741" t="s">
        <v>94</v>
      </c>
      <c r="E1741">
        <v>11546</v>
      </c>
      <c r="F1741">
        <v>15682</v>
      </c>
      <c r="G1741">
        <v>8388</v>
      </c>
      <c r="H1741" t="s">
        <v>74</v>
      </c>
      <c r="I1741" t="s">
        <v>175</v>
      </c>
    </row>
    <row r="1742" spans="1:9" ht="15" customHeight="1" x14ac:dyDescent="0.35">
      <c r="A1742">
        <v>2023</v>
      </c>
      <c r="B1742" t="s">
        <v>151</v>
      </c>
      <c r="C1742">
        <v>4</v>
      </c>
      <c r="D1742" t="s">
        <v>94</v>
      </c>
      <c r="E1742">
        <v>11925</v>
      </c>
      <c r="F1742">
        <v>15966</v>
      </c>
      <c r="G1742">
        <v>8019</v>
      </c>
      <c r="H1742" t="s">
        <v>75</v>
      </c>
      <c r="I1742" t="s">
        <v>175</v>
      </c>
    </row>
    <row r="1743" spans="1:9" ht="15" customHeight="1" x14ac:dyDescent="0.35">
      <c r="A1743">
        <v>2023</v>
      </c>
      <c r="B1743" t="s">
        <v>152</v>
      </c>
      <c r="C1743">
        <v>5</v>
      </c>
      <c r="D1743" t="s">
        <v>94</v>
      </c>
      <c r="E1743">
        <v>10144</v>
      </c>
      <c r="F1743">
        <v>14898</v>
      </c>
      <c r="G1743">
        <v>6680</v>
      </c>
      <c r="H1743" t="s">
        <v>75</v>
      </c>
      <c r="I1743" t="s">
        <v>175</v>
      </c>
    </row>
    <row r="1744" spans="1:9" ht="15" customHeight="1" x14ac:dyDescent="0.35">
      <c r="A1744">
        <v>2023</v>
      </c>
      <c r="B1744" t="s">
        <v>153</v>
      </c>
      <c r="C1744">
        <v>6</v>
      </c>
      <c r="D1744" t="s">
        <v>94</v>
      </c>
      <c r="E1744">
        <v>10151</v>
      </c>
      <c r="F1744">
        <v>14057</v>
      </c>
      <c r="G1744">
        <v>6774</v>
      </c>
      <c r="H1744" t="s">
        <v>75</v>
      </c>
      <c r="I1744" t="s">
        <v>175</v>
      </c>
    </row>
    <row r="1745" spans="1:9" ht="15" customHeight="1" x14ac:dyDescent="0.35">
      <c r="A1745">
        <v>2023</v>
      </c>
      <c r="B1745" t="s">
        <v>154</v>
      </c>
      <c r="C1745">
        <v>7</v>
      </c>
      <c r="D1745" t="s">
        <v>94</v>
      </c>
      <c r="E1745">
        <v>8298</v>
      </c>
      <c r="F1745">
        <v>12168</v>
      </c>
      <c r="G1745">
        <v>4887</v>
      </c>
      <c r="H1745" t="s">
        <v>75</v>
      </c>
      <c r="I1745" t="s">
        <v>175</v>
      </c>
    </row>
    <row r="1746" spans="1:9" ht="15" customHeight="1" x14ac:dyDescent="0.35">
      <c r="A1746">
        <v>2023</v>
      </c>
      <c r="B1746" t="s">
        <v>155</v>
      </c>
      <c r="C1746">
        <v>8</v>
      </c>
      <c r="D1746" t="s">
        <v>94</v>
      </c>
      <c r="E1746">
        <v>10728</v>
      </c>
      <c r="F1746">
        <v>16731</v>
      </c>
      <c r="G1746">
        <v>6386</v>
      </c>
      <c r="H1746" t="s">
        <v>75</v>
      </c>
      <c r="I1746" t="s">
        <v>175</v>
      </c>
    </row>
    <row r="1747" spans="1:9" ht="15" customHeight="1" x14ac:dyDescent="0.35">
      <c r="A1747">
        <v>2023</v>
      </c>
      <c r="B1747" t="s">
        <v>156</v>
      </c>
      <c r="C1747">
        <v>9</v>
      </c>
      <c r="D1747" t="s">
        <v>94</v>
      </c>
      <c r="E1747">
        <v>9937</v>
      </c>
      <c r="F1747">
        <v>14452</v>
      </c>
      <c r="G1747">
        <v>6248</v>
      </c>
      <c r="H1747" t="s">
        <v>75</v>
      </c>
      <c r="I1747" t="s">
        <v>175</v>
      </c>
    </row>
    <row r="1748" spans="1:9" ht="15" customHeight="1" x14ac:dyDescent="0.35">
      <c r="A1748">
        <v>2023</v>
      </c>
      <c r="B1748" t="s">
        <v>157</v>
      </c>
      <c r="C1748">
        <v>10</v>
      </c>
      <c r="D1748" t="s">
        <v>94</v>
      </c>
      <c r="E1748">
        <v>10780</v>
      </c>
      <c r="F1748">
        <v>15765</v>
      </c>
      <c r="G1748">
        <v>6555</v>
      </c>
      <c r="H1748" t="s">
        <v>75</v>
      </c>
      <c r="I1748" t="s">
        <v>175</v>
      </c>
    </row>
    <row r="1749" spans="1:9" ht="15" customHeight="1" x14ac:dyDescent="0.35">
      <c r="A1749">
        <v>2023</v>
      </c>
      <c r="B1749" t="s">
        <v>158</v>
      </c>
      <c r="C1749">
        <v>11</v>
      </c>
      <c r="D1749" t="s">
        <v>94</v>
      </c>
      <c r="E1749">
        <v>9966</v>
      </c>
      <c r="F1749">
        <v>14922</v>
      </c>
      <c r="G1749">
        <v>6000</v>
      </c>
      <c r="H1749" t="s">
        <v>75</v>
      </c>
      <c r="I1749" t="s">
        <v>175</v>
      </c>
    </row>
    <row r="1750" spans="1:9" ht="15" customHeight="1" x14ac:dyDescent="0.35">
      <c r="A1750">
        <v>2023</v>
      </c>
      <c r="B1750" t="s">
        <v>159</v>
      </c>
      <c r="C1750">
        <v>12</v>
      </c>
      <c r="D1750" t="s">
        <v>94</v>
      </c>
      <c r="E1750">
        <v>10584</v>
      </c>
      <c r="F1750">
        <v>14921</v>
      </c>
      <c r="G1750">
        <v>7665</v>
      </c>
      <c r="H1750" t="s">
        <v>75</v>
      </c>
      <c r="I1750" t="s">
        <v>175</v>
      </c>
    </row>
    <row r="1751" spans="1:9" ht="15" customHeight="1" x14ac:dyDescent="0.35">
      <c r="A1751">
        <v>2024</v>
      </c>
      <c r="B1751" t="s">
        <v>147</v>
      </c>
      <c r="C1751">
        <v>1</v>
      </c>
      <c r="D1751" t="s">
        <v>94</v>
      </c>
      <c r="E1751">
        <v>11249</v>
      </c>
      <c r="F1751">
        <v>15940</v>
      </c>
      <c r="G1751">
        <v>7446</v>
      </c>
      <c r="H1751" t="s">
        <v>75</v>
      </c>
      <c r="I1751" t="s">
        <v>175</v>
      </c>
    </row>
    <row r="1752" spans="1:9" ht="15" customHeight="1" x14ac:dyDescent="0.35">
      <c r="A1752">
        <v>2024</v>
      </c>
      <c r="B1752" t="s">
        <v>149</v>
      </c>
      <c r="C1752">
        <v>2</v>
      </c>
      <c r="D1752" t="s">
        <v>94</v>
      </c>
      <c r="E1752">
        <v>12655</v>
      </c>
      <c r="F1752">
        <v>16544</v>
      </c>
      <c r="G1752">
        <v>9025</v>
      </c>
      <c r="H1752" t="s">
        <v>75</v>
      </c>
      <c r="I1752" t="s">
        <v>175</v>
      </c>
    </row>
    <row r="1753" spans="1:9" ht="15" customHeight="1" x14ac:dyDescent="0.35">
      <c r="A1753">
        <v>2024</v>
      </c>
      <c r="B1753" t="s">
        <v>150</v>
      </c>
      <c r="C1753">
        <v>3</v>
      </c>
      <c r="D1753" t="s">
        <v>94</v>
      </c>
      <c r="E1753">
        <v>13454</v>
      </c>
      <c r="F1753">
        <v>17142</v>
      </c>
      <c r="G1753">
        <v>10337</v>
      </c>
      <c r="H1753" t="s">
        <v>75</v>
      </c>
      <c r="I1753" t="s">
        <v>175</v>
      </c>
    </row>
    <row r="1754" spans="1:9" ht="15" customHeight="1" x14ac:dyDescent="0.35">
      <c r="A1754">
        <v>2024</v>
      </c>
      <c r="B1754" t="s">
        <v>151</v>
      </c>
      <c r="C1754">
        <v>4</v>
      </c>
      <c r="D1754" t="s">
        <v>94</v>
      </c>
      <c r="E1754">
        <v>13474</v>
      </c>
      <c r="F1754">
        <v>17142</v>
      </c>
      <c r="G1754">
        <v>10337</v>
      </c>
      <c r="H1754" t="s">
        <v>77</v>
      </c>
      <c r="I1754" t="s">
        <v>175</v>
      </c>
    </row>
    <row r="1755" spans="1:9" ht="15" customHeight="1" x14ac:dyDescent="0.35">
      <c r="A1755">
        <v>2024</v>
      </c>
      <c r="B1755" t="s">
        <v>152</v>
      </c>
      <c r="C1755">
        <v>5</v>
      </c>
      <c r="D1755" t="s">
        <v>94</v>
      </c>
      <c r="E1755">
        <v>10555</v>
      </c>
      <c r="F1755">
        <v>16852</v>
      </c>
      <c r="G1755">
        <v>5879</v>
      </c>
      <c r="H1755" t="s">
        <v>77</v>
      </c>
      <c r="I1755" t="s">
        <v>175</v>
      </c>
    </row>
    <row r="1756" spans="1:9" ht="15" customHeight="1" x14ac:dyDescent="0.35">
      <c r="A1756">
        <v>2024</v>
      </c>
      <c r="B1756" t="s">
        <v>153</v>
      </c>
      <c r="C1756">
        <v>6</v>
      </c>
      <c r="D1756" t="s">
        <v>94</v>
      </c>
      <c r="E1756">
        <v>8890</v>
      </c>
      <c r="F1756">
        <v>14381</v>
      </c>
      <c r="G1756">
        <v>5504</v>
      </c>
      <c r="H1756" t="s">
        <v>77</v>
      </c>
      <c r="I1756" t="s">
        <v>175</v>
      </c>
    </row>
    <row r="1757" spans="1:9" ht="15" customHeight="1" x14ac:dyDescent="0.35">
      <c r="A1757">
        <v>2024</v>
      </c>
      <c r="B1757" t="s">
        <v>154</v>
      </c>
      <c r="C1757">
        <v>7</v>
      </c>
      <c r="D1757" t="s">
        <v>94</v>
      </c>
      <c r="E1757">
        <v>8615</v>
      </c>
      <c r="F1757">
        <v>14026</v>
      </c>
      <c r="G1757">
        <v>5359</v>
      </c>
      <c r="H1757" t="s">
        <v>77</v>
      </c>
      <c r="I1757" t="s">
        <v>175</v>
      </c>
    </row>
    <row r="1758" spans="1:9" ht="15" customHeight="1" x14ac:dyDescent="0.35">
      <c r="A1758">
        <v>2024</v>
      </c>
      <c r="B1758" t="s">
        <v>155</v>
      </c>
      <c r="C1758">
        <v>8</v>
      </c>
      <c r="D1758" t="s">
        <v>94</v>
      </c>
      <c r="E1758">
        <v>8806</v>
      </c>
      <c r="F1758">
        <v>12286</v>
      </c>
      <c r="G1758">
        <v>5801</v>
      </c>
      <c r="H1758" t="s">
        <v>77</v>
      </c>
      <c r="I1758" t="s">
        <v>175</v>
      </c>
    </row>
    <row r="1759" spans="1:9" ht="15" customHeight="1" x14ac:dyDescent="0.35">
      <c r="A1759">
        <v>2024</v>
      </c>
      <c r="B1759" t="s">
        <v>156</v>
      </c>
      <c r="C1759">
        <v>9</v>
      </c>
      <c r="D1759" t="s">
        <v>94</v>
      </c>
      <c r="E1759">
        <v>9796</v>
      </c>
      <c r="F1759">
        <v>15839</v>
      </c>
      <c r="G1759">
        <v>5296</v>
      </c>
      <c r="H1759" t="s">
        <v>77</v>
      </c>
      <c r="I1759" t="s">
        <v>175</v>
      </c>
    </row>
    <row r="1760" spans="1:9" ht="15" customHeight="1" x14ac:dyDescent="0.35">
      <c r="A1760">
        <v>2024</v>
      </c>
      <c r="B1760" t="s">
        <v>157</v>
      </c>
      <c r="C1760">
        <v>10</v>
      </c>
      <c r="D1760" t="s">
        <v>94</v>
      </c>
      <c r="E1760">
        <v>8534</v>
      </c>
      <c r="F1760">
        <v>12784</v>
      </c>
      <c r="G1760">
        <v>5287</v>
      </c>
      <c r="H1760" t="s">
        <v>77</v>
      </c>
      <c r="I1760" t="s">
        <v>175</v>
      </c>
    </row>
    <row r="1761" spans="1:9" ht="15" customHeight="1" x14ac:dyDescent="0.35">
      <c r="A1761">
        <v>2024</v>
      </c>
      <c r="B1761" t="s">
        <v>158</v>
      </c>
      <c r="C1761">
        <v>11</v>
      </c>
      <c r="D1761" t="s">
        <v>94</v>
      </c>
      <c r="E1761">
        <v>9728</v>
      </c>
      <c r="F1761">
        <v>14694</v>
      </c>
      <c r="G1761">
        <v>6002</v>
      </c>
      <c r="H1761" t="s">
        <v>77</v>
      </c>
      <c r="I1761" t="s">
        <v>175</v>
      </c>
    </row>
    <row r="1762" spans="1:9" ht="15" customHeight="1" x14ac:dyDescent="0.35">
      <c r="A1762">
        <v>2024</v>
      </c>
      <c r="B1762" t="s">
        <v>159</v>
      </c>
      <c r="C1762">
        <v>12</v>
      </c>
      <c r="D1762" t="s">
        <v>94</v>
      </c>
      <c r="E1762">
        <v>9869</v>
      </c>
      <c r="F1762">
        <v>15240</v>
      </c>
      <c r="G1762">
        <v>5107</v>
      </c>
      <c r="H1762" t="s">
        <v>77</v>
      </c>
      <c r="I1762" t="s">
        <v>175</v>
      </c>
    </row>
    <row r="1763" spans="1:9" ht="15" customHeight="1" x14ac:dyDescent="0.35">
      <c r="A1763">
        <v>2025</v>
      </c>
      <c r="B1763" t="s">
        <v>147</v>
      </c>
      <c r="C1763">
        <v>1</v>
      </c>
      <c r="D1763" t="s">
        <v>94</v>
      </c>
      <c r="E1763">
        <v>11705</v>
      </c>
      <c r="F1763">
        <v>17672</v>
      </c>
      <c r="G1763">
        <v>7346</v>
      </c>
      <c r="H1763" t="s">
        <v>77</v>
      </c>
      <c r="I1763" t="s">
        <v>175</v>
      </c>
    </row>
    <row r="1764" spans="1:9" ht="15" customHeight="1" x14ac:dyDescent="0.35">
      <c r="A1764">
        <v>2025</v>
      </c>
      <c r="B1764" t="s">
        <v>149</v>
      </c>
      <c r="C1764">
        <v>2</v>
      </c>
      <c r="D1764" t="s">
        <v>94</v>
      </c>
      <c r="E1764">
        <v>13204</v>
      </c>
      <c r="F1764">
        <v>18317</v>
      </c>
      <c r="G1764">
        <v>8934</v>
      </c>
      <c r="H1764" t="s">
        <v>77</v>
      </c>
      <c r="I1764" t="s">
        <v>175</v>
      </c>
    </row>
    <row r="1765" spans="1:9" ht="15" customHeight="1" x14ac:dyDescent="0.35">
      <c r="A1765">
        <v>2025</v>
      </c>
      <c r="B1765" t="s">
        <v>150</v>
      </c>
      <c r="C1765">
        <v>3</v>
      </c>
      <c r="D1765" t="s">
        <v>94</v>
      </c>
      <c r="E1765">
        <v>13975</v>
      </c>
      <c r="F1765">
        <v>18302</v>
      </c>
      <c r="G1765">
        <v>9773</v>
      </c>
      <c r="H1765" t="s">
        <v>77</v>
      </c>
      <c r="I1765" t="s">
        <v>175</v>
      </c>
    </row>
    <row r="1766" spans="1:9" ht="15" customHeight="1" x14ac:dyDescent="0.35">
      <c r="A1766">
        <v>2025</v>
      </c>
      <c r="B1766" t="s">
        <v>151</v>
      </c>
      <c r="C1766">
        <v>4</v>
      </c>
      <c r="D1766" t="s">
        <v>94</v>
      </c>
      <c r="E1766">
        <v>12169</v>
      </c>
      <c r="F1766">
        <v>17296</v>
      </c>
      <c r="G1766">
        <v>7738</v>
      </c>
      <c r="H1766" t="s">
        <v>78</v>
      </c>
      <c r="I1766" t="s">
        <v>175</v>
      </c>
    </row>
    <row r="1767" spans="1:9" ht="15" customHeight="1" x14ac:dyDescent="0.35">
      <c r="A1767">
        <v>2025</v>
      </c>
      <c r="B1767" t="s">
        <v>152</v>
      </c>
      <c r="C1767">
        <v>5</v>
      </c>
      <c r="D1767" t="s">
        <v>94</v>
      </c>
      <c r="E1767">
        <v>9843</v>
      </c>
      <c r="F1767">
        <v>15954</v>
      </c>
      <c r="G1767">
        <v>4914</v>
      </c>
      <c r="H1767" t="s">
        <v>78</v>
      </c>
      <c r="I1767" t="s">
        <v>175</v>
      </c>
    </row>
    <row r="1768" spans="1:9" ht="15" customHeight="1" x14ac:dyDescent="0.35">
      <c r="A1768">
        <v>2025</v>
      </c>
      <c r="B1768" t="s">
        <v>153</v>
      </c>
      <c r="C1768">
        <v>6</v>
      </c>
      <c r="D1768" t="s">
        <v>94</v>
      </c>
      <c r="E1768">
        <v>9521</v>
      </c>
      <c r="F1768">
        <v>13809</v>
      </c>
      <c r="G1768">
        <v>5467</v>
      </c>
      <c r="H1768" t="s">
        <v>78</v>
      </c>
      <c r="I1768" t="s">
        <v>175</v>
      </c>
    </row>
    <row r="1769" spans="1:9" ht="15" customHeight="1" x14ac:dyDescent="0.35">
      <c r="A1769">
        <v>2025</v>
      </c>
      <c r="B1769" t="s">
        <v>154</v>
      </c>
      <c r="C1769">
        <v>7</v>
      </c>
      <c r="D1769" t="s">
        <v>94</v>
      </c>
      <c r="E1769">
        <v>9947</v>
      </c>
      <c r="F1769">
        <v>14988</v>
      </c>
      <c r="G1769">
        <v>5561</v>
      </c>
      <c r="H1769" t="s">
        <v>78</v>
      </c>
      <c r="I1769" t="s">
        <v>175</v>
      </c>
    </row>
    <row r="1770" spans="1:9" ht="15" customHeight="1" x14ac:dyDescent="0.35">
      <c r="A1770">
        <v>2025</v>
      </c>
      <c r="B1770" t="s">
        <v>155</v>
      </c>
      <c r="C1770">
        <v>8</v>
      </c>
      <c r="D1770" t="s">
        <v>94</v>
      </c>
      <c r="E1770">
        <v>8831</v>
      </c>
      <c r="F1770">
        <v>14634</v>
      </c>
      <c r="G1770">
        <v>4749</v>
      </c>
      <c r="H1770" t="s">
        <v>78</v>
      </c>
      <c r="I1770" t="s">
        <v>175</v>
      </c>
    </row>
    <row r="1771" spans="1:9" ht="15" customHeight="1" x14ac:dyDescent="0.35">
      <c r="A1771">
        <v>2025</v>
      </c>
      <c r="B1771" t="s">
        <v>156</v>
      </c>
      <c r="C1771">
        <v>9</v>
      </c>
      <c r="D1771" t="s">
        <v>94</v>
      </c>
      <c r="E1771">
        <v>9610</v>
      </c>
      <c r="F1771">
        <v>15334</v>
      </c>
      <c r="G1771">
        <v>5855</v>
      </c>
      <c r="H1771" t="s">
        <v>78</v>
      </c>
      <c r="I1771" t="s">
        <v>175</v>
      </c>
    </row>
    <row r="1772" spans="1:9" ht="15" customHeight="1" x14ac:dyDescent="0.35">
      <c r="A1772">
        <v>2025</v>
      </c>
      <c r="B1772" t="s">
        <v>157</v>
      </c>
      <c r="C1772">
        <v>10</v>
      </c>
      <c r="D1772" t="s">
        <v>94</v>
      </c>
      <c r="E1772">
        <v>9097</v>
      </c>
      <c r="F1772">
        <v>14395</v>
      </c>
      <c r="G1772">
        <v>5384</v>
      </c>
      <c r="H1772" t="s">
        <v>78</v>
      </c>
      <c r="I1772" t="s">
        <v>175</v>
      </c>
    </row>
    <row r="1773" spans="1:9" ht="15" customHeight="1" x14ac:dyDescent="0.35">
      <c r="A1773">
        <v>2025</v>
      </c>
      <c r="B1773" t="s">
        <v>158</v>
      </c>
      <c r="C1773">
        <v>11</v>
      </c>
      <c r="D1773" t="s">
        <v>94</v>
      </c>
      <c r="E1773">
        <v>10971</v>
      </c>
      <c r="F1773">
        <v>15912</v>
      </c>
      <c r="G1773">
        <v>6682</v>
      </c>
      <c r="H1773" t="s">
        <v>78</v>
      </c>
      <c r="I1773" t="s">
        <v>175</v>
      </c>
    </row>
    <row r="1774" spans="1:9" ht="15" customHeight="1" x14ac:dyDescent="0.35">
      <c r="A1774">
        <v>2025</v>
      </c>
      <c r="B1774" t="s">
        <v>159</v>
      </c>
      <c r="C1774">
        <v>12</v>
      </c>
      <c r="D1774" t="s">
        <v>94</v>
      </c>
      <c r="E1774">
        <v>11746</v>
      </c>
      <c r="F1774">
        <v>16951</v>
      </c>
      <c r="G1774">
        <v>7503</v>
      </c>
      <c r="H1774" t="s">
        <v>78</v>
      </c>
      <c r="I1774" t="s">
        <v>175</v>
      </c>
    </row>
    <row r="1775" spans="1:9" ht="15" customHeight="1" x14ac:dyDescent="0.35">
      <c r="A1775">
        <v>2026</v>
      </c>
      <c r="B1775" t="s">
        <v>147</v>
      </c>
      <c r="C1775">
        <v>1</v>
      </c>
      <c r="D1775" t="s">
        <v>94</v>
      </c>
      <c r="E1775">
        <v>12298</v>
      </c>
      <c r="F1775">
        <v>17594</v>
      </c>
      <c r="G1775">
        <v>7606</v>
      </c>
      <c r="H1775" t="s">
        <v>78</v>
      </c>
      <c r="I1775" t="s">
        <v>175</v>
      </c>
    </row>
    <row r="1776" spans="1:9" ht="15" customHeight="1" x14ac:dyDescent="0.35">
      <c r="A1776">
        <v>2026</v>
      </c>
      <c r="B1776" t="s">
        <v>149</v>
      </c>
      <c r="C1776">
        <v>2</v>
      </c>
      <c r="D1776" t="s">
        <v>94</v>
      </c>
      <c r="E1776">
        <v>13382</v>
      </c>
      <c r="F1776">
        <v>17863</v>
      </c>
      <c r="G1776">
        <v>8517</v>
      </c>
      <c r="H1776" t="s">
        <v>78</v>
      </c>
      <c r="I1776" t="s">
        <v>175</v>
      </c>
    </row>
    <row r="1777" spans="1:9" ht="15" customHeight="1" x14ac:dyDescent="0.35">
      <c r="A1777">
        <v>2026</v>
      </c>
      <c r="B1777" t="s">
        <v>150</v>
      </c>
      <c r="C1777">
        <v>3</v>
      </c>
      <c r="D1777" t="s">
        <v>94</v>
      </c>
      <c r="E1777">
        <v>12298</v>
      </c>
      <c r="F1777">
        <v>17594</v>
      </c>
      <c r="G1777">
        <v>7606</v>
      </c>
      <c r="H1777" t="s">
        <v>78</v>
      </c>
      <c r="I1777" t="s">
        <v>175</v>
      </c>
    </row>
    <row r="1778" spans="1:9" ht="15" customHeight="1" x14ac:dyDescent="0.35">
      <c r="A1778">
        <v>2017</v>
      </c>
      <c r="B1778" t="s">
        <v>147</v>
      </c>
      <c r="C1778">
        <v>1</v>
      </c>
      <c r="D1778" t="s">
        <v>95</v>
      </c>
      <c r="E1778">
        <v>2592</v>
      </c>
      <c r="F1778">
        <v>3555</v>
      </c>
      <c r="G1778">
        <v>1984</v>
      </c>
      <c r="H1778" t="s">
        <v>122</v>
      </c>
      <c r="I1778" t="s">
        <v>176</v>
      </c>
    </row>
    <row r="1779" spans="1:9" ht="15" customHeight="1" x14ac:dyDescent="0.35">
      <c r="A1779">
        <v>2017</v>
      </c>
      <c r="B1779" t="s">
        <v>149</v>
      </c>
      <c r="C1779">
        <v>2</v>
      </c>
      <c r="D1779" t="s">
        <v>95</v>
      </c>
      <c r="E1779">
        <v>2759</v>
      </c>
      <c r="F1779">
        <v>3667</v>
      </c>
      <c r="G1779">
        <v>2155</v>
      </c>
      <c r="H1779" t="s">
        <v>122</v>
      </c>
      <c r="I1779" t="s">
        <v>176</v>
      </c>
    </row>
    <row r="1780" spans="1:9" ht="15" customHeight="1" x14ac:dyDescent="0.35">
      <c r="A1780">
        <v>2017</v>
      </c>
      <c r="B1780" t="s">
        <v>150</v>
      </c>
      <c r="C1780">
        <v>3</v>
      </c>
      <c r="D1780" t="s">
        <v>95</v>
      </c>
      <c r="E1780">
        <v>2893</v>
      </c>
      <c r="F1780">
        <v>3801</v>
      </c>
      <c r="G1780">
        <v>2297</v>
      </c>
      <c r="H1780" t="s">
        <v>122</v>
      </c>
      <c r="I1780" t="s">
        <v>176</v>
      </c>
    </row>
    <row r="1781" spans="1:9" ht="15" customHeight="1" x14ac:dyDescent="0.35">
      <c r="A1781">
        <v>2017</v>
      </c>
      <c r="B1781" t="s">
        <v>151</v>
      </c>
      <c r="C1781">
        <v>4</v>
      </c>
      <c r="D1781" t="s">
        <v>95</v>
      </c>
      <c r="E1781">
        <v>3055</v>
      </c>
      <c r="F1781">
        <v>3870</v>
      </c>
      <c r="G1781">
        <v>2293</v>
      </c>
      <c r="H1781" t="s">
        <v>123</v>
      </c>
      <c r="I1781" t="s">
        <v>176</v>
      </c>
    </row>
    <row r="1782" spans="1:9" ht="15" customHeight="1" x14ac:dyDescent="0.35">
      <c r="A1782">
        <v>2017</v>
      </c>
      <c r="B1782" t="s">
        <v>152</v>
      </c>
      <c r="C1782">
        <v>5</v>
      </c>
      <c r="D1782" t="s">
        <v>95</v>
      </c>
      <c r="E1782">
        <v>2881</v>
      </c>
      <c r="F1782">
        <v>3820</v>
      </c>
      <c r="G1782">
        <v>2071</v>
      </c>
      <c r="H1782" t="s">
        <v>123</v>
      </c>
      <c r="I1782" t="s">
        <v>176</v>
      </c>
    </row>
    <row r="1783" spans="1:9" ht="15" customHeight="1" x14ac:dyDescent="0.35">
      <c r="A1783">
        <v>2017</v>
      </c>
      <c r="B1783" t="s">
        <v>153</v>
      </c>
      <c r="C1783">
        <v>6</v>
      </c>
      <c r="D1783" t="s">
        <v>95</v>
      </c>
      <c r="E1783">
        <v>2498</v>
      </c>
      <c r="F1783">
        <v>3571</v>
      </c>
      <c r="G1783">
        <v>1816</v>
      </c>
      <c r="H1783" t="s">
        <v>123</v>
      </c>
      <c r="I1783" t="s">
        <v>176</v>
      </c>
    </row>
    <row r="1784" spans="1:9" ht="15" customHeight="1" x14ac:dyDescent="0.35">
      <c r="A1784">
        <v>2017</v>
      </c>
      <c r="B1784" t="s">
        <v>154</v>
      </c>
      <c r="C1784">
        <v>7</v>
      </c>
      <c r="D1784" t="s">
        <v>95</v>
      </c>
      <c r="E1784">
        <v>2521</v>
      </c>
      <c r="F1784">
        <v>3448</v>
      </c>
      <c r="G1784">
        <v>1963</v>
      </c>
      <c r="H1784" t="s">
        <v>123</v>
      </c>
      <c r="I1784" t="s">
        <v>176</v>
      </c>
    </row>
    <row r="1785" spans="1:9" ht="15" customHeight="1" x14ac:dyDescent="0.35">
      <c r="A1785">
        <v>2017</v>
      </c>
      <c r="B1785" t="s">
        <v>155</v>
      </c>
      <c r="C1785">
        <v>8</v>
      </c>
      <c r="D1785" t="s">
        <v>95</v>
      </c>
      <c r="E1785">
        <v>2603</v>
      </c>
      <c r="F1785">
        <v>3508</v>
      </c>
      <c r="G1785">
        <v>1932</v>
      </c>
      <c r="H1785" t="s">
        <v>123</v>
      </c>
      <c r="I1785" t="s">
        <v>176</v>
      </c>
    </row>
    <row r="1786" spans="1:9" ht="15" customHeight="1" x14ac:dyDescent="0.35">
      <c r="A1786">
        <v>2017</v>
      </c>
      <c r="B1786" t="s">
        <v>156</v>
      </c>
      <c r="C1786">
        <v>9</v>
      </c>
      <c r="D1786" t="s">
        <v>95</v>
      </c>
      <c r="E1786">
        <v>2566</v>
      </c>
      <c r="F1786">
        <v>3508</v>
      </c>
      <c r="G1786">
        <v>1660</v>
      </c>
      <c r="H1786" t="s">
        <v>123</v>
      </c>
      <c r="I1786" t="s">
        <v>176</v>
      </c>
    </row>
    <row r="1787" spans="1:9" ht="15" customHeight="1" x14ac:dyDescent="0.35">
      <c r="A1787">
        <v>2017</v>
      </c>
      <c r="B1787" t="s">
        <v>157</v>
      </c>
      <c r="C1787">
        <v>10</v>
      </c>
      <c r="D1787" t="s">
        <v>95</v>
      </c>
      <c r="E1787">
        <v>2631</v>
      </c>
      <c r="F1787">
        <v>3533</v>
      </c>
      <c r="G1787">
        <v>2006</v>
      </c>
      <c r="H1787" t="s">
        <v>123</v>
      </c>
      <c r="I1787" t="s">
        <v>176</v>
      </c>
    </row>
    <row r="1788" spans="1:9" ht="15" customHeight="1" x14ac:dyDescent="0.35">
      <c r="A1788">
        <v>2017</v>
      </c>
      <c r="B1788" t="s">
        <v>158</v>
      </c>
      <c r="C1788">
        <v>11</v>
      </c>
      <c r="D1788" t="s">
        <v>95</v>
      </c>
      <c r="E1788">
        <v>2700</v>
      </c>
      <c r="F1788">
        <v>3586</v>
      </c>
      <c r="G1788">
        <v>1952</v>
      </c>
      <c r="H1788" t="s">
        <v>123</v>
      </c>
      <c r="I1788" t="s">
        <v>176</v>
      </c>
    </row>
    <row r="1789" spans="1:9" ht="15" customHeight="1" x14ac:dyDescent="0.35">
      <c r="A1789">
        <v>2017</v>
      </c>
      <c r="B1789" t="s">
        <v>159</v>
      </c>
      <c r="C1789">
        <v>12</v>
      </c>
      <c r="D1789" t="s">
        <v>95</v>
      </c>
      <c r="E1789">
        <v>2663</v>
      </c>
      <c r="F1789">
        <v>3573</v>
      </c>
      <c r="G1789">
        <v>1984</v>
      </c>
      <c r="H1789" t="s">
        <v>123</v>
      </c>
      <c r="I1789" t="s">
        <v>176</v>
      </c>
    </row>
    <row r="1790" spans="1:9" ht="15" customHeight="1" x14ac:dyDescent="0.35">
      <c r="A1790">
        <v>2018</v>
      </c>
      <c r="B1790" t="s">
        <v>147</v>
      </c>
      <c r="C1790">
        <v>1</v>
      </c>
      <c r="D1790" t="s">
        <v>95</v>
      </c>
      <c r="E1790">
        <v>2716</v>
      </c>
      <c r="F1790">
        <v>3548</v>
      </c>
      <c r="G1790">
        <v>2098</v>
      </c>
      <c r="H1790" t="s">
        <v>123</v>
      </c>
      <c r="I1790" t="s">
        <v>176</v>
      </c>
    </row>
    <row r="1791" spans="1:9" ht="15" customHeight="1" x14ac:dyDescent="0.35">
      <c r="A1791">
        <v>2018</v>
      </c>
      <c r="B1791" t="s">
        <v>149</v>
      </c>
      <c r="C1791">
        <v>2</v>
      </c>
      <c r="D1791" t="s">
        <v>95</v>
      </c>
      <c r="E1791">
        <v>2861</v>
      </c>
      <c r="F1791">
        <v>3686</v>
      </c>
      <c r="G1791">
        <v>2185</v>
      </c>
      <c r="H1791" t="s">
        <v>123</v>
      </c>
      <c r="I1791" t="s">
        <v>176</v>
      </c>
    </row>
    <row r="1792" spans="1:9" ht="15" customHeight="1" x14ac:dyDescent="0.35">
      <c r="A1792">
        <v>2018</v>
      </c>
      <c r="B1792" t="s">
        <v>150</v>
      </c>
      <c r="C1792">
        <v>3</v>
      </c>
      <c r="D1792" t="s">
        <v>95</v>
      </c>
      <c r="E1792">
        <v>3061</v>
      </c>
      <c r="F1792">
        <v>3881</v>
      </c>
      <c r="G1792">
        <v>2256</v>
      </c>
      <c r="H1792" t="s">
        <v>123</v>
      </c>
      <c r="I1792" t="s">
        <v>176</v>
      </c>
    </row>
    <row r="1793" spans="1:9" ht="15" customHeight="1" x14ac:dyDescent="0.35">
      <c r="A1793">
        <v>2018</v>
      </c>
      <c r="B1793" t="s">
        <v>151</v>
      </c>
      <c r="C1793">
        <v>4</v>
      </c>
      <c r="D1793" t="s">
        <v>95</v>
      </c>
      <c r="E1793">
        <v>3088</v>
      </c>
      <c r="F1793">
        <v>3913</v>
      </c>
      <c r="G1793">
        <v>2111</v>
      </c>
      <c r="H1793" t="s">
        <v>124</v>
      </c>
      <c r="I1793" t="s">
        <v>176</v>
      </c>
    </row>
    <row r="1794" spans="1:9" ht="15" customHeight="1" x14ac:dyDescent="0.35">
      <c r="A1794">
        <v>2018</v>
      </c>
      <c r="B1794" t="s">
        <v>152</v>
      </c>
      <c r="C1794">
        <v>5</v>
      </c>
      <c r="D1794" t="s">
        <v>95</v>
      </c>
      <c r="E1794">
        <v>2862</v>
      </c>
      <c r="F1794">
        <v>3948</v>
      </c>
      <c r="G1794">
        <v>2152</v>
      </c>
      <c r="H1794" t="s">
        <v>124</v>
      </c>
      <c r="I1794" t="s">
        <v>176</v>
      </c>
    </row>
    <row r="1795" spans="1:9" ht="15" customHeight="1" x14ac:dyDescent="0.35">
      <c r="A1795">
        <v>2018</v>
      </c>
      <c r="B1795" t="s">
        <v>153</v>
      </c>
      <c r="C1795">
        <v>6</v>
      </c>
      <c r="D1795" t="s">
        <v>95</v>
      </c>
      <c r="E1795">
        <v>2568</v>
      </c>
      <c r="F1795">
        <v>3550</v>
      </c>
      <c r="G1795">
        <v>1688</v>
      </c>
      <c r="H1795" t="s">
        <v>124</v>
      </c>
      <c r="I1795" t="s">
        <v>176</v>
      </c>
    </row>
    <row r="1796" spans="1:9" ht="15" customHeight="1" x14ac:dyDescent="0.35">
      <c r="A1796">
        <v>2018</v>
      </c>
      <c r="B1796" t="s">
        <v>154</v>
      </c>
      <c r="C1796">
        <v>7</v>
      </c>
      <c r="D1796" t="s">
        <v>95</v>
      </c>
      <c r="E1796">
        <v>2464</v>
      </c>
      <c r="F1796">
        <v>3470</v>
      </c>
      <c r="G1796">
        <v>1462</v>
      </c>
      <c r="H1796" t="s">
        <v>124</v>
      </c>
      <c r="I1796" t="s">
        <v>176</v>
      </c>
    </row>
    <row r="1797" spans="1:9" ht="15" customHeight="1" x14ac:dyDescent="0.35">
      <c r="A1797">
        <v>2018</v>
      </c>
      <c r="B1797" t="s">
        <v>155</v>
      </c>
      <c r="C1797">
        <v>8</v>
      </c>
      <c r="D1797" t="s">
        <v>95</v>
      </c>
      <c r="E1797">
        <v>2358</v>
      </c>
      <c r="F1797">
        <v>3318</v>
      </c>
      <c r="G1797">
        <v>1255</v>
      </c>
      <c r="H1797" t="s">
        <v>124</v>
      </c>
      <c r="I1797" t="s">
        <v>176</v>
      </c>
    </row>
    <row r="1798" spans="1:9" ht="15" customHeight="1" x14ac:dyDescent="0.35">
      <c r="A1798">
        <v>2018</v>
      </c>
      <c r="B1798" t="s">
        <v>156</v>
      </c>
      <c r="C1798">
        <v>9</v>
      </c>
      <c r="D1798" t="s">
        <v>95</v>
      </c>
      <c r="E1798">
        <v>2792</v>
      </c>
      <c r="F1798">
        <v>3622</v>
      </c>
      <c r="G1798">
        <v>2226</v>
      </c>
      <c r="H1798" t="s">
        <v>124</v>
      </c>
      <c r="I1798" t="s">
        <v>176</v>
      </c>
    </row>
    <row r="1799" spans="1:9" ht="15" customHeight="1" x14ac:dyDescent="0.35">
      <c r="A1799">
        <v>2018</v>
      </c>
      <c r="B1799" t="s">
        <v>157</v>
      </c>
      <c r="C1799">
        <v>10</v>
      </c>
      <c r="D1799" t="s">
        <v>95</v>
      </c>
      <c r="E1799">
        <v>2771</v>
      </c>
      <c r="F1799">
        <v>3615</v>
      </c>
      <c r="G1799">
        <v>2119</v>
      </c>
      <c r="H1799" t="s">
        <v>124</v>
      </c>
      <c r="I1799" t="s">
        <v>176</v>
      </c>
    </row>
    <row r="1800" spans="1:9" ht="15" customHeight="1" x14ac:dyDescent="0.35">
      <c r="A1800">
        <v>2018</v>
      </c>
      <c r="B1800" t="s">
        <v>158</v>
      </c>
      <c r="C1800">
        <v>11</v>
      </c>
      <c r="D1800" t="s">
        <v>95</v>
      </c>
      <c r="E1800">
        <v>2865</v>
      </c>
      <c r="F1800">
        <v>3744</v>
      </c>
      <c r="G1800">
        <v>2152</v>
      </c>
      <c r="H1800" t="s">
        <v>124</v>
      </c>
      <c r="I1800" t="s">
        <v>176</v>
      </c>
    </row>
    <row r="1801" spans="1:9" ht="15" customHeight="1" x14ac:dyDescent="0.35">
      <c r="A1801">
        <v>2018</v>
      </c>
      <c r="B1801" t="s">
        <v>159</v>
      </c>
      <c r="C1801">
        <v>12</v>
      </c>
      <c r="D1801" t="s">
        <v>95</v>
      </c>
      <c r="E1801">
        <v>2890</v>
      </c>
      <c r="F1801">
        <v>3731</v>
      </c>
      <c r="G1801">
        <v>2232</v>
      </c>
      <c r="H1801" t="s">
        <v>124</v>
      </c>
      <c r="I1801" t="s">
        <v>176</v>
      </c>
    </row>
    <row r="1802" spans="1:9" ht="15" customHeight="1" x14ac:dyDescent="0.35">
      <c r="A1802">
        <v>2019</v>
      </c>
      <c r="B1802" t="s">
        <v>147</v>
      </c>
      <c r="C1802">
        <v>1</v>
      </c>
      <c r="D1802" t="s">
        <v>95</v>
      </c>
      <c r="E1802">
        <v>2685</v>
      </c>
      <c r="F1802">
        <v>3665</v>
      </c>
      <c r="G1802">
        <v>1926</v>
      </c>
      <c r="H1802" t="s">
        <v>124</v>
      </c>
      <c r="I1802" t="s">
        <v>176</v>
      </c>
    </row>
    <row r="1803" spans="1:9" ht="15" customHeight="1" x14ac:dyDescent="0.35">
      <c r="A1803">
        <v>2019</v>
      </c>
      <c r="B1803" t="s">
        <v>149</v>
      </c>
      <c r="C1803">
        <v>2</v>
      </c>
      <c r="D1803" t="s">
        <v>95</v>
      </c>
      <c r="E1803">
        <v>3046</v>
      </c>
      <c r="F1803">
        <v>3864</v>
      </c>
      <c r="G1803">
        <v>2368</v>
      </c>
      <c r="H1803" t="s">
        <v>124</v>
      </c>
      <c r="I1803" t="s">
        <v>176</v>
      </c>
    </row>
    <row r="1804" spans="1:9" ht="15" customHeight="1" x14ac:dyDescent="0.35">
      <c r="A1804">
        <v>2019</v>
      </c>
      <c r="B1804" t="s">
        <v>150</v>
      </c>
      <c r="C1804">
        <v>3</v>
      </c>
      <c r="D1804" t="s">
        <v>95</v>
      </c>
      <c r="E1804">
        <v>3323</v>
      </c>
      <c r="F1804">
        <v>4227</v>
      </c>
      <c r="G1804">
        <v>2605</v>
      </c>
      <c r="H1804" t="s">
        <v>124</v>
      </c>
      <c r="I1804" t="s">
        <v>176</v>
      </c>
    </row>
    <row r="1805" spans="1:9" ht="15" customHeight="1" x14ac:dyDescent="0.35">
      <c r="A1805">
        <v>2019</v>
      </c>
      <c r="B1805" t="s">
        <v>151</v>
      </c>
      <c r="C1805">
        <v>4</v>
      </c>
      <c r="D1805" t="s">
        <v>95</v>
      </c>
      <c r="E1805">
        <v>3346</v>
      </c>
      <c r="F1805">
        <v>4305</v>
      </c>
      <c r="G1805">
        <v>2335</v>
      </c>
      <c r="H1805" t="s">
        <v>71</v>
      </c>
      <c r="I1805" t="s">
        <v>176</v>
      </c>
    </row>
    <row r="1806" spans="1:9" ht="15" customHeight="1" x14ac:dyDescent="0.35">
      <c r="A1806">
        <v>2019</v>
      </c>
      <c r="B1806" t="s">
        <v>152</v>
      </c>
      <c r="C1806">
        <v>5</v>
      </c>
      <c r="D1806" t="s">
        <v>95</v>
      </c>
      <c r="E1806">
        <v>3420</v>
      </c>
      <c r="F1806">
        <v>4272</v>
      </c>
      <c r="G1806">
        <v>2571</v>
      </c>
      <c r="H1806" t="s">
        <v>71</v>
      </c>
      <c r="I1806" t="s">
        <v>176</v>
      </c>
    </row>
    <row r="1807" spans="1:9" ht="15" customHeight="1" x14ac:dyDescent="0.35">
      <c r="A1807">
        <v>2019</v>
      </c>
      <c r="B1807" t="s">
        <v>153</v>
      </c>
      <c r="C1807">
        <v>6</v>
      </c>
      <c r="D1807" t="s">
        <v>95</v>
      </c>
      <c r="E1807">
        <v>2993</v>
      </c>
      <c r="F1807">
        <v>4099</v>
      </c>
      <c r="G1807">
        <v>1979</v>
      </c>
      <c r="H1807" t="s">
        <v>71</v>
      </c>
      <c r="I1807" t="s">
        <v>176</v>
      </c>
    </row>
    <row r="1808" spans="1:9" ht="15" customHeight="1" x14ac:dyDescent="0.35">
      <c r="A1808">
        <v>2019</v>
      </c>
      <c r="B1808" t="s">
        <v>154</v>
      </c>
      <c r="C1808">
        <v>7</v>
      </c>
      <c r="D1808" t="s">
        <v>95</v>
      </c>
      <c r="E1808">
        <v>2753</v>
      </c>
      <c r="F1808">
        <v>3816</v>
      </c>
      <c r="G1808">
        <v>1821</v>
      </c>
      <c r="H1808" t="s">
        <v>71</v>
      </c>
      <c r="I1808" t="s">
        <v>176</v>
      </c>
    </row>
    <row r="1809" spans="1:9" ht="15" customHeight="1" x14ac:dyDescent="0.35">
      <c r="A1809">
        <v>2019</v>
      </c>
      <c r="B1809" t="s">
        <v>155</v>
      </c>
      <c r="C1809">
        <v>8</v>
      </c>
      <c r="D1809" t="s">
        <v>95</v>
      </c>
      <c r="E1809">
        <v>2496</v>
      </c>
      <c r="F1809">
        <v>3524</v>
      </c>
      <c r="G1809">
        <v>1292</v>
      </c>
      <c r="H1809" t="s">
        <v>71</v>
      </c>
      <c r="I1809" t="s">
        <v>176</v>
      </c>
    </row>
    <row r="1810" spans="1:9" ht="15" customHeight="1" x14ac:dyDescent="0.35">
      <c r="A1810">
        <v>2019</v>
      </c>
      <c r="B1810" t="s">
        <v>156</v>
      </c>
      <c r="C1810">
        <v>9</v>
      </c>
      <c r="D1810" t="s">
        <v>95</v>
      </c>
      <c r="E1810">
        <v>2677</v>
      </c>
      <c r="F1810">
        <v>3596</v>
      </c>
      <c r="G1810">
        <v>2000</v>
      </c>
      <c r="H1810" t="s">
        <v>71</v>
      </c>
      <c r="I1810" t="s">
        <v>176</v>
      </c>
    </row>
    <row r="1811" spans="1:9" ht="15" customHeight="1" x14ac:dyDescent="0.35">
      <c r="A1811">
        <v>2019</v>
      </c>
      <c r="B1811" t="s">
        <v>157</v>
      </c>
      <c r="C1811">
        <v>10</v>
      </c>
      <c r="D1811" t="s">
        <v>95</v>
      </c>
      <c r="E1811">
        <v>2702</v>
      </c>
      <c r="F1811">
        <v>3615</v>
      </c>
      <c r="G1811">
        <v>2039</v>
      </c>
      <c r="H1811" t="s">
        <v>71</v>
      </c>
      <c r="I1811" t="s">
        <v>176</v>
      </c>
    </row>
    <row r="1812" spans="1:9" ht="15" customHeight="1" x14ac:dyDescent="0.35">
      <c r="A1812">
        <v>2019</v>
      </c>
      <c r="B1812" t="s">
        <v>158</v>
      </c>
      <c r="C1812">
        <v>11</v>
      </c>
      <c r="D1812" t="s">
        <v>95</v>
      </c>
      <c r="E1812">
        <v>2857</v>
      </c>
      <c r="F1812">
        <v>3648</v>
      </c>
      <c r="G1812">
        <v>1889</v>
      </c>
      <c r="H1812" t="s">
        <v>71</v>
      </c>
      <c r="I1812" t="s">
        <v>176</v>
      </c>
    </row>
    <row r="1813" spans="1:9" ht="15" customHeight="1" x14ac:dyDescent="0.35">
      <c r="A1813">
        <v>2019</v>
      </c>
      <c r="B1813" t="s">
        <v>159</v>
      </c>
      <c r="C1813">
        <v>12</v>
      </c>
      <c r="D1813" t="s">
        <v>95</v>
      </c>
      <c r="E1813">
        <v>2878</v>
      </c>
      <c r="F1813">
        <v>3672</v>
      </c>
      <c r="G1813">
        <v>2286</v>
      </c>
      <c r="H1813" t="s">
        <v>71</v>
      </c>
      <c r="I1813" t="s">
        <v>176</v>
      </c>
    </row>
    <row r="1814" spans="1:9" ht="15" customHeight="1" x14ac:dyDescent="0.35">
      <c r="A1814">
        <v>2020</v>
      </c>
      <c r="B1814" t="s">
        <v>147</v>
      </c>
      <c r="C1814">
        <v>1</v>
      </c>
      <c r="D1814" t="s">
        <v>95</v>
      </c>
      <c r="E1814">
        <v>2989</v>
      </c>
      <c r="F1814">
        <v>3776</v>
      </c>
      <c r="G1814">
        <v>2317</v>
      </c>
      <c r="H1814" t="s">
        <v>71</v>
      </c>
      <c r="I1814" t="s">
        <v>176</v>
      </c>
    </row>
    <row r="1815" spans="1:9" ht="15" customHeight="1" x14ac:dyDescent="0.35">
      <c r="A1815">
        <v>2020</v>
      </c>
      <c r="B1815" t="s">
        <v>149</v>
      </c>
      <c r="C1815">
        <v>2</v>
      </c>
      <c r="D1815" t="s">
        <v>95</v>
      </c>
      <c r="E1815">
        <v>3136</v>
      </c>
      <c r="F1815">
        <v>3910</v>
      </c>
      <c r="G1815">
        <v>2502</v>
      </c>
      <c r="H1815" t="s">
        <v>71</v>
      </c>
      <c r="I1815" t="s">
        <v>176</v>
      </c>
    </row>
    <row r="1816" spans="1:9" ht="15" customHeight="1" x14ac:dyDescent="0.35">
      <c r="A1816">
        <v>2020</v>
      </c>
      <c r="B1816" t="s">
        <v>150</v>
      </c>
      <c r="C1816">
        <v>3</v>
      </c>
      <c r="D1816" t="s">
        <v>95</v>
      </c>
      <c r="E1816">
        <v>3174</v>
      </c>
      <c r="F1816">
        <v>4166</v>
      </c>
      <c r="G1816">
        <v>2366</v>
      </c>
      <c r="H1816" t="s">
        <v>71</v>
      </c>
      <c r="I1816" t="s">
        <v>176</v>
      </c>
    </row>
    <row r="1817" spans="1:9" ht="15" customHeight="1" x14ac:dyDescent="0.35">
      <c r="A1817">
        <v>2020</v>
      </c>
      <c r="B1817" t="s">
        <v>151</v>
      </c>
      <c r="C1817">
        <v>4</v>
      </c>
      <c r="D1817" t="s">
        <v>95</v>
      </c>
      <c r="E1817">
        <v>2820</v>
      </c>
      <c r="F1817">
        <v>3829</v>
      </c>
      <c r="G1817">
        <v>1838</v>
      </c>
      <c r="H1817" t="s">
        <v>72</v>
      </c>
      <c r="I1817" t="s">
        <v>176</v>
      </c>
    </row>
    <row r="1818" spans="1:9" ht="15" customHeight="1" x14ac:dyDescent="0.35">
      <c r="A1818">
        <v>2020</v>
      </c>
      <c r="B1818" t="s">
        <v>152</v>
      </c>
      <c r="C1818">
        <v>5</v>
      </c>
      <c r="D1818" t="s">
        <v>95</v>
      </c>
      <c r="E1818">
        <v>2901</v>
      </c>
      <c r="F1818">
        <v>3760</v>
      </c>
      <c r="G1818">
        <v>2103</v>
      </c>
      <c r="H1818" t="s">
        <v>72</v>
      </c>
      <c r="I1818" t="s">
        <v>176</v>
      </c>
    </row>
    <row r="1819" spans="1:9" ht="15" customHeight="1" x14ac:dyDescent="0.35">
      <c r="A1819">
        <v>2020</v>
      </c>
      <c r="B1819" t="s">
        <v>153</v>
      </c>
      <c r="C1819">
        <v>6</v>
      </c>
      <c r="D1819" t="s">
        <v>95</v>
      </c>
      <c r="E1819">
        <v>2610</v>
      </c>
      <c r="F1819">
        <v>3299</v>
      </c>
      <c r="G1819">
        <v>2021</v>
      </c>
      <c r="H1819" t="s">
        <v>72</v>
      </c>
      <c r="I1819" t="s">
        <v>176</v>
      </c>
    </row>
    <row r="1820" spans="1:9" ht="15" customHeight="1" x14ac:dyDescent="0.35">
      <c r="A1820">
        <v>2020</v>
      </c>
      <c r="B1820" t="s">
        <v>154</v>
      </c>
      <c r="C1820">
        <v>7</v>
      </c>
      <c r="D1820" t="s">
        <v>95</v>
      </c>
      <c r="E1820">
        <v>2525</v>
      </c>
      <c r="F1820">
        <v>3197</v>
      </c>
      <c r="G1820">
        <v>1896</v>
      </c>
      <c r="H1820" t="s">
        <v>72</v>
      </c>
      <c r="I1820" t="s">
        <v>176</v>
      </c>
    </row>
    <row r="1821" spans="1:9" ht="15" customHeight="1" x14ac:dyDescent="0.35">
      <c r="A1821">
        <v>2020</v>
      </c>
      <c r="B1821" t="s">
        <v>155</v>
      </c>
      <c r="C1821">
        <v>8</v>
      </c>
      <c r="D1821" t="s">
        <v>95</v>
      </c>
      <c r="E1821">
        <v>2526</v>
      </c>
      <c r="F1821">
        <v>3507</v>
      </c>
      <c r="G1821">
        <v>1502</v>
      </c>
      <c r="H1821" t="s">
        <v>72</v>
      </c>
      <c r="I1821" t="s">
        <v>176</v>
      </c>
    </row>
    <row r="1822" spans="1:9" ht="15" customHeight="1" x14ac:dyDescent="0.35">
      <c r="A1822">
        <v>2020</v>
      </c>
      <c r="B1822" t="s">
        <v>156</v>
      </c>
      <c r="C1822">
        <v>9</v>
      </c>
      <c r="D1822" t="s">
        <v>95</v>
      </c>
      <c r="E1822">
        <v>2573</v>
      </c>
      <c r="F1822">
        <v>3377</v>
      </c>
      <c r="G1822">
        <v>1816</v>
      </c>
      <c r="H1822" t="s">
        <v>72</v>
      </c>
      <c r="I1822" t="s">
        <v>176</v>
      </c>
    </row>
    <row r="1823" spans="1:9" ht="15" customHeight="1" x14ac:dyDescent="0.35">
      <c r="A1823">
        <v>2020</v>
      </c>
      <c r="B1823" t="s">
        <v>157</v>
      </c>
      <c r="C1823">
        <v>10</v>
      </c>
      <c r="D1823" t="s">
        <v>95</v>
      </c>
      <c r="E1823">
        <v>2730</v>
      </c>
      <c r="F1823">
        <v>3801</v>
      </c>
      <c r="G1823">
        <v>2090</v>
      </c>
      <c r="H1823" t="s">
        <v>72</v>
      </c>
      <c r="I1823" t="s">
        <v>176</v>
      </c>
    </row>
    <row r="1824" spans="1:9" ht="15" customHeight="1" x14ac:dyDescent="0.35">
      <c r="A1824">
        <v>2020</v>
      </c>
      <c r="B1824" t="s">
        <v>158</v>
      </c>
      <c r="C1824">
        <v>11</v>
      </c>
      <c r="D1824" t="s">
        <v>95</v>
      </c>
      <c r="E1824">
        <v>2901</v>
      </c>
      <c r="F1824">
        <v>3688</v>
      </c>
      <c r="G1824">
        <v>2324</v>
      </c>
      <c r="H1824" t="s">
        <v>72</v>
      </c>
      <c r="I1824" t="s">
        <v>176</v>
      </c>
    </row>
    <row r="1825" spans="1:9" ht="15" customHeight="1" x14ac:dyDescent="0.35">
      <c r="A1825">
        <v>2020</v>
      </c>
      <c r="B1825" t="s">
        <v>159</v>
      </c>
      <c r="C1825">
        <v>12</v>
      </c>
      <c r="D1825" t="s">
        <v>95</v>
      </c>
      <c r="E1825">
        <v>2883</v>
      </c>
      <c r="F1825">
        <v>3681</v>
      </c>
      <c r="G1825">
        <v>2284</v>
      </c>
      <c r="H1825" t="s">
        <v>72</v>
      </c>
      <c r="I1825" t="s">
        <v>176</v>
      </c>
    </row>
    <row r="1826" spans="1:9" ht="15" customHeight="1" x14ac:dyDescent="0.35">
      <c r="A1826">
        <v>2021</v>
      </c>
      <c r="B1826" t="s">
        <v>147</v>
      </c>
      <c r="C1826">
        <v>1</v>
      </c>
      <c r="D1826" t="s">
        <v>95</v>
      </c>
      <c r="E1826">
        <v>2893</v>
      </c>
      <c r="F1826">
        <v>3730</v>
      </c>
      <c r="G1826">
        <v>2239</v>
      </c>
      <c r="H1826" t="s">
        <v>72</v>
      </c>
      <c r="I1826" t="s">
        <v>176</v>
      </c>
    </row>
    <row r="1827" spans="1:9" ht="15" customHeight="1" x14ac:dyDescent="0.35">
      <c r="A1827">
        <v>2021</v>
      </c>
      <c r="B1827" t="s">
        <v>149</v>
      </c>
      <c r="C1827">
        <v>2</v>
      </c>
      <c r="D1827" t="s">
        <v>95</v>
      </c>
      <c r="E1827">
        <v>3111</v>
      </c>
      <c r="F1827">
        <v>3910</v>
      </c>
      <c r="G1827">
        <v>2417</v>
      </c>
      <c r="H1827" t="s">
        <v>72</v>
      </c>
      <c r="I1827" t="s">
        <v>176</v>
      </c>
    </row>
    <row r="1828" spans="1:9" ht="15" customHeight="1" x14ac:dyDescent="0.35">
      <c r="A1828">
        <v>2021</v>
      </c>
      <c r="B1828" t="s">
        <v>150</v>
      </c>
      <c r="C1828">
        <v>3</v>
      </c>
      <c r="D1828" t="s">
        <v>95</v>
      </c>
      <c r="E1828">
        <v>3224</v>
      </c>
      <c r="F1828">
        <v>4257</v>
      </c>
      <c r="G1828">
        <v>2465</v>
      </c>
      <c r="H1828" t="s">
        <v>72</v>
      </c>
      <c r="I1828" t="s">
        <v>176</v>
      </c>
    </row>
    <row r="1829" spans="1:9" ht="15" customHeight="1" x14ac:dyDescent="0.35">
      <c r="A1829">
        <v>2021</v>
      </c>
      <c r="B1829" t="s">
        <v>151</v>
      </c>
      <c r="C1829">
        <v>4</v>
      </c>
      <c r="D1829" t="s">
        <v>95</v>
      </c>
      <c r="E1829">
        <v>3323</v>
      </c>
      <c r="F1829">
        <v>4337</v>
      </c>
      <c r="G1829">
        <v>2621</v>
      </c>
      <c r="H1829" t="s">
        <v>73</v>
      </c>
      <c r="I1829" t="s">
        <v>176</v>
      </c>
    </row>
    <row r="1830" spans="1:9" ht="15" customHeight="1" x14ac:dyDescent="0.35">
      <c r="A1830">
        <v>2021</v>
      </c>
      <c r="B1830" t="s">
        <v>152</v>
      </c>
      <c r="C1830">
        <v>5</v>
      </c>
      <c r="D1830" t="s">
        <v>95</v>
      </c>
      <c r="E1830">
        <v>2709</v>
      </c>
      <c r="F1830">
        <v>3876</v>
      </c>
      <c r="G1830">
        <v>1505</v>
      </c>
      <c r="H1830" t="s">
        <v>73</v>
      </c>
      <c r="I1830" t="s">
        <v>176</v>
      </c>
    </row>
    <row r="1831" spans="1:9" ht="15" customHeight="1" x14ac:dyDescent="0.35">
      <c r="A1831">
        <v>2021</v>
      </c>
      <c r="B1831" t="s">
        <v>153</v>
      </c>
      <c r="C1831">
        <v>6</v>
      </c>
      <c r="D1831" t="s">
        <v>95</v>
      </c>
      <c r="E1831">
        <v>2695</v>
      </c>
      <c r="F1831">
        <v>3570</v>
      </c>
      <c r="G1831">
        <v>1898</v>
      </c>
      <c r="H1831" t="s">
        <v>73</v>
      </c>
      <c r="I1831" t="s">
        <v>176</v>
      </c>
    </row>
    <row r="1832" spans="1:9" ht="15" customHeight="1" x14ac:dyDescent="0.35">
      <c r="A1832">
        <v>2021</v>
      </c>
      <c r="B1832" t="s">
        <v>154</v>
      </c>
      <c r="C1832">
        <v>7</v>
      </c>
      <c r="D1832" t="s">
        <v>95</v>
      </c>
      <c r="E1832">
        <v>2669</v>
      </c>
      <c r="F1832">
        <v>3586</v>
      </c>
      <c r="G1832">
        <v>1982</v>
      </c>
      <c r="H1832" t="s">
        <v>73</v>
      </c>
      <c r="I1832" t="s">
        <v>176</v>
      </c>
    </row>
    <row r="1833" spans="1:9" ht="15" customHeight="1" x14ac:dyDescent="0.35">
      <c r="A1833">
        <v>2021</v>
      </c>
      <c r="B1833" t="s">
        <v>155</v>
      </c>
      <c r="C1833">
        <v>8</v>
      </c>
      <c r="D1833" t="s">
        <v>95</v>
      </c>
      <c r="E1833">
        <v>2726</v>
      </c>
      <c r="F1833">
        <v>3580</v>
      </c>
      <c r="G1833">
        <v>2042</v>
      </c>
      <c r="H1833" t="s">
        <v>73</v>
      </c>
      <c r="I1833" t="s">
        <v>176</v>
      </c>
    </row>
    <row r="1834" spans="1:9" ht="15" customHeight="1" x14ac:dyDescent="0.35">
      <c r="A1834">
        <v>2021</v>
      </c>
      <c r="B1834" t="s">
        <v>156</v>
      </c>
      <c r="C1834">
        <v>9</v>
      </c>
      <c r="D1834" t="s">
        <v>95</v>
      </c>
      <c r="E1834">
        <v>2899</v>
      </c>
      <c r="F1834">
        <v>3761</v>
      </c>
      <c r="G1834">
        <v>2129</v>
      </c>
      <c r="H1834" t="s">
        <v>73</v>
      </c>
      <c r="I1834" t="s">
        <v>176</v>
      </c>
    </row>
    <row r="1835" spans="1:9" ht="15" customHeight="1" x14ac:dyDescent="0.35">
      <c r="A1835">
        <v>2021</v>
      </c>
      <c r="B1835" t="s">
        <v>157</v>
      </c>
      <c r="C1835">
        <v>10</v>
      </c>
      <c r="D1835" t="s">
        <v>95</v>
      </c>
      <c r="E1835">
        <v>2861</v>
      </c>
      <c r="F1835">
        <v>3681</v>
      </c>
      <c r="G1835">
        <v>2168</v>
      </c>
      <c r="H1835" t="s">
        <v>73</v>
      </c>
      <c r="I1835" t="s">
        <v>176</v>
      </c>
    </row>
    <row r="1836" spans="1:9" ht="15" customHeight="1" x14ac:dyDescent="0.35">
      <c r="A1836">
        <v>2021</v>
      </c>
      <c r="B1836" t="s">
        <v>158</v>
      </c>
      <c r="C1836">
        <v>11</v>
      </c>
      <c r="D1836" t="s">
        <v>95</v>
      </c>
      <c r="E1836">
        <v>2836</v>
      </c>
      <c r="F1836">
        <v>3635</v>
      </c>
      <c r="G1836">
        <v>2179</v>
      </c>
      <c r="H1836" t="s">
        <v>73</v>
      </c>
      <c r="I1836" t="s">
        <v>176</v>
      </c>
    </row>
    <row r="1837" spans="1:9" ht="15" customHeight="1" x14ac:dyDescent="0.35">
      <c r="A1837">
        <v>2021</v>
      </c>
      <c r="B1837" t="s">
        <v>159</v>
      </c>
      <c r="C1837">
        <v>12</v>
      </c>
      <c r="D1837" t="s">
        <v>95</v>
      </c>
      <c r="E1837">
        <v>2998</v>
      </c>
      <c r="F1837">
        <v>3788</v>
      </c>
      <c r="G1837">
        <v>2358</v>
      </c>
      <c r="H1837" t="s">
        <v>73</v>
      </c>
      <c r="I1837" t="s">
        <v>176</v>
      </c>
    </row>
    <row r="1838" spans="1:9" ht="15" customHeight="1" x14ac:dyDescent="0.35">
      <c r="A1838">
        <v>2022</v>
      </c>
      <c r="B1838" t="s">
        <v>147</v>
      </c>
      <c r="C1838">
        <v>1</v>
      </c>
      <c r="D1838" t="s">
        <v>95</v>
      </c>
      <c r="E1838">
        <v>3071</v>
      </c>
      <c r="F1838">
        <v>3913</v>
      </c>
      <c r="G1838">
        <v>2374</v>
      </c>
      <c r="H1838" t="s">
        <v>73</v>
      </c>
      <c r="I1838" t="s">
        <v>176</v>
      </c>
    </row>
    <row r="1839" spans="1:9" ht="15" customHeight="1" x14ac:dyDescent="0.35">
      <c r="A1839">
        <v>2022</v>
      </c>
      <c r="B1839" t="s">
        <v>149</v>
      </c>
      <c r="C1839">
        <v>2</v>
      </c>
      <c r="D1839" t="s">
        <v>95</v>
      </c>
      <c r="E1839">
        <v>3269</v>
      </c>
      <c r="F1839">
        <v>4033</v>
      </c>
      <c r="G1839">
        <v>2551</v>
      </c>
      <c r="H1839" t="s">
        <v>73</v>
      </c>
      <c r="I1839" t="s">
        <v>176</v>
      </c>
    </row>
    <row r="1840" spans="1:9" ht="15" customHeight="1" x14ac:dyDescent="0.35">
      <c r="A1840">
        <v>2022</v>
      </c>
      <c r="B1840" t="s">
        <v>150</v>
      </c>
      <c r="C1840">
        <v>3</v>
      </c>
      <c r="D1840" t="s">
        <v>95</v>
      </c>
      <c r="E1840">
        <v>3471</v>
      </c>
      <c r="F1840">
        <v>4350</v>
      </c>
      <c r="G1840">
        <v>2761</v>
      </c>
      <c r="H1840" t="s">
        <v>73</v>
      </c>
      <c r="I1840" t="s">
        <v>176</v>
      </c>
    </row>
    <row r="1841" spans="1:9" ht="15" customHeight="1" x14ac:dyDescent="0.35">
      <c r="A1841">
        <v>2022</v>
      </c>
      <c r="B1841" t="s">
        <v>151</v>
      </c>
      <c r="C1841">
        <v>4</v>
      </c>
      <c r="D1841" t="s">
        <v>95</v>
      </c>
      <c r="E1841">
        <v>3377</v>
      </c>
      <c r="F1841">
        <v>4412</v>
      </c>
      <c r="G1841">
        <v>2512</v>
      </c>
      <c r="H1841" t="s">
        <v>74</v>
      </c>
      <c r="I1841" t="s">
        <v>176</v>
      </c>
    </row>
    <row r="1842" spans="1:9" ht="15" customHeight="1" x14ac:dyDescent="0.35">
      <c r="A1842">
        <v>2022</v>
      </c>
      <c r="B1842" t="s">
        <v>152</v>
      </c>
      <c r="C1842">
        <v>5</v>
      </c>
      <c r="D1842" t="s">
        <v>95</v>
      </c>
      <c r="E1842">
        <v>3099</v>
      </c>
      <c r="F1842">
        <v>4188</v>
      </c>
      <c r="G1842">
        <v>2227</v>
      </c>
      <c r="H1842" t="s">
        <v>74</v>
      </c>
      <c r="I1842" t="s">
        <v>176</v>
      </c>
    </row>
    <row r="1843" spans="1:9" ht="15" customHeight="1" x14ac:dyDescent="0.35">
      <c r="A1843">
        <v>2022</v>
      </c>
      <c r="B1843" t="s">
        <v>153</v>
      </c>
      <c r="C1843">
        <v>6</v>
      </c>
      <c r="D1843" t="s">
        <v>95</v>
      </c>
      <c r="E1843">
        <v>3034</v>
      </c>
      <c r="F1843">
        <v>3951</v>
      </c>
      <c r="G1843">
        <v>2241</v>
      </c>
      <c r="H1843" t="s">
        <v>74</v>
      </c>
      <c r="I1843" t="s">
        <v>176</v>
      </c>
    </row>
    <row r="1844" spans="1:9" ht="15" customHeight="1" x14ac:dyDescent="0.35">
      <c r="A1844">
        <v>2022</v>
      </c>
      <c r="B1844" t="s">
        <v>154</v>
      </c>
      <c r="C1844">
        <v>7</v>
      </c>
      <c r="D1844" t="s">
        <v>95</v>
      </c>
      <c r="E1844">
        <v>2737</v>
      </c>
      <c r="F1844">
        <v>3646</v>
      </c>
      <c r="G1844">
        <v>1964</v>
      </c>
      <c r="H1844" t="s">
        <v>74</v>
      </c>
      <c r="I1844" t="s">
        <v>176</v>
      </c>
    </row>
    <row r="1845" spans="1:9" ht="15" customHeight="1" x14ac:dyDescent="0.35">
      <c r="A1845">
        <v>2022</v>
      </c>
      <c r="B1845" t="s">
        <v>155</v>
      </c>
      <c r="C1845">
        <v>8</v>
      </c>
      <c r="D1845" t="s">
        <v>95</v>
      </c>
      <c r="E1845">
        <v>2839</v>
      </c>
      <c r="F1845">
        <v>3805</v>
      </c>
      <c r="G1845">
        <v>1999</v>
      </c>
      <c r="H1845" t="s">
        <v>74</v>
      </c>
      <c r="I1845" t="s">
        <v>176</v>
      </c>
    </row>
    <row r="1846" spans="1:9" ht="15" customHeight="1" x14ac:dyDescent="0.35">
      <c r="A1846">
        <v>2022</v>
      </c>
      <c r="B1846" t="s">
        <v>156</v>
      </c>
      <c r="C1846">
        <v>9</v>
      </c>
      <c r="D1846" t="s">
        <v>95</v>
      </c>
      <c r="E1846">
        <v>2964</v>
      </c>
      <c r="F1846">
        <v>3902</v>
      </c>
      <c r="G1846">
        <v>2102</v>
      </c>
      <c r="H1846" t="s">
        <v>74</v>
      </c>
      <c r="I1846" t="s">
        <v>176</v>
      </c>
    </row>
    <row r="1847" spans="1:9" ht="15" customHeight="1" x14ac:dyDescent="0.35">
      <c r="A1847">
        <v>2022</v>
      </c>
      <c r="B1847" t="s">
        <v>157</v>
      </c>
      <c r="C1847">
        <v>10</v>
      </c>
      <c r="D1847" t="s">
        <v>95</v>
      </c>
      <c r="E1847">
        <v>3056</v>
      </c>
      <c r="F1847">
        <v>3949</v>
      </c>
      <c r="G1847">
        <v>2442</v>
      </c>
      <c r="H1847" t="s">
        <v>74</v>
      </c>
      <c r="I1847" t="s">
        <v>176</v>
      </c>
    </row>
    <row r="1848" spans="1:9" ht="15" customHeight="1" x14ac:dyDescent="0.35">
      <c r="A1848">
        <v>2022</v>
      </c>
      <c r="B1848" t="s">
        <v>158</v>
      </c>
      <c r="C1848">
        <v>11</v>
      </c>
      <c r="D1848" t="s">
        <v>95</v>
      </c>
      <c r="E1848">
        <v>3050</v>
      </c>
      <c r="F1848">
        <v>3911</v>
      </c>
      <c r="G1848">
        <v>2439</v>
      </c>
      <c r="H1848" t="s">
        <v>74</v>
      </c>
      <c r="I1848" t="s">
        <v>176</v>
      </c>
    </row>
    <row r="1849" spans="1:9" ht="15" customHeight="1" x14ac:dyDescent="0.35">
      <c r="A1849">
        <v>2022</v>
      </c>
      <c r="B1849" t="s">
        <v>159</v>
      </c>
      <c r="C1849">
        <v>12</v>
      </c>
      <c r="D1849" t="s">
        <v>95</v>
      </c>
      <c r="E1849">
        <v>3062</v>
      </c>
      <c r="F1849">
        <v>3966</v>
      </c>
      <c r="G1849">
        <v>2174</v>
      </c>
      <c r="H1849" t="s">
        <v>74</v>
      </c>
      <c r="I1849" t="s">
        <v>176</v>
      </c>
    </row>
    <row r="1850" spans="1:9" ht="15" customHeight="1" x14ac:dyDescent="0.35">
      <c r="A1850">
        <v>2023</v>
      </c>
      <c r="B1850" t="s">
        <v>147</v>
      </c>
      <c r="C1850">
        <v>1</v>
      </c>
      <c r="D1850" t="s">
        <v>95</v>
      </c>
      <c r="E1850">
        <v>3069</v>
      </c>
      <c r="F1850">
        <v>3914</v>
      </c>
      <c r="G1850">
        <v>2483</v>
      </c>
      <c r="H1850" t="s">
        <v>74</v>
      </c>
      <c r="I1850" t="s">
        <v>176</v>
      </c>
    </row>
    <row r="1851" spans="1:9" ht="15" customHeight="1" x14ac:dyDescent="0.35">
      <c r="A1851">
        <v>2023</v>
      </c>
      <c r="B1851" t="s">
        <v>149</v>
      </c>
      <c r="C1851">
        <v>2</v>
      </c>
      <c r="D1851" t="s">
        <v>95</v>
      </c>
      <c r="E1851">
        <v>3276</v>
      </c>
      <c r="F1851">
        <v>4060</v>
      </c>
      <c r="G1851">
        <v>2553</v>
      </c>
      <c r="H1851" t="s">
        <v>74</v>
      </c>
      <c r="I1851" t="s">
        <v>176</v>
      </c>
    </row>
    <row r="1852" spans="1:9" ht="15" customHeight="1" x14ac:dyDescent="0.35">
      <c r="A1852">
        <v>2023</v>
      </c>
      <c r="B1852" t="s">
        <v>150</v>
      </c>
      <c r="C1852">
        <v>3</v>
      </c>
      <c r="D1852" t="s">
        <v>95</v>
      </c>
      <c r="E1852">
        <v>3610</v>
      </c>
      <c r="F1852">
        <v>4340</v>
      </c>
      <c r="G1852">
        <v>2861</v>
      </c>
      <c r="H1852" t="s">
        <v>74</v>
      </c>
      <c r="I1852" t="s">
        <v>176</v>
      </c>
    </row>
    <row r="1853" spans="1:9" ht="15" customHeight="1" x14ac:dyDescent="0.35">
      <c r="A1853">
        <v>2023</v>
      </c>
      <c r="B1853" t="s">
        <v>151</v>
      </c>
      <c r="C1853">
        <v>4</v>
      </c>
      <c r="D1853" t="s">
        <v>95</v>
      </c>
      <c r="E1853">
        <v>3793</v>
      </c>
      <c r="F1853">
        <v>4983</v>
      </c>
      <c r="G1853">
        <v>2836</v>
      </c>
      <c r="H1853" t="s">
        <v>75</v>
      </c>
      <c r="I1853" t="s">
        <v>176</v>
      </c>
    </row>
    <row r="1854" spans="1:9" ht="15" customHeight="1" x14ac:dyDescent="0.35">
      <c r="A1854">
        <v>2023</v>
      </c>
      <c r="B1854" t="s">
        <v>152</v>
      </c>
      <c r="C1854">
        <v>5</v>
      </c>
      <c r="D1854" t="s">
        <v>95</v>
      </c>
      <c r="E1854">
        <v>3811</v>
      </c>
      <c r="F1854">
        <v>4912</v>
      </c>
      <c r="G1854">
        <v>2954</v>
      </c>
      <c r="H1854" t="s">
        <v>75</v>
      </c>
      <c r="I1854" t="s">
        <v>176</v>
      </c>
    </row>
    <row r="1855" spans="1:9" ht="15" customHeight="1" x14ac:dyDescent="0.35">
      <c r="A1855">
        <v>2023</v>
      </c>
      <c r="B1855" t="s">
        <v>153</v>
      </c>
      <c r="C1855">
        <v>6</v>
      </c>
      <c r="D1855" t="s">
        <v>95</v>
      </c>
      <c r="E1855">
        <v>3360</v>
      </c>
      <c r="F1855">
        <v>4617</v>
      </c>
      <c r="G1855">
        <v>2441</v>
      </c>
      <c r="H1855" t="s">
        <v>75</v>
      </c>
      <c r="I1855" t="s">
        <v>176</v>
      </c>
    </row>
    <row r="1856" spans="1:9" ht="15" customHeight="1" x14ac:dyDescent="0.35">
      <c r="A1856">
        <v>2023</v>
      </c>
      <c r="B1856" t="s">
        <v>154</v>
      </c>
      <c r="C1856">
        <v>7</v>
      </c>
      <c r="D1856" t="s">
        <v>95</v>
      </c>
      <c r="E1856">
        <v>2997</v>
      </c>
      <c r="F1856">
        <v>3944</v>
      </c>
      <c r="G1856">
        <v>2101</v>
      </c>
      <c r="H1856" t="s">
        <v>75</v>
      </c>
      <c r="I1856" t="s">
        <v>176</v>
      </c>
    </row>
    <row r="1857" spans="1:9" ht="15" customHeight="1" x14ac:dyDescent="0.35">
      <c r="A1857">
        <v>2023</v>
      </c>
      <c r="B1857" t="s">
        <v>155</v>
      </c>
      <c r="C1857">
        <v>8</v>
      </c>
      <c r="D1857" t="s">
        <v>95</v>
      </c>
      <c r="E1857">
        <v>3436</v>
      </c>
      <c r="F1857">
        <v>4369</v>
      </c>
      <c r="G1857">
        <v>2726</v>
      </c>
      <c r="H1857" t="s">
        <v>75</v>
      </c>
      <c r="I1857" t="s">
        <v>176</v>
      </c>
    </row>
    <row r="1858" spans="1:9" ht="15" customHeight="1" x14ac:dyDescent="0.35">
      <c r="A1858">
        <v>2023</v>
      </c>
      <c r="B1858" t="s">
        <v>156</v>
      </c>
      <c r="C1858">
        <v>9</v>
      </c>
      <c r="D1858" t="s">
        <v>95</v>
      </c>
      <c r="E1858">
        <v>3164</v>
      </c>
      <c r="F1858">
        <v>4141</v>
      </c>
      <c r="G1858">
        <v>1673</v>
      </c>
      <c r="H1858" t="s">
        <v>75</v>
      </c>
      <c r="I1858" t="s">
        <v>176</v>
      </c>
    </row>
    <row r="1859" spans="1:9" ht="15" customHeight="1" x14ac:dyDescent="0.35">
      <c r="A1859">
        <v>2023</v>
      </c>
      <c r="B1859" t="s">
        <v>157</v>
      </c>
      <c r="C1859">
        <v>10</v>
      </c>
      <c r="D1859" t="s">
        <v>95</v>
      </c>
      <c r="E1859">
        <v>3250</v>
      </c>
      <c r="F1859">
        <v>4149</v>
      </c>
      <c r="G1859">
        <v>2305</v>
      </c>
      <c r="H1859" t="s">
        <v>75</v>
      </c>
      <c r="I1859" t="s">
        <v>176</v>
      </c>
    </row>
    <row r="1860" spans="1:9" ht="15" customHeight="1" x14ac:dyDescent="0.35">
      <c r="A1860">
        <v>2023</v>
      </c>
      <c r="B1860" t="s">
        <v>158</v>
      </c>
      <c r="C1860">
        <v>11</v>
      </c>
      <c r="D1860" t="s">
        <v>95</v>
      </c>
      <c r="E1860">
        <v>3325</v>
      </c>
      <c r="F1860">
        <v>4264</v>
      </c>
      <c r="G1860">
        <v>2555</v>
      </c>
      <c r="H1860" t="s">
        <v>75</v>
      </c>
      <c r="I1860" t="s">
        <v>176</v>
      </c>
    </row>
    <row r="1861" spans="1:9" ht="15" customHeight="1" x14ac:dyDescent="0.35">
      <c r="A1861">
        <v>2023</v>
      </c>
      <c r="B1861" t="s">
        <v>159</v>
      </c>
      <c r="C1861">
        <v>12</v>
      </c>
      <c r="D1861" t="s">
        <v>95</v>
      </c>
      <c r="E1861">
        <v>3381</v>
      </c>
      <c r="F1861">
        <v>4221</v>
      </c>
      <c r="G1861">
        <v>2588</v>
      </c>
      <c r="H1861" t="s">
        <v>75</v>
      </c>
      <c r="I1861" t="s">
        <v>176</v>
      </c>
    </row>
    <row r="1862" spans="1:9" ht="15" customHeight="1" x14ac:dyDescent="0.35">
      <c r="A1862">
        <v>2024</v>
      </c>
      <c r="B1862" t="s">
        <v>147</v>
      </c>
      <c r="C1862">
        <v>1</v>
      </c>
      <c r="D1862" t="s">
        <v>95</v>
      </c>
      <c r="E1862">
        <v>3389</v>
      </c>
      <c r="F1862">
        <v>4328</v>
      </c>
      <c r="G1862">
        <v>2639</v>
      </c>
      <c r="H1862" t="s">
        <v>75</v>
      </c>
      <c r="I1862" t="s">
        <v>176</v>
      </c>
    </row>
    <row r="1863" spans="1:9" ht="15" customHeight="1" x14ac:dyDescent="0.35">
      <c r="A1863">
        <v>2024</v>
      </c>
      <c r="B1863" t="s">
        <v>149</v>
      </c>
      <c r="C1863">
        <v>2</v>
      </c>
      <c r="D1863" t="s">
        <v>95</v>
      </c>
      <c r="E1863">
        <v>3696</v>
      </c>
      <c r="F1863">
        <v>4805</v>
      </c>
      <c r="G1863">
        <v>2797</v>
      </c>
      <c r="H1863" t="s">
        <v>75</v>
      </c>
      <c r="I1863" t="s">
        <v>176</v>
      </c>
    </row>
    <row r="1864" spans="1:9" ht="15" customHeight="1" x14ac:dyDescent="0.35">
      <c r="A1864">
        <v>2024</v>
      </c>
      <c r="B1864" t="s">
        <v>150</v>
      </c>
      <c r="C1864">
        <v>3</v>
      </c>
      <c r="D1864" t="s">
        <v>95</v>
      </c>
      <c r="E1864">
        <v>4081</v>
      </c>
      <c r="F1864">
        <v>5239</v>
      </c>
      <c r="G1864">
        <v>3032</v>
      </c>
      <c r="H1864" t="s">
        <v>75</v>
      </c>
      <c r="I1864" t="s">
        <v>176</v>
      </c>
    </row>
    <row r="1865" spans="1:9" ht="15" customHeight="1" x14ac:dyDescent="0.35">
      <c r="A1865">
        <v>2024</v>
      </c>
      <c r="B1865" t="s">
        <v>151</v>
      </c>
      <c r="C1865">
        <v>4</v>
      </c>
      <c r="D1865" t="s">
        <v>95</v>
      </c>
      <c r="E1865">
        <v>4086</v>
      </c>
      <c r="F1865">
        <v>5239</v>
      </c>
      <c r="G1865">
        <v>3032</v>
      </c>
      <c r="H1865" t="s">
        <v>77</v>
      </c>
      <c r="I1865" t="s">
        <v>176</v>
      </c>
    </row>
    <row r="1866" spans="1:9" ht="15" customHeight="1" x14ac:dyDescent="0.35">
      <c r="A1866">
        <v>2024</v>
      </c>
      <c r="B1866" t="s">
        <v>152</v>
      </c>
      <c r="C1866">
        <v>5</v>
      </c>
      <c r="D1866" t="s">
        <v>95</v>
      </c>
      <c r="E1866">
        <v>3791</v>
      </c>
      <c r="F1866">
        <v>5762</v>
      </c>
      <c r="G1866">
        <v>2623</v>
      </c>
      <c r="H1866" t="s">
        <v>77</v>
      </c>
      <c r="I1866" t="s">
        <v>176</v>
      </c>
    </row>
    <row r="1867" spans="1:9" ht="15" customHeight="1" x14ac:dyDescent="0.35">
      <c r="A1867">
        <v>2024</v>
      </c>
      <c r="B1867" t="s">
        <v>153</v>
      </c>
      <c r="C1867">
        <v>6</v>
      </c>
      <c r="D1867" t="s">
        <v>95</v>
      </c>
      <c r="E1867">
        <v>3298</v>
      </c>
      <c r="F1867">
        <v>4379</v>
      </c>
      <c r="G1867">
        <v>2430</v>
      </c>
      <c r="H1867" t="s">
        <v>77</v>
      </c>
      <c r="I1867" t="s">
        <v>176</v>
      </c>
    </row>
    <row r="1868" spans="1:9" ht="15" customHeight="1" x14ac:dyDescent="0.35">
      <c r="A1868">
        <v>2024</v>
      </c>
      <c r="B1868" t="s">
        <v>154</v>
      </c>
      <c r="C1868">
        <v>7</v>
      </c>
      <c r="D1868" t="s">
        <v>95</v>
      </c>
      <c r="E1868">
        <v>3029</v>
      </c>
      <c r="F1868">
        <v>4107</v>
      </c>
      <c r="G1868">
        <v>2082</v>
      </c>
      <c r="H1868" t="s">
        <v>77</v>
      </c>
      <c r="I1868" t="s">
        <v>176</v>
      </c>
    </row>
    <row r="1869" spans="1:9" ht="15" customHeight="1" x14ac:dyDescent="0.35">
      <c r="A1869">
        <v>2024</v>
      </c>
      <c r="B1869" t="s">
        <v>155</v>
      </c>
      <c r="C1869">
        <v>8</v>
      </c>
      <c r="D1869" t="s">
        <v>95</v>
      </c>
      <c r="E1869">
        <v>3228</v>
      </c>
      <c r="F1869">
        <v>4250</v>
      </c>
      <c r="G1869">
        <v>2369</v>
      </c>
      <c r="H1869" t="s">
        <v>77</v>
      </c>
      <c r="I1869" t="s">
        <v>176</v>
      </c>
    </row>
    <row r="1870" spans="1:9" ht="15" customHeight="1" x14ac:dyDescent="0.35">
      <c r="A1870">
        <v>2024</v>
      </c>
      <c r="B1870" t="s">
        <v>156</v>
      </c>
      <c r="C1870">
        <v>9</v>
      </c>
      <c r="D1870" t="s">
        <v>95</v>
      </c>
      <c r="E1870">
        <v>3327</v>
      </c>
      <c r="F1870">
        <v>4342</v>
      </c>
      <c r="G1870">
        <v>2421</v>
      </c>
      <c r="H1870" t="s">
        <v>77</v>
      </c>
      <c r="I1870" t="s">
        <v>176</v>
      </c>
    </row>
    <row r="1871" spans="1:9" ht="15" customHeight="1" x14ac:dyDescent="0.35">
      <c r="A1871">
        <v>2024</v>
      </c>
      <c r="B1871" t="s">
        <v>157</v>
      </c>
      <c r="C1871">
        <v>10</v>
      </c>
      <c r="D1871" t="s">
        <v>95</v>
      </c>
      <c r="E1871">
        <v>3373</v>
      </c>
      <c r="F1871">
        <v>4429</v>
      </c>
      <c r="G1871">
        <v>2571</v>
      </c>
      <c r="H1871" t="s">
        <v>77</v>
      </c>
      <c r="I1871" t="s">
        <v>176</v>
      </c>
    </row>
    <row r="1872" spans="1:9" ht="15" customHeight="1" x14ac:dyDescent="0.35">
      <c r="A1872">
        <v>2024</v>
      </c>
      <c r="B1872" t="s">
        <v>158</v>
      </c>
      <c r="C1872">
        <v>11</v>
      </c>
      <c r="D1872" t="s">
        <v>95</v>
      </c>
      <c r="E1872">
        <v>3464</v>
      </c>
      <c r="F1872">
        <v>4430</v>
      </c>
      <c r="G1872">
        <v>2485</v>
      </c>
      <c r="H1872" t="s">
        <v>77</v>
      </c>
      <c r="I1872" t="s">
        <v>176</v>
      </c>
    </row>
    <row r="1873" spans="1:9" ht="15" customHeight="1" x14ac:dyDescent="0.35">
      <c r="A1873">
        <v>2024</v>
      </c>
      <c r="B1873" t="s">
        <v>159</v>
      </c>
      <c r="C1873">
        <v>12</v>
      </c>
      <c r="D1873" t="s">
        <v>95</v>
      </c>
      <c r="E1873">
        <v>3376</v>
      </c>
      <c r="F1873">
        <v>4458</v>
      </c>
      <c r="G1873">
        <v>2358</v>
      </c>
      <c r="H1873" t="s">
        <v>77</v>
      </c>
      <c r="I1873" t="s">
        <v>176</v>
      </c>
    </row>
    <row r="1874" spans="1:9" ht="15" customHeight="1" x14ac:dyDescent="0.35">
      <c r="A1874">
        <v>2025</v>
      </c>
      <c r="B1874" t="s">
        <v>147</v>
      </c>
      <c r="C1874">
        <v>1</v>
      </c>
      <c r="D1874" t="s">
        <v>95</v>
      </c>
      <c r="E1874">
        <v>3467</v>
      </c>
      <c r="F1874">
        <v>4535</v>
      </c>
      <c r="G1874">
        <v>2463</v>
      </c>
      <c r="H1874" t="s">
        <v>77</v>
      </c>
      <c r="I1874" t="s">
        <v>176</v>
      </c>
    </row>
    <row r="1875" spans="1:9" ht="15" customHeight="1" x14ac:dyDescent="0.35">
      <c r="A1875">
        <v>2025</v>
      </c>
      <c r="B1875" t="s">
        <v>149</v>
      </c>
      <c r="C1875">
        <v>2</v>
      </c>
      <c r="D1875" t="s">
        <v>95</v>
      </c>
      <c r="E1875">
        <v>3719</v>
      </c>
      <c r="F1875">
        <v>4939</v>
      </c>
      <c r="G1875">
        <v>2532</v>
      </c>
      <c r="H1875" t="s">
        <v>77</v>
      </c>
      <c r="I1875" t="s">
        <v>176</v>
      </c>
    </row>
    <row r="1876" spans="1:9" ht="15" customHeight="1" x14ac:dyDescent="0.35">
      <c r="A1876">
        <v>2025</v>
      </c>
      <c r="B1876" t="s">
        <v>150</v>
      </c>
      <c r="C1876">
        <v>3</v>
      </c>
      <c r="D1876" t="s">
        <v>95</v>
      </c>
      <c r="E1876">
        <v>4010</v>
      </c>
      <c r="F1876">
        <v>5457</v>
      </c>
      <c r="G1876">
        <v>2644</v>
      </c>
      <c r="H1876" t="s">
        <v>77</v>
      </c>
      <c r="I1876" t="s">
        <v>176</v>
      </c>
    </row>
    <row r="1877" spans="1:9" ht="15" customHeight="1" x14ac:dyDescent="0.35">
      <c r="A1877">
        <v>2025</v>
      </c>
      <c r="B1877" t="s">
        <v>151</v>
      </c>
      <c r="C1877">
        <v>4</v>
      </c>
      <c r="D1877" t="s">
        <v>95</v>
      </c>
      <c r="E1877">
        <v>3889</v>
      </c>
      <c r="F1877">
        <v>5011</v>
      </c>
      <c r="G1877">
        <v>2738</v>
      </c>
      <c r="H1877" t="s">
        <v>78</v>
      </c>
      <c r="I1877" t="s">
        <v>176</v>
      </c>
    </row>
    <row r="1878" spans="1:9" ht="15" customHeight="1" x14ac:dyDescent="0.35">
      <c r="A1878">
        <v>2025</v>
      </c>
      <c r="B1878" t="s">
        <v>152</v>
      </c>
      <c r="C1878">
        <v>5</v>
      </c>
      <c r="D1878" t="s">
        <v>95</v>
      </c>
      <c r="E1878">
        <v>3582</v>
      </c>
      <c r="F1878">
        <v>5106</v>
      </c>
      <c r="G1878">
        <v>1908</v>
      </c>
      <c r="H1878" t="s">
        <v>78</v>
      </c>
      <c r="I1878" t="s">
        <v>176</v>
      </c>
    </row>
    <row r="1879" spans="1:9" ht="15" customHeight="1" x14ac:dyDescent="0.35">
      <c r="A1879">
        <v>2025</v>
      </c>
      <c r="B1879" t="s">
        <v>153</v>
      </c>
      <c r="C1879">
        <v>6</v>
      </c>
      <c r="D1879" t="s">
        <v>95</v>
      </c>
      <c r="E1879">
        <v>3225</v>
      </c>
      <c r="F1879">
        <v>4563</v>
      </c>
      <c r="G1879">
        <v>2273</v>
      </c>
      <c r="H1879" t="s">
        <v>78</v>
      </c>
      <c r="I1879" t="s">
        <v>176</v>
      </c>
    </row>
    <row r="1880" spans="1:9" ht="15" customHeight="1" x14ac:dyDescent="0.35">
      <c r="A1880">
        <v>2025</v>
      </c>
      <c r="B1880" t="s">
        <v>154</v>
      </c>
      <c r="C1880">
        <v>7</v>
      </c>
      <c r="D1880" t="s">
        <v>95</v>
      </c>
      <c r="E1880">
        <v>3053</v>
      </c>
      <c r="F1880">
        <v>4144</v>
      </c>
      <c r="G1880">
        <v>2131</v>
      </c>
      <c r="H1880" t="s">
        <v>78</v>
      </c>
      <c r="I1880" t="s">
        <v>176</v>
      </c>
    </row>
    <row r="1881" spans="1:9" ht="15" customHeight="1" x14ac:dyDescent="0.35">
      <c r="A1881">
        <v>2025</v>
      </c>
      <c r="B1881" t="s">
        <v>155</v>
      </c>
      <c r="C1881">
        <v>8</v>
      </c>
      <c r="D1881" t="s">
        <v>95</v>
      </c>
      <c r="E1881">
        <v>3210</v>
      </c>
      <c r="F1881">
        <v>4391</v>
      </c>
      <c r="G1881">
        <v>2405</v>
      </c>
      <c r="H1881" t="s">
        <v>78</v>
      </c>
      <c r="I1881" t="s">
        <v>176</v>
      </c>
    </row>
    <row r="1882" spans="1:9" ht="15" customHeight="1" x14ac:dyDescent="0.35">
      <c r="A1882">
        <v>2025</v>
      </c>
      <c r="B1882" t="s">
        <v>156</v>
      </c>
      <c r="C1882">
        <v>9</v>
      </c>
      <c r="D1882" t="s">
        <v>95</v>
      </c>
      <c r="E1882">
        <v>3354</v>
      </c>
      <c r="F1882">
        <v>4499</v>
      </c>
      <c r="G1882">
        <v>2086</v>
      </c>
      <c r="H1882" t="s">
        <v>78</v>
      </c>
      <c r="I1882" t="s">
        <v>176</v>
      </c>
    </row>
    <row r="1883" spans="1:9" ht="15" customHeight="1" x14ac:dyDescent="0.35">
      <c r="A1883">
        <v>2025</v>
      </c>
      <c r="B1883" t="s">
        <v>157</v>
      </c>
      <c r="C1883">
        <v>10</v>
      </c>
      <c r="D1883" t="s">
        <v>95</v>
      </c>
      <c r="E1883">
        <v>3425</v>
      </c>
      <c r="F1883">
        <v>4615</v>
      </c>
      <c r="G1883">
        <v>2423</v>
      </c>
      <c r="H1883" t="s">
        <v>78</v>
      </c>
      <c r="I1883" t="s">
        <v>176</v>
      </c>
    </row>
    <row r="1884" spans="1:9" ht="15" customHeight="1" x14ac:dyDescent="0.35">
      <c r="A1884">
        <v>2025</v>
      </c>
      <c r="B1884" t="s">
        <v>158</v>
      </c>
      <c r="C1884">
        <v>11</v>
      </c>
      <c r="D1884" t="s">
        <v>95</v>
      </c>
      <c r="E1884">
        <v>3432</v>
      </c>
      <c r="F1884">
        <v>4609</v>
      </c>
      <c r="G1884">
        <v>2293</v>
      </c>
      <c r="H1884" t="s">
        <v>78</v>
      </c>
      <c r="I1884" t="s">
        <v>176</v>
      </c>
    </row>
    <row r="1885" spans="1:9" ht="15" customHeight="1" x14ac:dyDescent="0.35">
      <c r="A1885">
        <v>2025</v>
      </c>
      <c r="B1885" t="s">
        <v>159</v>
      </c>
      <c r="C1885">
        <v>12</v>
      </c>
      <c r="D1885" t="s">
        <v>95</v>
      </c>
      <c r="E1885">
        <v>3332</v>
      </c>
      <c r="F1885">
        <v>5029</v>
      </c>
      <c r="G1885">
        <v>2165</v>
      </c>
      <c r="H1885" t="s">
        <v>78</v>
      </c>
      <c r="I1885" t="s">
        <v>176</v>
      </c>
    </row>
    <row r="1886" spans="1:9" ht="15" customHeight="1" x14ac:dyDescent="0.35">
      <c r="A1886">
        <v>2026</v>
      </c>
      <c r="B1886" t="s">
        <v>147</v>
      </c>
      <c r="C1886">
        <v>1</v>
      </c>
      <c r="D1886" t="s">
        <v>95</v>
      </c>
      <c r="E1886">
        <v>3483</v>
      </c>
      <c r="F1886">
        <v>4780</v>
      </c>
      <c r="G1886">
        <v>2280</v>
      </c>
      <c r="H1886" t="s">
        <v>78</v>
      </c>
      <c r="I1886" t="s">
        <v>176</v>
      </c>
    </row>
    <row r="1887" spans="1:9" ht="15" customHeight="1" x14ac:dyDescent="0.35">
      <c r="A1887">
        <v>2026</v>
      </c>
      <c r="B1887" t="s">
        <v>149</v>
      </c>
      <c r="C1887">
        <v>2</v>
      </c>
      <c r="D1887" t="s">
        <v>95</v>
      </c>
      <c r="E1887">
        <v>3774</v>
      </c>
      <c r="F1887">
        <v>5054</v>
      </c>
      <c r="G1887">
        <v>2345</v>
      </c>
      <c r="H1887" t="s">
        <v>78</v>
      </c>
      <c r="I1887" t="s">
        <v>176</v>
      </c>
    </row>
    <row r="1888" spans="1:9" ht="15" customHeight="1" x14ac:dyDescent="0.35">
      <c r="A1888">
        <v>2026</v>
      </c>
      <c r="B1888" t="s">
        <v>150</v>
      </c>
      <c r="C1888">
        <v>3</v>
      </c>
      <c r="D1888" t="s">
        <v>95</v>
      </c>
      <c r="E1888">
        <v>3483</v>
      </c>
      <c r="F1888">
        <v>4780</v>
      </c>
      <c r="G1888">
        <v>2280</v>
      </c>
      <c r="H1888" t="s">
        <v>78</v>
      </c>
      <c r="I1888" t="s">
        <v>176</v>
      </c>
    </row>
    <row r="1889" spans="1:9" ht="15" customHeight="1" x14ac:dyDescent="0.35">
      <c r="A1889">
        <v>2017</v>
      </c>
      <c r="B1889" t="s">
        <v>147</v>
      </c>
      <c r="C1889">
        <v>1</v>
      </c>
      <c r="D1889" t="s">
        <v>98</v>
      </c>
      <c r="E1889">
        <v>8606</v>
      </c>
      <c r="F1889">
        <v>11396</v>
      </c>
      <c r="G1889">
        <v>4904</v>
      </c>
      <c r="H1889" t="s">
        <v>122</v>
      </c>
      <c r="I1889" t="s">
        <v>177</v>
      </c>
    </row>
    <row r="1890" spans="1:9" ht="15" customHeight="1" x14ac:dyDescent="0.35">
      <c r="A1890">
        <v>2017</v>
      </c>
      <c r="B1890" t="s">
        <v>149</v>
      </c>
      <c r="C1890">
        <v>2</v>
      </c>
      <c r="D1890" t="s">
        <v>98</v>
      </c>
      <c r="E1890">
        <v>8279</v>
      </c>
      <c r="F1890">
        <v>10934</v>
      </c>
      <c r="G1890">
        <v>5493</v>
      </c>
      <c r="H1890" t="s">
        <v>122</v>
      </c>
      <c r="I1890" t="s">
        <v>177</v>
      </c>
    </row>
    <row r="1891" spans="1:9" ht="15" customHeight="1" x14ac:dyDescent="0.35">
      <c r="A1891">
        <v>2017</v>
      </c>
      <c r="B1891" t="s">
        <v>150</v>
      </c>
      <c r="C1891">
        <v>3</v>
      </c>
      <c r="D1891" t="s">
        <v>98</v>
      </c>
      <c r="E1891">
        <v>7309</v>
      </c>
      <c r="F1891">
        <v>9903</v>
      </c>
      <c r="G1891">
        <v>5560</v>
      </c>
      <c r="H1891" t="s">
        <v>122</v>
      </c>
      <c r="I1891" t="s">
        <v>177</v>
      </c>
    </row>
    <row r="1892" spans="1:9" ht="15" customHeight="1" x14ac:dyDescent="0.35">
      <c r="A1892">
        <v>2017</v>
      </c>
      <c r="B1892" t="s">
        <v>151</v>
      </c>
      <c r="C1892">
        <v>4</v>
      </c>
      <c r="D1892" t="s">
        <v>98</v>
      </c>
      <c r="E1892">
        <v>7428</v>
      </c>
      <c r="F1892">
        <v>8443</v>
      </c>
      <c r="G1892">
        <v>5911</v>
      </c>
      <c r="H1892" t="s">
        <v>123</v>
      </c>
      <c r="I1892" t="s">
        <v>177</v>
      </c>
    </row>
    <row r="1893" spans="1:9" ht="15" customHeight="1" x14ac:dyDescent="0.35">
      <c r="A1893">
        <v>2017</v>
      </c>
      <c r="B1893" t="s">
        <v>152</v>
      </c>
      <c r="C1893">
        <v>5</v>
      </c>
      <c r="D1893" t="s">
        <v>98</v>
      </c>
      <c r="E1893">
        <v>7057</v>
      </c>
      <c r="F1893">
        <v>8104</v>
      </c>
      <c r="G1893">
        <v>5160</v>
      </c>
      <c r="H1893" t="s">
        <v>123</v>
      </c>
      <c r="I1893" t="s">
        <v>177</v>
      </c>
    </row>
    <row r="1894" spans="1:9" ht="15" customHeight="1" x14ac:dyDescent="0.35">
      <c r="A1894">
        <v>2017</v>
      </c>
      <c r="B1894" t="s">
        <v>153</v>
      </c>
      <c r="C1894">
        <v>6</v>
      </c>
      <c r="D1894" t="s">
        <v>98</v>
      </c>
      <c r="E1894">
        <v>6185</v>
      </c>
      <c r="F1894">
        <v>7474</v>
      </c>
      <c r="G1894">
        <v>5051</v>
      </c>
      <c r="H1894" t="s">
        <v>123</v>
      </c>
      <c r="I1894" t="s">
        <v>177</v>
      </c>
    </row>
    <row r="1895" spans="1:9" ht="15" customHeight="1" x14ac:dyDescent="0.35">
      <c r="A1895">
        <v>2017</v>
      </c>
      <c r="B1895" t="s">
        <v>154</v>
      </c>
      <c r="C1895">
        <v>7</v>
      </c>
      <c r="D1895" t="s">
        <v>98</v>
      </c>
      <c r="E1895">
        <v>5797</v>
      </c>
      <c r="F1895">
        <v>7373</v>
      </c>
      <c r="G1895">
        <v>4349</v>
      </c>
      <c r="H1895" t="s">
        <v>123</v>
      </c>
      <c r="I1895" t="s">
        <v>177</v>
      </c>
    </row>
    <row r="1896" spans="1:9" ht="15" customHeight="1" x14ac:dyDescent="0.35">
      <c r="A1896">
        <v>2017</v>
      </c>
      <c r="B1896" t="s">
        <v>155</v>
      </c>
      <c r="C1896">
        <v>8</v>
      </c>
      <c r="D1896" t="s">
        <v>98</v>
      </c>
      <c r="E1896">
        <v>6722</v>
      </c>
      <c r="F1896">
        <v>8133</v>
      </c>
      <c r="G1896">
        <v>5414</v>
      </c>
      <c r="H1896" t="s">
        <v>123</v>
      </c>
      <c r="I1896" t="s">
        <v>177</v>
      </c>
    </row>
    <row r="1897" spans="1:9" ht="15" customHeight="1" x14ac:dyDescent="0.35">
      <c r="A1897">
        <v>2017</v>
      </c>
      <c r="B1897" t="s">
        <v>156</v>
      </c>
      <c r="C1897">
        <v>9</v>
      </c>
      <c r="D1897" t="s">
        <v>98</v>
      </c>
      <c r="E1897">
        <v>7166</v>
      </c>
      <c r="F1897">
        <v>8408</v>
      </c>
      <c r="G1897">
        <v>4822</v>
      </c>
      <c r="H1897" t="s">
        <v>123</v>
      </c>
      <c r="I1897" t="s">
        <v>177</v>
      </c>
    </row>
    <row r="1898" spans="1:9" ht="15" customHeight="1" x14ac:dyDescent="0.35">
      <c r="A1898">
        <v>2017</v>
      </c>
      <c r="B1898" t="s">
        <v>157</v>
      </c>
      <c r="C1898">
        <v>10</v>
      </c>
      <c r="D1898" t="s">
        <v>98</v>
      </c>
      <c r="E1898">
        <v>8574</v>
      </c>
      <c r="F1898">
        <v>10710</v>
      </c>
      <c r="G1898">
        <v>6969</v>
      </c>
      <c r="H1898" t="s">
        <v>123</v>
      </c>
      <c r="I1898" t="s">
        <v>177</v>
      </c>
    </row>
    <row r="1899" spans="1:9" ht="15" customHeight="1" x14ac:dyDescent="0.35">
      <c r="A1899">
        <v>2017</v>
      </c>
      <c r="B1899" t="s">
        <v>158</v>
      </c>
      <c r="C1899">
        <v>11</v>
      </c>
      <c r="D1899" t="s">
        <v>98</v>
      </c>
      <c r="E1899">
        <v>9791</v>
      </c>
      <c r="F1899">
        <v>12035</v>
      </c>
      <c r="G1899">
        <v>8053</v>
      </c>
      <c r="H1899" t="s">
        <v>123</v>
      </c>
      <c r="I1899" t="s">
        <v>177</v>
      </c>
    </row>
    <row r="1900" spans="1:9" ht="15" customHeight="1" x14ac:dyDescent="0.35">
      <c r="A1900">
        <v>2017</v>
      </c>
      <c r="B1900" t="s">
        <v>159</v>
      </c>
      <c r="C1900">
        <v>12</v>
      </c>
      <c r="D1900" t="s">
        <v>98</v>
      </c>
      <c r="E1900">
        <v>9570</v>
      </c>
      <c r="F1900">
        <v>12397</v>
      </c>
      <c r="G1900">
        <v>6676</v>
      </c>
      <c r="H1900" t="s">
        <v>123</v>
      </c>
      <c r="I1900" t="s">
        <v>177</v>
      </c>
    </row>
    <row r="1901" spans="1:9" ht="15" customHeight="1" x14ac:dyDescent="0.35">
      <c r="A1901">
        <v>2018</v>
      </c>
      <c r="B1901" t="s">
        <v>147</v>
      </c>
      <c r="C1901">
        <v>1</v>
      </c>
      <c r="D1901" t="s">
        <v>98</v>
      </c>
      <c r="E1901">
        <v>9121</v>
      </c>
      <c r="F1901">
        <v>12260</v>
      </c>
      <c r="G1901">
        <v>6800</v>
      </c>
      <c r="H1901" t="s">
        <v>123</v>
      </c>
      <c r="I1901" t="s">
        <v>177</v>
      </c>
    </row>
    <row r="1902" spans="1:9" ht="15" customHeight="1" x14ac:dyDescent="0.35">
      <c r="A1902">
        <v>2018</v>
      </c>
      <c r="B1902" t="s">
        <v>149</v>
      </c>
      <c r="C1902">
        <v>2</v>
      </c>
      <c r="D1902" t="s">
        <v>98</v>
      </c>
      <c r="E1902">
        <v>7972</v>
      </c>
      <c r="F1902">
        <v>11207</v>
      </c>
      <c r="G1902">
        <v>4685</v>
      </c>
      <c r="H1902" t="s">
        <v>123</v>
      </c>
      <c r="I1902" t="s">
        <v>177</v>
      </c>
    </row>
    <row r="1903" spans="1:9" ht="15" customHeight="1" x14ac:dyDescent="0.35">
      <c r="A1903">
        <v>2018</v>
      </c>
      <c r="B1903" t="s">
        <v>150</v>
      </c>
      <c r="C1903">
        <v>3</v>
      </c>
      <c r="D1903" t="s">
        <v>98</v>
      </c>
      <c r="E1903">
        <v>7387</v>
      </c>
      <c r="F1903">
        <v>9619</v>
      </c>
      <c r="G1903">
        <v>6075</v>
      </c>
      <c r="H1903" t="s">
        <v>123</v>
      </c>
      <c r="I1903" t="s">
        <v>177</v>
      </c>
    </row>
    <row r="1904" spans="1:9" ht="15" customHeight="1" x14ac:dyDescent="0.35">
      <c r="A1904">
        <v>2018</v>
      </c>
      <c r="B1904" t="s">
        <v>151</v>
      </c>
      <c r="C1904">
        <v>4</v>
      </c>
      <c r="D1904" t="s">
        <v>98</v>
      </c>
      <c r="E1904">
        <v>7440</v>
      </c>
      <c r="F1904">
        <v>8584</v>
      </c>
      <c r="G1904">
        <v>5942</v>
      </c>
      <c r="H1904" t="s">
        <v>124</v>
      </c>
      <c r="I1904" t="s">
        <v>177</v>
      </c>
    </row>
    <row r="1905" spans="1:9" ht="15" customHeight="1" x14ac:dyDescent="0.35">
      <c r="A1905">
        <v>2018</v>
      </c>
      <c r="B1905" t="s">
        <v>152</v>
      </c>
      <c r="C1905">
        <v>5</v>
      </c>
      <c r="D1905" t="s">
        <v>98</v>
      </c>
      <c r="E1905">
        <v>7830</v>
      </c>
      <c r="F1905">
        <v>8809</v>
      </c>
      <c r="G1905">
        <v>5766</v>
      </c>
      <c r="H1905" t="s">
        <v>124</v>
      </c>
      <c r="I1905" t="s">
        <v>177</v>
      </c>
    </row>
    <row r="1906" spans="1:9" ht="15" customHeight="1" x14ac:dyDescent="0.35">
      <c r="A1906">
        <v>2018</v>
      </c>
      <c r="B1906" t="s">
        <v>153</v>
      </c>
      <c r="C1906">
        <v>6</v>
      </c>
      <c r="D1906" t="s">
        <v>98</v>
      </c>
      <c r="E1906">
        <v>6967</v>
      </c>
      <c r="F1906">
        <v>8467</v>
      </c>
      <c r="G1906">
        <v>5295</v>
      </c>
      <c r="H1906" t="s">
        <v>124</v>
      </c>
      <c r="I1906" t="s">
        <v>177</v>
      </c>
    </row>
    <row r="1907" spans="1:9" ht="15" customHeight="1" x14ac:dyDescent="0.35">
      <c r="A1907">
        <v>2018</v>
      </c>
      <c r="B1907" t="s">
        <v>154</v>
      </c>
      <c r="C1907">
        <v>7</v>
      </c>
      <c r="D1907" t="s">
        <v>98</v>
      </c>
      <c r="E1907">
        <v>6593</v>
      </c>
      <c r="F1907">
        <v>7802</v>
      </c>
      <c r="G1907">
        <v>5155</v>
      </c>
      <c r="H1907" t="s">
        <v>124</v>
      </c>
      <c r="I1907" t="s">
        <v>177</v>
      </c>
    </row>
    <row r="1908" spans="1:9" ht="15" customHeight="1" x14ac:dyDescent="0.35">
      <c r="A1908">
        <v>2018</v>
      </c>
      <c r="B1908" t="s">
        <v>155</v>
      </c>
      <c r="C1908">
        <v>8</v>
      </c>
      <c r="D1908" t="s">
        <v>98</v>
      </c>
      <c r="E1908">
        <v>7042</v>
      </c>
      <c r="F1908">
        <v>8431</v>
      </c>
      <c r="G1908">
        <v>5581</v>
      </c>
      <c r="H1908" t="s">
        <v>124</v>
      </c>
      <c r="I1908" t="s">
        <v>177</v>
      </c>
    </row>
    <row r="1909" spans="1:9" ht="15" customHeight="1" x14ac:dyDescent="0.35">
      <c r="A1909">
        <v>2018</v>
      </c>
      <c r="B1909" t="s">
        <v>156</v>
      </c>
      <c r="C1909">
        <v>9</v>
      </c>
      <c r="D1909" t="s">
        <v>98</v>
      </c>
      <c r="E1909">
        <v>7408</v>
      </c>
      <c r="F1909">
        <v>9382</v>
      </c>
      <c r="G1909">
        <v>5067</v>
      </c>
      <c r="H1909" t="s">
        <v>124</v>
      </c>
      <c r="I1909" t="s">
        <v>177</v>
      </c>
    </row>
    <row r="1910" spans="1:9" ht="15" customHeight="1" x14ac:dyDescent="0.35">
      <c r="A1910">
        <v>2018</v>
      </c>
      <c r="B1910" t="s">
        <v>157</v>
      </c>
      <c r="C1910">
        <v>10</v>
      </c>
      <c r="D1910" t="s">
        <v>98</v>
      </c>
      <c r="E1910">
        <v>9855</v>
      </c>
      <c r="F1910">
        <v>12181</v>
      </c>
      <c r="G1910">
        <v>7783</v>
      </c>
      <c r="H1910" t="s">
        <v>124</v>
      </c>
      <c r="I1910" t="s">
        <v>177</v>
      </c>
    </row>
    <row r="1911" spans="1:9" ht="15" customHeight="1" x14ac:dyDescent="0.35">
      <c r="A1911">
        <v>2018</v>
      </c>
      <c r="B1911" t="s">
        <v>158</v>
      </c>
      <c r="C1911">
        <v>11</v>
      </c>
      <c r="D1911" t="s">
        <v>98</v>
      </c>
      <c r="E1911">
        <v>10791</v>
      </c>
      <c r="F1911">
        <v>13161</v>
      </c>
      <c r="G1911">
        <v>8129</v>
      </c>
      <c r="H1911" t="s">
        <v>124</v>
      </c>
      <c r="I1911" t="s">
        <v>177</v>
      </c>
    </row>
    <row r="1912" spans="1:9" ht="15" customHeight="1" x14ac:dyDescent="0.35">
      <c r="A1912">
        <v>2018</v>
      </c>
      <c r="B1912" t="s">
        <v>159</v>
      </c>
      <c r="C1912">
        <v>12</v>
      </c>
      <c r="D1912" t="s">
        <v>98</v>
      </c>
      <c r="E1912">
        <v>10501</v>
      </c>
      <c r="F1912">
        <v>13684</v>
      </c>
      <c r="G1912">
        <v>7841</v>
      </c>
      <c r="H1912" t="s">
        <v>124</v>
      </c>
      <c r="I1912" t="s">
        <v>177</v>
      </c>
    </row>
    <row r="1913" spans="1:9" ht="15" customHeight="1" x14ac:dyDescent="0.35">
      <c r="A1913">
        <v>2019</v>
      </c>
      <c r="B1913" t="s">
        <v>147</v>
      </c>
      <c r="C1913">
        <v>1</v>
      </c>
      <c r="D1913" t="s">
        <v>98</v>
      </c>
      <c r="E1913">
        <v>10093</v>
      </c>
      <c r="F1913">
        <v>13988</v>
      </c>
      <c r="G1913">
        <v>6593</v>
      </c>
      <c r="H1913" t="s">
        <v>124</v>
      </c>
      <c r="I1913" t="s">
        <v>177</v>
      </c>
    </row>
    <row r="1914" spans="1:9" ht="15" customHeight="1" x14ac:dyDescent="0.35">
      <c r="A1914">
        <v>2019</v>
      </c>
      <c r="B1914" t="s">
        <v>149</v>
      </c>
      <c r="C1914">
        <v>2</v>
      </c>
      <c r="D1914" t="s">
        <v>98</v>
      </c>
      <c r="E1914">
        <v>9224</v>
      </c>
      <c r="F1914">
        <v>13019</v>
      </c>
      <c r="G1914">
        <v>6333</v>
      </c>
      <c r="H1914" t="s">
        <v>124</v>
      </c>
      <c r="I1914" t="s">
        <v>177</v>
      </c>
    </row>
    <row r="1915" spans="1:9" ht="15" customHeight="1" x14ac:dyDescent="0.35">
      <c r="A1915">
        <v>2019</v>
      </c>
      <c r="B1915" t="s">
        <v>150</v>
      </c>
      <c r="C1915">
        <v>3</v>
      </c>
      <c r="D1915" t="s">
        <v>98</v>
      </c>
      <c r="E1915">
        <v>8449</v>
      </c>
      <c r="F1915">
        <v>11769</v>
      </c>
      <c r="G1915">
        <v>6700</v>
      </c>
      <c r="H1915" t="s">
        <v>124</v>
      </c>
      <c r="I1915" t="s">
        <v>177</v>
      </c>
    </row>
    <row r="1916" spans="1:9" ht="15" customHeight="1" x14ac:dyDescent="0.35">
      <c r="A1916">
        <v>2019</v>
      </c>
      <c r="B1916" t="s">
        <v>151</v>
      </c>
      <c r="C1916">
        <v>4</v>
      </c>
      <c r="D1916" t="s">
        <v>98</v>
      </c>
      <c r="E1916">
        <v>8369</v>
      </c>
      <c r="F1916">
        <v>9707</v>
      </c>
      <c r="G1916">
        <v>5195</v>
      </c>
      <c r="H1916" t="s">
        <v>71</v>
      </c>
      <c r="I1916" t="s">
        <v>177</v>
      </c>
    </row>
    <row r="1917" spans="1:9" ht="15" customHeight="1" x14ac:dyDescent="0.35">
      <c r="A1917">
        <v>2019</v>
      </c>
      <c r="B1917" t="s">
        <v>152</v>
      </c>
      <c r="C1917">
        <v>5</v>
      </c>
      <c r="D1917" t="s">
        <v>98</v>
      </c>
      <c r="E1917">
        <v>8827</v>
      </c>
      <c r="F1917">
        <v>9763</v>
      </c>
      <c r="G1917">
        <v>7287</v>
      </c>
      <c r="H1917" t="s">
        <v>71</v>
      </c>
      <c r="I1917" t="s">
        <v>177</v>
      </c>
    </row>
    <row r="1918" spans="1:9" ht="15" customHeight="1" x14ac:dyDescent="0.35">
      <c r="A1918">
        <v>2019</v>
      </c>
      <c r="B1918" t="s">
        <v>153</v>
      </c>
      <c r="C1918">
        <v>6</v>
      </c>
      <c r="D1918" t="s">
        <v>98</v>
      </c>
      <c r="E1918">
        <v>8351</v>
      </c>
      <c r="F1918">
        <v>9920</v>
      </c>
      <c r="G1918">
        <v>6128</v>
      </c>
      <c r="H1918" t="s">
        <v>71</v>
      </c>
      <c r="I1918" t="s">
        <v>177</v>
      </c>
    </row>
    <row r="1919" spans="1:9" ht="15" customHeight="1" x14ac:dyDescent="0.35">
      <c r="A1919">
        <v>2019</v>
      </c>
      <c r="B1919" t="s">
        <v>154</v>
      </c>
      <c r="C1919">
        <v>7</v>
      </c>
      <c r="D1919" t="s">
        <v>98</v>
      </c>
      <c r="E1919">
        <v>7609</v>
      </c>
      <c r="F1919">
        <v>9668</v>
      </c>
      <c r="G1919">
        <v>5770</v>
      </c>
      <c r="H1919" t="s">
        <v>71</v>
      </c>
      <c r="I1919" t="s">
        <v>177</v>
      </c>
    </row>
    <row r="1920" spans="1:9" ht="15" customHeight="1" x14ac:dyDescent="0.35">
      <c r="A1920">
        <v>2019</v>
      </c>
      <c r="B1920" t="s">
        <v>155</v>
      </c>
      <c r="C1920">
        <v>8</v>
      </c>
      <c r="D1920" t="s">
        <v>98</v>
      </c>
      <c r="E1920">
        <v>7197</v>
      </c>
      <c r="F1920">
        <v>8510</v>
      </c>
      <c r="G1920">
        <v>4673</v>
      </c>
      <c r="H1920" t="s">
        <v>71</v>
      </c>
      <c r="I1920" t="s">
        <v>177</v>
      </c>
    </row>
    <row r="1921" spans="1:9" ht="15" customHeight="1" x14ac:dyDescent="0.35">
      <c r="A1921">
        <v>2019</v>
      </c>
      <c r="B1921" t="s">
        <v>156</v>
      </c>
      <c r="C1921">
        <v>9</v>
      </c>
      <c r="D1921" t="s">
        <v>98</v>
      </c>
      <c r="E1921">
        <v>7076</v>
      </c>
      <c r="F1921">
        <v>8610</v>
      </c>
      <c r="G1921">
        <v>5533</v>
      </c>
      <c r="H1921" t="s">
        <v>71</v>
      </c>
      <c r="I1921" t="s">
        <v>177</v>
      </c>
    </row>
    <row r="1922" spans="1:9" ht="15" customHeight="1" x14ac:dyDescent="0.35">
      <c r="A1922">
        <v>2019</v>
      </c>
      <c r="B1922" t="s">
        <v>157</v>
      </c>
      <c r="C1922">
        <v>10</v>
      </c>
      <c r="D1922" t="s">
        <v>98</v>
      </c>
      <c r="E1922">
        <v>7089</v>
      </c>
      <c r="F1922">
        <v>8676</v>
      </c>
      <c r="G1922">
        <v>5625</v>
      </c>
      <c r="H1922" t="s">
        <v>71</v>
      </c>
      <c r="I1922" t="s">
        <v>177</v>
      </c>
    </row>
    <row r="1923" spans="1:9" ht="15" customHeight="1" x14ac:dyDescent="0.35">
      <c r="A1923">
        <v>2019</v>
      </c>
      <c r="B1923" t="s">
        <v>158</v>
      </c>
      <c r="C1923">
        <v>11</v>
      </c>
      <c r="D1923" t="s">
        <v>98</v>
      </c>
      <c r="E1923">
        <v>9162</v>
      </c>
      <c r="F1923">
        <v>12770</v>
      </c>
      <c r="G1923">
        <v>6573</v>
      </c>
      <c r="H1923" t="s">
        <v>71</v>
      </c>
      <c r="I1923" t="s">
        <v>177</v>
      </c>
    </row>
    <row r="1924" spans="1:9" ht="15" customHeight="1" x14ac:dyDescent="0.35">
      <c r="A1924">
        <v>2019</v>
      </c>
      <c r="B1924" t="s">
        <v>159</v>
      </c>
      <c r="C1924">
        <v>12</v>
      </c>
      <c r="D1924" t="s">
        <v>98</v>
      </c>
      <c r="E1924">
        <v>9889</v>
      </c>
      <c r="F1924">
        <v>14171</v>
      </c>
      <c r="G1924">
        <v>6026</v>
      </c>
      <c r="H1924" t="s">
        <v>71</v>
      </c>
      <c r="I1924" t="s">
        <v>177</v>
      </c>
    </row>
    <row r="1925" spans="1:9" ht="15" customHeight="1" x14ac:dyDescent="0.35">
      <c r="A1925">
        <v>2020</v>
      </c>
      <c r="B1925" t="s">
        <v>147</v>
      </c>
      <c r="C1925">
        <v>1</v>
      </c>
      <c r="D1925" t="s">
        <v>98</v>
      </c>
      <c r="E1925">
        <v>9796</v>
      </c>
      <c r="F1925">
        <v>14328</v>
      </c>
      <c r="G1925">
        <v>6148</v>
      </c>
      <c r="H1925" t="s">
        <v>71</v>
      </c>
      <c r="I1925" t="s">
        <v>177</v>
      </c>
    </row>
    <row r="1926" spans="1:9" ht="15" customHeight="1" x14ac:dyDescent="0.35">
      <c r="A1926">
        <v>2020</v>
      </c>
      <c r="B1926" t="s">
        <v>149</v>
      </c>
      <c r="C1926">
        <v>2</v>
      </c>
      <c r="D1926" t="s">
        <v>98</v>
      </c>
      <c r="E1926">
        <v>10734</v>
      </c>
      <c r="F1926">
        <v>14553</v>
      </c>
      <c r="G1926">
        <v>7564</v>
      </c>
      <c r="H1926" t="s">
        <v>71</v>
      </c>
      <c r="I1926" t="s">
        <v>177</v>
      </c>
    </row>
    <row r="1927" spans="1:9" ht="15" customHeight="1" x14ac:dyDescent="0.35">
      <c r="A1927">
        <v>2020</v>
      </c>
      <c r="B1927" t="s">
        <v>150</v>
      </c>
      <c r="C1927">
        <v>3</v>
      </c>
      <c r="D1927" t="s">
        <v>98</v>
      </c>
      <c r="E1927">
        <v>7963</v>
      </c>
      <c r="F1927">
        <v>11792</v>
      </c>
      <c r="G1927">
        <v>4946</v>
      </c>
      <c r="H1927" t="s">
        <v>71</v>
      </c>
      <c r="I1927" t="s">
        <v>177</v>
      </c>
    </row>
    <row r="1928" spans="1:9" ht="15" customHeight="1" x14ac:dyDescent="0.35">
      <c r="A1928">
        <v>2020</v>
      </c>
      <c r="B1928" t="s">
        <v>151</v>
      </c>
      <c r="C1928">
        <v>4</v>
      </c>
      <c r="D1928" t="s">
        <v>98</v>
      </c>
      <c r="E1928">
        <v>7292</v>
      </c>
      <c r="F1928">
        <v>8957</v>
      </c>
      <c r="G1928">
        <v>5658</v>
      </c>
      <c r="H1928" t="s">
        <v>72</v>
      </c>
      <c r="I1928" t="s">
        <v>177</v>
      </c>
    </row>
    <row r="1929" spans="1:9" ht="15" customHeight="1" x14ac:dyDescent="0.35">
      <c r="A1929">
        <v>2020</v>
      </c>
      <c r="B1929" t="s">
        <v>152</v>
      </c>
      <c r="C1929">
        <v>5</v>
      </c>
      <c r="D1929" t="s">
        <v>98</v>
      </c>
      <c r="E1929">
        <v>8207</v>
      </c>
      <c r="F1929">
        <v>9931</v>
      </c>
      <c r="G1929">
        <v>5482</v>
      </c>
      <c r="H1929" t="s">
        <v>72</v>
      </c>
      <c r="I1929" t="s">
        <v>177</v>
      </c>
    </row>
    <row r="1930" spans="1:9" ht="15" customHeight="1" x14ac:dyDescent="0.35">
      <c r="A1930">
        <v>2020</v>
      </c>
      <c r="B1930" t="s">
        <v>153</v>
      </c>
      <c r="C1930">
        <v>6</v>
      </c>
      <c r="D1930" t="s">
        <v>98</v>
      </c>
      <c r="E1930">
        <v>7194</v>
      </c>
      <c r="F1930">
        <v>8873</v>
      </c>
      <c r="G1930">
        <v>5325</v>
      </c>
      <c r="H1930" t="s">
        <v>72</v>
      </c>
      <c r="I1930" t="s">
        <v>177</v>
      </c>
    </row>
    <row r="1931" spans="1:9" ht="15" customHeight="1" x14ac:dyDescent="0.35">
      <c r="A1931">
        <v>2020</v>
      </c>
      <c r="B1931" t="s">
        <v>154</v>
      </c>
      <c r="C1931">
        <v>7</v>
      </c>
      <c r="D1931" t="s">
        <v>98</v>
      </c>
      <c r="E1931">
        <v>8592</v>
      </c>
      <c r="F1931">
        <v>10087</v>
      </c>
      <c r="G1931">
        <v>6788</v>
      </c>
      <c r="H1931" t="s">
        <v>72</v>
      </c>
      <c r="I1931" t="s">
        <v>177</v>
      </c>
    </row>
    <row r="1932" spans="1:9" ht="15" customHeight="1" x14ac:dyDescent="0.35">
      <c r="A1932">
        <v>2020</v>
      </c>
      <c r="B1932" t="s">
        <v>155</v>
      </c>
      <c r="C1932">
        <v>8</v>
      </c>
      <c r="D1932" t="s">
        <v>98</v>
      </c>
      <c r="E1932">
        <v>7793</v>
      </c>
      <c r="F1932">
        <v>9747</v>
      </c>
      <c r="G1932">
        <v>5738</v>
      </c>
      <c r="H1932" t="s">
        <v>72</v>
      </c>
      <c r="I1932" t="s">
        <v>177</v>
      </c>
    </row>
    <row r="1933" spans="1:9" ht="15" customHeight="1" x14ac:dyDescent="0.35">
      <c r="A1933">
        <v>2020</v>
      </c>
      <c r="B1933" t="s">
        <v>156</v>
      </c>
      <c r="C1933">
        <v>9</v>
      </c>
      <c r="D1933" t="s">
        <v>98</v>
      </c>
      <c r="E1933">
        <v>8798</v>
      </c>
      <c r="F1933">
        <v>9991</v>
      </c>
      <c r="G1933">
        <v>7291</v>
      </c>
      <c r="H1933" t="s">
        <v>72</v>
      </c>
      <c r="I1933" t="s">
        <v>177</v>
      </c>
    </row>
    <row r="1934" spans="1:9" ht="15" customHeight="1" x14ac:dyDescent="0.35">
      <c r="A1934">
        <v>2020</v>
      </c>
      <c r="B1934" t="s">
        <v>157</v>
      </c>
      <c r="C1934">
        <v>10</v>
      </c>
      <c r="D1934" t="s">
        <v>98</v>
      </c>
      <c r="E1934">
        <v>9821</v>
      </c>
      <c r="F1934">
        <v>12477</v>
      </c>
      <c r="G1934">
        <v>8047</v>
      </c>
      <c r="H1934" t="s">
        <v>72</v>
      </c>
      <c r="I1934" t="s">
        <v>177</v>
      </c>
    </row>
    <row r="1935" spans="1:9" ht="15" customHeight="1" x14ac:dyDescent="0.35">
      <c r="A1935">
        <v>2020</v>
      </c>
      <c r="B1935" t="s">
        <v>158</v>
      </c>
      <c r="C1935">
        <v>11</v>
      </c>
      <c r="D1935" t="s">
        <v>98</v>
      </c>
      <c r="E1935">
        <v>11302</v>
      </c>
      <c r="F1935">
        <v>14058</v>
      </c>
      <c r="G1935">
        <v>8165</v>
      </c>
      <c r="H1935" t="s">
        <v>72</v>
      </c>
      <c r="I1935" t="s">
        <v>177</v>
      </c>
    </row>
    <row r="1936" spans="1:9" ht="15" customHeight="1" x14ac:dyDescent="0.35">
      <c r="A1936">
        <v>2020</v>
      </c>
      <c r="B1936" t="s">
        <v>159</v>
      </c>
      <c r="C1936">
        <v>12</v>
      </c>
      <c r="D1936" t="s">
        <v>98</v>
      </c>
      <c r="E1936">
        <v>11386</v>
      </c>
      <c r="F1936">
        <v>15332</v>
      </c>
      <c r="G1936">
        <v>6926</v>
      </c>
      <c r="H1936" t="s">
        <v>72</v>
      </c>
      <c r="I1936" t="s">
        <v>177</v>
      </c>
    </row>
    <row r="1937" spans="1:9" ht="15" customHeight="1" x14ac:dyDescent="0.35">
      <c r="A1937">
        <v>2021</v>
      </c>
      <c r="B1937" t="s">
        <v>147</v>
      </c>
      <c r="C1937">
        <v>1</v>
      </c>
      <c r="D1937" t="s">
        <v>98</v>
      </c>
      <c r="E1937">
        <v>11579</v>
      </c>
      <c r="F1937">
        <v>15182</v>
      </c>
      <c r="G1937">
        <v>7865</v>
      </c>
      <c r="H1937" t="s">
        <v>72</v>
      </c>
      <c r="I1937" t="s">
        <v>177</v>
      </c>
    </row>
    <row r="1938" spans="1:9" ht="15" customHeight="1" x14ac:dyDescent="0.35">
      <c r="A1938">
        <v>2021</v>
      </c>
      <c r="B1938" t="s">
        <v>149</v>
      </c>
      <c r="C1938">
        <v>2</v>
      </c>
      <c r="D1938" t="s">
        <v>98</v>
      </c>
      <c r="E1938">
        <v>10983</v>
      </c>
      <c r="F1938">
        <v>14705</v>
      </c>
      <c r="G1938">
        <v>7196</v>
      </c>
      <c r="H1938" t="s">
        <v>72</v>
      </c>
      <c r="I1938" t="s">
        <v>177</v>
      </c>
    </row>
    <row r="1939" spans="1:9" ht="15" customHeight="1" x14ac:dyDescent="0.35">
      <c r="A1939">
        <v>2021</v>
      </c>
      <c r="B1939" t="s">
        <v>150</v>
      </c>
      <c r="C1939">
        <v>3</v>
      </c>
      <c r="D1939" t="s">
        <v>98</v>
      </c>
      <c r="E1939">
        <v>9429</v>
      </c>
      <c r="F1939">
        <v>12784</v>
      </c>
      <c r="G1939">
        <v>5610</v>
      </c>
      <c r="H1939" t="s">
        <v>72</v>
      </c>
      <c r="I1939" t="s">
        <v>177</v>
      </c>
    </row>
    <row r="1940" spans="1:9" ht="15" customHeight="1" x14ac:dyDescent="0.35">
      <c r="A1940">
        <v>2021</v>
      </c>
      <c r="B1940" t="s">
        <v>151</v>
      </c>
      <c r="C1940">
        <v>4</v>
      </c>
      <c r="D1940" t="s">
        <v>98</v>
      </c>
      <c r="E1940">
        <v>9498</v>
      </c>
      <c r="F1940">
        <v>11136</v>
      </c>
      <c r="G1940">
        <v>7743</v>
      </c>
      <c r="H1940" t="s">
        <v>73</v>
      </c>
      <c r="I1940" t="s">
        <v>177</v>
      </c>
    </row>
    <row r="1941" spans="1:9" ht="15" customHeight="1" x14ac:dyDescent="0.35">
      <c r="A1941">
        <v>2021</v>
      </c>
      <c r="B1941" t="s">
        <v>152</v>
      </c>
      <c r="C1941">
        <v>5</v>
      </c>
      <c r="D1941" t="s">
        <v>98</v>
      </c>
      <c r="E1941">
        <v>8540</v>
      </c>
      <c r="F1941">
        <v>10106</v>
      </c>
      <c r="G1941">
        <v>6128</v>
      </c>
      <c r="H1941" t="s">
        <v>73</v>
      </c>
      <c r="I1941" t="s">
        <v>177</v>
      </c>
    </row>
    <row r="1942" spans="1:9" ht="15" customHeight="1" x14ac:dyDescent="0.35">
      <c r="A1942">
        <v>2021</v>
      </c>
      <c r="B1942" t="s">
        <v>153</v>
      </c>
      <c r="C1942">
        <v>6</v>
      </c>
      <c r="D1942" t="s">
        <v>98</v>
      </c>
      <c r="E1942">
        <v>8102</v>
      </c>
      <c r="F1942">
        <v>9315</v>
      </c>
      <c r="G1942">
        <v>6536</v>
      </c>
      <c r="H1942" t="s">
        <v>73</v>
      </c>
      <c r="I1942" t="s">
        <v>177</v>
      </c>
    </row>
    <row r="1943" spans="1:9" ht="15" customHeight="1" x14ac:dyDescent="0.35">
      <c r="A1943">
        <v>2021</v>
      </c>
      <c r="B1943" t="s">
        <v>154</v>
      </c>
      <c r="C1943">
        <v>7</v>
      </c>
      <c r="D1943" t="s">
        <v>98</v>
      </c>
      <c r="E1943">
        <v>8926</v>
      </c>
      <c r="F1943">
        <v>10996</v>
      </c>
      <c r="G1943">
        <v>6782</v>
      </c>
      <c r="H1943" t="s">
        <v>73</v>
      </c>
      <c r="I1943" t="s">
        <v>177</v>
      </c>
    </row>
    <row r="1944" spans="1:9" ht="15" customHeight="1" x14ac:dyDescent="0.35">
      <c r="A1944">
        <v>2021</v>
      </c>
      <c r="B1944" t="s">
        <v>155</v>
      </c>
      <c r="C1944">
        <v>8</v>
      </c>
      <c r="D1944" t="s">
        <v>98</v>
      </c>
      <c r="E1944">
        <v>8541</v>
      </c>
      <c r="F1944">
        <v>10539</v>
      </c>
      <c r="G1944">
        <v>5856</v>
      </c>
      <c r="H1944" t="s">
        <v>73</v>
      </c>
      <c r="I1944" t="s">
        <v>177</v>
      </c>
    </row>
    <row r="1945" spans="1:9" ht="15" customHeight="1" x14ac:dyDescent="0.35">
      <c r="A1945">
        <v>2021</v>
      </c>
      <c r="B1945" t="s">
        <v>156</v>
      </c>
      <c r="C1945">
        <v>9</v>
      </c>
      <c r="D1945" t="s">
        <v>98</v>
      </c>
      <c r="E1945">
        <v>8744</v>
      </c>
      <c r="F1945">
        <v>10317</v>
      </c>
      <c r="G1945">
        <v>6716</v>
      </c>
      <c r="H1945" t="s">
        <v>73</v>
      </c>
      <c r="I1945" t="s">
        <v>177</v>
      </c>
    </row>
    <row r="1946" spans="1:9" ht="15" customHeight="1" x14ac:dyDescent="0.35">
      <c r="A1946">
        <v>2021</v>
      </c>
      <c r="B1946" t="s">
        <v>157</v>
      </c>
      <c r="C1946">
        <v>10</v>
      </c>
      <c r="D1946" t="s">
        <v>98</v>
      </c>
      <c r="E1946">
        <v>8945</v>
      </c>
      <c r="F1946">
        <v>10744</v>
      </c>
      <c r="G1946">
        <v>7069</v>
      </c>
      <c r="H1946" t="s">
        <v>73</v>
      </c>
      <c r="I1946" t="s">
        <v>177</v>
      </c>
    </row>
    <row r="1947" spans="1:9" ht="15" customHeight="1" x14ac:dyDescent="0.35">
      <c r="A1947">
        <v>2021</v>
      </c>
      <c r="B1947" t="s">
        <v>158</v>
      </c>
      <c r="C1947">
        <v>11</v>
      </c>
      <c r="D1947" t="s">
        <v>98</v>
      </c>
      <c r="E1947">
        <v>10778</v>
      </c>
      <c r="F1947">
        <v>14289</v>
      </c>
      <c r="G1947">
        <v>7134</v>
      </c>
      <c r="H1947" t="s">
        <v>73</v>
      </c>
      <c r="I1947" t="s">
        <v>177</v>
      </c>
    </row>
    <row r="1948" spans="1:9" ht="15" customHeight="1" x14ac:dyDescent="0.35">
      <c r="A1948">
        <v>2021</v>
      </c>
      <c r="B1948" t="s">
        <v>159</v>
      </c>
      <c r="C1948">
        <v>12</v>
      </c>
      <c r="D1948" t="s">
        <v>98</v>
      </c>
      <c r="E1948">
        <v>11555</v>
      </c>
      <c r="F1948">
        <v>15540</v>
      </c>
      <c r="G1948">
        <v>6334</v>
      </c>
      <c r="H1948" t="s">
        <v>73</v>
      </c>
      <c r="I1948" t="s">
        <v>177</v>
      </c>
    </row>
    <row r="1949" spans="1:9" ht="15" customHeight="1" x14ac:dyDescent="0.35">
      <c r="A1949">
        <v>2022</v>
      </c>
      <c r="B1949" t="s">
        <v>147</v>
      </c>
      <c r="C1949">
        <v>1</v>
      </c>
      <c r="D1949" t="s">
        <v>98</v>
      </c>
      <c r="E1949">
        <v>10017</v>
      </c>
      <c r="F1949">
        <v>15036</v>
      </c>
      <c r="G1949">
        <v>5395</v>
      </c>
      <c r="H1949" t="s">
        <v>73</v>
      </c>
      <c r="I1949" t="s">
        <v>177</v>
      </c>
    </row>
    <row r="1950" spans="1:9" ht="15" customHeight="1" x14ac:dyDescent="0.35">
      <c r="A1950">
        <v>2022</v>
      </c>
      <c r="B1950" t="s">
        <v>149</v>
      </c>
      <c r="C1950">
        <v>2</v>
      </c>
      <c r="D1950" t="s">
        <v>98</v>
      </c>
      <c r="E1950">
        <v>12037</v>
      </c>
      <c r="F1950">
        <v>15305</v>
      </c>
      <c r="G1950">
        <v>8362</v>
      </c>
      <c r="H1950" t="s">
        <v>73</v>
      </c>
      <c r="I1950" t="s">
        <v>177</v>
      </c>
    </row>
    <row r="1951" spans="1:9" ht="15" customHeight="1" x14ac:dyDescent="0.35">
      <c r="A1951">
        <v>2022</v>
      </c>
      <c r="B1951" t="s">
        <v>150</v>
      </c>
      <c r="C1951">
        <v>3</v>
      </c>
      <c r="D1951" t="s">
        <v>98</v>
      </c>
      <c r="E1951">
        <v>10879</v>
      </c>
      <c r="F1951">
        <v>13912</v>
      </c>
      <c r="G1951">
        <v>7630</v>
      </c>
      <c r="H1951" t="s">
        <v>73</v>
      </c>
      <c r="I1951" t="s">
        <v>177</v>
      </c>
    </row>
    <row r="1952" spans="1:9" ht="15" customHeight="1" x14ac:dyDescent="0.35">
      <c r="A1952">
        <v>2022</v>
      </c>
      <c r="B1952" t="s">
        <v>151</v>
      </c>
      <c r="C1952">
        <v>4</v>
      </c>
      <c r="D1952" t="s">
        <v>98</v>
      </c>
      <c r="E1952">
        <v>10942</v>
      </c>
      <c r="F1952">
        <v>12317</v>
      </c>
      <c r="G1952">
        <v>9422</v>
      </c>
      <c r="H1952" t="s">
        <v>74</v>
      </c>
      <c r="I1952" t="s">
        <v>177</v>
      </c>
    </row>
    <row r="1953" spans="1:9" ht="15" customHeight="1" x14ac:dyDescent="0.35">
      <c r="A1953">
        <v>2022</v>
      </c>
      <c r="B1953" t="s">
        <v>152</v>
      </c>
      <c r="C1953">
        <v>5</v>
      </c>
      <c r="D1953" t="s">
        <v>98</v>
      </c>
      <c r="E1953">
        <v>10681</v>
      </c>
      <c r="F1953">
        <v>12312</v>
      </c>
      <c r="G1953">
        <v>7037</v>
      </c>
      <c r="H1953" t="s">
        <v>74</v>
      </c>
      <c r="I1953" t="s">
        <v>177</v>
      </c>
    </row>
    <row r="1954" spans="1:9" ht="15" customHeight="1" x14ac:dyDescent="0.35">
      <c r="A1954">
        <v>2022</v>
      </c>
      <c r="B1954" t="s">
        <v>153</v>
      </c>
      <c r="C1954">
        <v>6</v>
      </c>
      <c r="D1954" t="s">
        <v>98</v>
      </c>
      <c r="E1954">
        <v>9524</v>
      </c>
      <c r="F1954">
        <v>11263</v>
      </c>
      <c r="G1954">
        <v>7283</v>
      </c>
      <c r="H1954" t="s">
        <v>74</v>
      </c>
      <c r="I1954" t="s">
        <v>177</v>
      </c>
    </row>
    <row r="1955" spans="1:9" ht="15" customHeight="1" x14ac:dyDescent="0.35">
      <c r="A1955">
        <v>2022</v>
      </c>
      <c r="B1955" t="s">
        <v>154</v>
      </c>
      <c r="C1955">
        <v>7</v>
      </c>
      <c r="D1955" t="s">
        <v>98</v>
      </c>
      <c r="E1955">
        <v>8653</v>
      </c>
      <c r="F1955">
        <v>9982</v>
      </c>
      <c r="G1955">
        <v>7606</v>
      </c>
      <c r="H1955" t="s">
        <v>74</v>
      </c>
      <c r="I1955" t="s">
        <v>177</v>
      </c>
    </row>
    <row r="1956" spans="1:9" ht="15" customHeight="1" x14ac:dyDescent="0.35">
      <c r="A1956">
        <v>2022</v>
      </c>
      <c r="B1956" t="s">
        <v>155</v>
      </c>
      <c r="C1956">
        <v>8</v>
      </c>
      <c r="D1956" t="s">
        <v>98</v>
      </c>
      <c r="E1956">
        <v>8578</v>
      </c>
      <c r="F1956">
        <v>10578</v>
      </c>
      <c r="G1956">
        <v>5648</v>
      </c>
      <c r="H1956" t="s">
        <v>74</v>
      </c>
      <c r="I1956" t="s">
        <v>177</v>
      </c>
    </row>
    <row r="1957" spans="1:9" ht="15" customHeight="1" x14ac:dyDescent="0.35">
      <c r="A1957">
        <v>2022</v>
      </c>
      <c r="B1957" t="s">
        <v>156</v>
      </c>
      <c r="C1957">
        <v>9</v>
      </c>
      <c r="D1957" t="s">
        <v>98</v>
      </c>
      <c r="E1957">
        <v>8932</v>
      </c>
      <c r="F1957">
        <v>10611</v>
      </c>
      <c r="G1957">
        <v>6972</v>
      </c>
      <c r="H1957" t="s">
        <v>74</v>
      </c>
      <c r="I1957" t="s">
        <v>177</v>
      </c>
    </row>
    <row r="1958" spans="1:9" ht="15" customHeight="1" x14ac:dyDescent="0.35">
      <c r="A1958">
        <v>2022</v>
      </c>
      <c r="B1958" t="s">
        <v>157</v>
      </c>
      <c r="C1958">
        <v>10</v>
      </c>
      <c r="D1958" t="s">
        <v>98</v>
      </c>
      <c r="E1958">
        <v>8506</v>
      </c>
      <c r="F1958">
        <v>11459</v>
      </c>
      <c r="G1958">
        <v>6375</v>
      </c>
      <c r="H1958" t="s">
        <v>74</v>
      </c>
      <c r="I1958" t="s">
        <v>177</v>
      </c>
    </row>
    <row r="1959" spans="1:9" ht="15" customHeight="1" x14ac:dyDescent="0.35">
      <c r="A1959">
        <v>2022</v>
      </c>
      <c r="B1959" t="s">
        <v>158</v>
      </c>
      <c r="C1959">
        <v>11</v>
      </c>
      <c r="D1959" t="s">
        <v>98</v>
      </c>
      <c r="E1959">
        <v>11983</v>
      </c>
      <c r="F1959">
        <v>15703</v>
      </c>
      <c r="G1959">
        <v>8202</v>
      </c>
      <c r="H1959" t="s">
        <v>74</v>
      </c>
      <c r="I1959" t="s">
        <v>177</v>
      </c>
    </row>
    <row r="1960" spans="1:9" ht="15" customHeight="1" x14ac:dyDescent="0.35">
      <c r="A1960">
        <v>2022</v>
      </c>
      <c r="B1960" t="s">
        <v>159</v>
      </c>
      <c r="C1960">
        <v>12</v>
      </c>
      <c r="D1960" t="s">
        <v>98</v>
      </c>
      <c r="E1960">
        <v>12789</v>
      </c>
      <c r="F1960">
        <v>16979</v>
      </c>
      <c r="G1960">
        <v>9169</v>
      </c>
      <c r="H1960" t="s">
        <v>74</v>
      </c>
      <c r="I1960" t="s">
        <v>177</v>
      </c>
    </row>
    <row r="1961" spans="1:9" ht="15" customHeight="1" x14ac:dyDescent="0.35">
      <c r="A1961">
        <v>2023</v>
      </c>
      <c r="B1961" t="s">
        <v>147</v>
      </c>
      <c r="C1961">
        <v>1</v>
      </c>
      <c r="D1961" t="s">
        <v>98</v>
      </c>
      <c r="E1961">
        <v>12581</v>
      </c>
      <c r="F1961">
        <v>17003</v>
      </c>
      <c r="G1961">
        <v>7615</v>
      </c>
      <c r="H1961" t="s">
        <v>74</v>
      </c>
      <c r="I1961" t="s">
        <v>177</v>
      </c>
    </row>
    <row r="1962" spans="1:9" ht="15" customHeight="1" x14ac:dyDescent="0.35">
      <c r="A1962">
        <v>2023</v>
      </c>
      <c r="B1962" t="s">
        <v>149</v>
      </c>
      <c r="C1962">
        <v>2</v>
      </c>
      <c r="D1962" t="s">
        <v>98</v>
      </c>
      <c r="E1962">
        <v>12449</v>
      </c>
      <c r="F1962">
        <v>15615</v>
      </c>
      <c r="G1962">
        <v>8498</v>
      </c>
      <c r="H1962" t="s">
        <v>74</v>
      </c>
      <c r="I1962" t="s">
        <v>177</v>
      </c>
    </row>
    <row r="1963" spans="1:9" ht="15" customHeight="1" x14ac:dyDescent="0.35">
      <c r="A1963">
        <v>2023</v>
      </c>
      <c r="B1963" t="s">
        <v>150</v>
      </c>
      <c r="C1963">
        <v>3</v>
      </c>
      <c r="D1963" t="s">
        <v>98</v>
      </c>
      <c r="E1963">
        <v>9675</v>
      </c>
      <c r="F1963">
        <v>14062</v>
      </c>
      <c r="G1963">
        <v>6284</v>
      </c>
      <c r="H1963" t="s">
        <v>74</v>
      </c>
      <c r="I1963" t="s">
        <v>177</v>
      </c>
    </row>
    <row r="1964" spans="1:9" ht="15" customHeight="1" x14ac:dyDescent="0.35">
      <c r="A1964">
        <v>2023</v>
      </c>
      <c r="B1964" t="s">
        <v>151</v>
      </c>
      <c r="C1964">
        <v>4</v>
      </c>
      <c r="D1964" t="s">
        <v>98</v>
      </c>
      <c r="E1964">
        <v>9797</v>
      </c>
      <c r="F1964">
        <v>11902</v>
      </c>
      <c r="G1964">
        <v>4872</v>
      </c>
      <c r="H1964" t="s">
        <v>75</v>
      </c>
      <c r="I1964" t="s">
        <v>177</v>
      </c>
    </row>
    <row r="1965" spans="1:9" ht="15" customHeight="1" x14ac:dyDescent="0.35">
      <c r="A1965">
        <v>2023</v>
      </c>
      <c r="B1965" t="s">
        <v>152</v>
      </c>
      <c r="C1965">
        <v>5</v>
      </c>
      <c r="D1965" t="s">
        <v>98</v>
      </c>
      <c r="E1965">
        <v>8356</v>
      </c>
      <c r="F1965">
        <v>9801</v>
      </c>
      <c r="G1965">
        <v>6577</v>
      </c>
      <c r="H1965" t="s">
        <v>75</v>
      </c>
      <c r="I1965" t="s">
        <v>177</v>
      </c>
    </row>
    <row r="1966" spans="1:9" ht="15" customHeight="1" x14ac:dyDescent="0.35">
      <c r="A1966">
        <v>2023</v>
      </c>
      <c r="B1966" t="s">
        <v>153</v>
      </c>
      <c r="C1966">
        <v>6</v>
      </c>
      <c r="D1966" t="s">
        <v>98</v>
      </c>
      <c r="E1966">
        <v>10055</v>
      </c>
      <c r="F1966">
        <v>11599</v>
      </c>
      <c r="G1966">
        <v>7671</v>
      </c>
      <c r="H1966" t="s">
        <v>75</v>
      </c>
      <c r="I1966" t="s">
        <v>177</v>
      </c>
    </row>
    <row r="1967" spans="1:9" ht="15" customHeight="1" x14ac:dyDescent="0.35">
      <c r="A1967">
        <v>2023</v>
      </c>
      <c r="B1967" t="s">
        <v>154</v>
      </c>
      <c r="C1967">
        <v>7</v>
      </c>
      <c r="D1967" t="s">
        <v>98</v>
      </c>
      <c r="E1967">
        <v>9892</v>
      </c>
      <c r="F1967">
        <v>11821</v>
      </c>
      <c r="G1967">
        <v>7990</v>
      </c>
      <c r="H1967" t="s">
        <v>75</v>
      </c>
      <c r="I1967" t="s">
        <v>177</v>
      </c>
    </row>
    <row r="1968" spans="1:9" ht="15" customHeight="1" x14ac:dyDescent="0.35">
      <c r="A1968">
        <v>2023</v>
      </c>
      <c r="B1968" t="s">
        <v>155</v>
      </c>
      <c r="C1968">
        <v>8</v>
      </c>
      <c r="D1968" t="s">
        <v>98</v>
      </c>
      <c r="E1968">
        <v>10624</v>
      </c>
      <c r="F1968">
        <v>13507</v>
      </c>
      <c r="G1968">
        <v>7806</v>
      </c>
      <c r="H1968" t="s">
        <v>75</v>
      </c>
      <c r="I1968" t="s">
        <v>177</v>
      </c>
    </row>
    <row r="1969" spans="1:9" ht="15" customHeight="1" x14ac:dyDescent="0.35">
      <c r="A1969">
        <v>2023</v>
      </c>
      <c r="B1969" t="s">
        <v>156</v>
      </c>
      <c r="C1969">
        <v>9</v>
      </c>
      <c r="D1969" t="s">
        <v>98</v>
      </c>
      <c r="E1969">
        <v>10520</v>
      </c>
      <c r="F1969">
        <v>14700</v>
      </c>
      <c r="G1969">
        <v>7376</v>
      </c>
      <c r="H1969" t="s">
        <v>75</v>
      </c>
      <c r="I1969" t="s">
        <v>177</v>
      </c>
    </row>
    <row r="1970" spans="1:9" ht="15" customHeight="1" x14ac:dyDescent="0.35">
      <c r="A1970">
        <v>2023</v>
      </c>
      <c r="B1970" t="s">
        <v>157</v>
      </c>
      <c r="C1970">
        <v>10</v>
      </c>
      <c r="D1970" t="s">
        <v>98</v>
      </c>
      <c r="E1970">
        <v>12093</v>
      </c>
      <c r="F1970">
        <v>14782</v>
      </c>
      <c r="G1970">
        <v>9818</v>
      </c>
      <c r="H1970" t="s">
        <v>75</v>
      </c>
      <c r="I1970" t="s">
        <v>177</v>
      </c>
    </row>
    <row r="1971" spans="1:9" ht="15" customHeight="1" x14ac:dyDescent="0.35">
      <c r="A1971">
        <v>2023</v>
      </c>
      <c r="B1971" t="s">
        <v>158</v>
      </c>
      <c r="C1971">
        <v>11</v>
      </c>
      <c r="D1971" t="s">
        <v>98</v>
      </c>
      <c r="E1971">
        <v>12975</v>
      </c>
      <c r="F1971">
        <v>16653</v>
      </c>
      <c r="G1971">
        <v>6905</v>
      </c>
      <c r="H1971" t="s">
        <v>75</v>
      </c>
      <c r="I1971" t="s">
        <v>177</v>
      </c>
    </row>
    <row r="1972" spans="1:9" ht="15" customHeight="1" x14ac:dyDescent="0.35">
      <c r="A1972">
        <v>2023</v>
      </c>
      <c r="B1972" t="s">
        <v>159</v>
      </c>
      <c r="C1972">
        <v>12</v>
      </c>
      <c r="D1972" t="s">
        <v>98</v>
      </c>
      <c r="E1972">
        <v>11759</v>
      </c>
      <c r="F1972">
        <v>17329</v>
      </c>
      <c r="G1972">
        <v>5888</v>
      </c>
      <c r="H1972" t="s">
        <v>75</v>
      </c>
      <c r="I1972" t="s">
        <v>177</v>
      </c>
    </row>
    <row r="1973" spans="1:9" ht="15" customHeight="1" x14ac:dyDescent="0.35">
      <c r="A1973">
        <v>2024</v>
      </c>
      <c r="B1973" t="s">
        <v>147</v>
      </c>
      <c r="C1973">
        <v>1</v>
      </c>
      <c r="D1973" t="s">
        <v>98</v>
      </c>
      <c r="E1973">
        <v>12859</v>
      </c>
      <c r="F1973">
        <v>17341</v>
      </c>
      <c r="G1973">
        <v>7909</v>
      </c>
      <c r="H1973" t="s">
        <v>75</v>
      </c>
      <c r="I1973" t="s">
        <v>177</v>
      </c>
    </row>
    <row r="1974" spans="1:9" ht="15" customHeight="1" x14ac:dyDescent="0.35">
      <c r="A1974">
        <v>2024</v>
      </c>
      <c r="B1974" t="s">
        <v>149</v>
      </c>
      <c r="C1974">
        <v>2</v>
      </c>
      <c r="D1974" t="s">
        <v>98</v>
      </c>
      <c r="E1974">
        <v>12408</v>
      </c>
      <c r="F1974">
        <v>16790</v>
      </c>
      <c r="G1974">
        <v>7917</v>
      </c>
      <c r="H1974" t="s">
        <v>75</v>
      </c>
      <c r="I1974" t="s">
        <v>177</v>
      </c>
    </row>
    <row r="1975" spans="1:9" ht="15" customHeight="1" x14ac:dyDescent="0.35">
      <c r="A1975">
        <v>2024</v>
      </c>
      <c r="B1975" t="s">
        <v>150</v>
      </c>
      <c r="C1975">
        <v>3</v>
      </c>
      <c r="D1975" t="s">
        <v>98</v>
      </c>
      <c r="E1975">
        <v>10518</v>
      </c>
      <c r="F1975">
        <v>13253</v>
      </c>
      <c r="G1975">
        <v>7287</v>
      </c>
      <c r="H1975" t="s">
        <v>75</v>
      </c>
      <c r="I1975" t="s">
        <v>177</v>
      </c>
    </row>
    <row r="1976" spans="1:9" ht="15" customHeight="1" x14ac:dyDescent="0.35">
      <c r="A1976">
        <v>2024</v>
      </c>
      <c r="B1976" t="s">
        <v>151</v>
      </c>
      <c r="C1976">
        <v>4</v>
      </c>
      <c r="D1976" t="s">
        <v>98</v>
      </c>
      <c r="E1976">
        <v>10503</v>
      </c>
      <c r="F1976">
        <v>13253</v>
      </c>
      <c r="G1976">
        <v>7287</v>
      </c>
      <c r="H1976" t="s">
        <v>77</v>
      </c>
      <c r="I1976" t="s">
        <v>177</v>
      </c>
    </row>
    <row r="1977" spans="1:9" ht="15" customHeight="1" x14ac:dyDescent="0.35">
      <c r="A1977">
        <v>2024</v>
      </c>
      <c r="B1977" t="s">
        <v>152</v>
      </c>
      <c r="C1977">
        <v>5</v>
      </c>
      <c r="D1977" t="s">
        <v>98</v>
      </c>
      <c r="E1977">
        <v>12140</v>
      </c>
      <c r="F1977">
        <v>14115</v>
      </c>
      <c r="G1977">
        <v>9273</v>
      </c>
      <c r="H1977" t="s">
        <v>77</v>
      </c>
      <c r="I1977" t="s">
        <v>177</v>
      </c>
    </row>
    <row r="1978" spans="1:9" ht="15" customHeight="1" x14ac:dyDescent="0.35">
      <c r="A1978">
        <v>2024</v>
      </c>
      <c r="B1978" t="s">
        <v>153</v>
      </c>
      <c r="C1978">
        <v>6</v>
      </c>
      <c r="D1978" t="s">
        <v>98</v>
      </c>
      <c r="E1978">
        <v>10983</v>
      </c>
      <c r="F1978">
        <v>13739</v>
      </c>
      <c r="G1978">
        <v>8302</v>
      </c>
      <c r="H1978" t="s">
        <v>77</v>
      </c>
      <c r="I1978" t="s">
        <v>177</v>
      </c>
    </row>
    <row r="1979" spans="1:9" ht="15" customHeight="1" x14ac:dyDescent="0.35">
      <c r="A1979">
        <v>2024</v>
      </c>
      <c r="B1979" t="s">
        <v>154</v>
      </c>
      <c r="C1979">
        <v>7</v>
      </c>
      <c r="D1979" t="s">
        <v>98</v>
      </c>
      <c r="E1979">
        <v>10309</v>
      </c>
      <c r="F1979">
        <v>12338</v>
      </c>
      <c r="G1979">
        <v>8249</v>
      </c>
      <c r="H1979" t="s">
        <v>77</v>
      </c>
      <c r="I1979" t="s">
        <v>177</v>
      </c>
    </row>
    <row r="1980" spans="1:9" ht="15" customHeight="1" x14ac:dyDescent="0.35">
      <c r="A1980">
        <v>2024</v>
      </c>
      <c r="B1980" t="s">
        <v>155</v>
      </c>
      <c r="C1980">
        <v>8</v>
      </c>
      <c r="D1980" t="s">
        <v>98</v>
      </c>
      <c r="E1980">
        <v>9768</v>
      </c>
      <c r="F1980">
        <v>11599</v>
      </c>
      <c r="G1980">
        <v>6950</v>
      </c>
      <c r="H1980" t="s">
        <v>77</v>
      </c>
      <c r="I1980" t="s">
        <v>177</v>
      </c>
    </row>
    <row r="1981" spans="1:9" ht="15" customHeight="1" x14ac:dyDescent="0.35">
      <c r="A1981">
        <v>2024</v>
      </c>
      <c r="B1981" t="s">
        <v>156</v>
      </c>
      <c r="C1981">
        <v>9</v>
      </c>
      <c r="D1981" t="s">
        <v>98</v>
      </c>
      <c r="E1981">
        <v>10226</v>
      </c>
      <c r="F1981">
        <v>12638</v>
      </c>
      <c r="G1981">
        <v>7383</v>
      </c>
      <c r="H1981" t="s">
        <v>77</v>
      </c>
      <c r="I1981" t="s">
        <v>177</v>
      </c>
    </row>
    <row r="1982" spans="1:9" ht="15" customHeight="1" x14ac:dyDescent="0.35">
      <c r="A1982">
        <v>2024</v>
      </c>
      <c r="B1982" t="s">
        <v>157</v>
      </c>
      <c r="C1982">
        <v>10</v>
      </c>
      <c r="D1982" t="s">
        <v>98</v>
      </c>
      <c r="E1982">
        <v>10836</v>
      </c>
      <c r="F1982">
        <v>13287</v>
      </c>
      <c r="G1982">
        <v>9001</v>
      </c>
      <c r="H1982" t="s">
        <v>77</v>
      </c>
      <c r="I1982" t="s">
        <v>177</v>
      </c>
    </row>
    <row r="1983" spans="1:9" ht="15" customHeight="1" x14ac:dyDescent="0.35">
      <c r="A1983">
        <v>2024</v>
      </c>
      <c r="B1983" t="s">
        <v>158</v>
      </c>
      <c r="C1983">
        <v>11</v>
      </c>
      <c r="D1983" t="s">
        <v>98</v>
      </c>
      <c r="E1983">
        <v>13088</v>
      </c>
      <c r="F1983">
        <v>17629</v>
      </c>
      <c r="G1983">
        <v>9132</v>
      </c>
      <c r="H1983" t="s">
        <v>77</v>
      </c>
      <c r="I1983" t="s">
        <v>177</v>
      </c>
    </row>
    <row r="1984" spans="1:9" ht="15" customHeight="1" x14ac:dyDescent="0.35">
      <c r="A1984">
        <v>2024</v>
      </c>
      <c r="B1984" t="s">
        <v>159</v>
      </c>
      <c r="C1984">
        <v>12</v>
      </c>
      <c r="D1984" t="s">
        <v>98</v>
      </c>
      <c r="E1984">
        <v>13506</v>
      </c>
      <c r="F1984">
        <v>18944</v>
      </c>
      <c r="G1984">
        <v>6782</v>
      </c>
      <c r="H1984" t="s">
        <v>77</v>
      </c>
      <c r="I1984" t="s">
        <v>177</v>
      </c>
    </row>
    <row r="1985" spans="1:9" ht="15" customHeight="1" x14ac:dyDescent="0.35">
      <c r="A1985">
        <v>2025</v>
      </c>
      <c r="B1985" t="s">
        <v>147</v>
      </c>
      <c r="C1985">
        <v>1</v>
      </c>
      <c r="D1985" t="s">
        <v>98</v>
      </c>
      <c r="E1985">
        <v>13465</v>
      </c>
      <c r="F1985">
        <v>18282</v>
      </c>
      <c r="G1985">
        <v>7369</v>
      </c>
      <c r="H1985" t="s">
        <v>77</v>
      </c>
      <c r="I1985" t="s">
        <v>177</v>
      </c>
    </row>
    <row r="1986" spans="1:9" ht="15" customHeight="1" x14ac:dyDescent="0.35">
      <c r="A1986">
        <v>2025</v>
      </c>
      <c r="B1986" t="s">
        <v>149</v>
      </c>
      <c r="C1986">
        <v>2</v>
      </c>
      <c r="D1986" t="s">
        <v>98</v>
      </c>
      <c r="E1986">
        <v>14326</v>
      </c>
      <c r="F1986">
        <v>18214</v>
      </c>
      <c r="G1986">
        <v>9329</v>
      </c>
      <c r="H1986" t="s">
        <v>77</v>
      </c>
      <c r="I1986" t="s">
        <v>177</v>
      </c>
    </row>
    <row r="1987" spans="1:9" ht="15" customHeight="1" x14ac:dyDescent="0.35">
      <c r="A1987">
        <v>2025</v>
      </c>
      <c r="B1987" t="s">
        <v>150</v>
      </c>
      <c r="C1987">
        <v>3</v>
      </c>
      <c r="D1987" t="s">
        <v>98</v>
      </c>
      <c r="E1987">
        <v>12068</v>
      </c>
      <c r="F1987">
        <v>16387</v>
      </c>
      <c r="G1987">
        <v>9238</v>
      </c>
      <c r="H1987" t="s">
        <v>77</v>
      </c>
      <c r="I1987" t="s">
        <v>177</v>
      </c>
    </row>
    <row r="1988" spans="1:9" ht="15" customHeight="1" x14ac:dyDescent="0.35">
      <c r="A1988">
        <v>2025</v>
      </c>
      <c r="B1988" t="s">
        <v>151</v>
      </c>
      <c r="C1988">
        <v>4</v>
      </c>
      <c r="D1988" t="s">
        <v>98</v>
      </c>
      <c r="E1988">
        <v>12206</v>
      </c>
      <c r="F1988">
        <v>14126</v>
      </c>
      <c r="G1988">
        <v>9712</v>
      </c>
      <c r="H1988" t="s">
        <v>78</v>
      </c>
      <c r="I1988" t="s">
        <v>177</v>
      </c>
    </row>
    <row r="1989" spans="1:9" ht="15" customHeight="1" x14ac:dyDescent="0.35">
      <c r="A1989">
        <v>2025</v>
      </c>
      <c r="B1989" t="s">
        <v>152</v>
      </c>
      <c r="C1989">
        <v>5</v>
      </c>
      <c r="D1989" t="s">
        <v>98</v>
      </c>
      <c r="E1989">
        <v>11342</v>
      </c>
      <c r="F1989">
        <v>13679</v>
      </c>
      <c r="G1989">
        <v>7896</v>
      </c>
      <c r="H1989" t="s">
        <v>78</v>
      </c>
      <c r="I1989" t="s">
        <v>177</v>
      </c>
    </row>
    <row r="1990" spans="1:9" ht="15" customHeight="1" x14ac:dyDescent="0.35">
      <c r="A1990">
        <v>2025</v>
      </c>
      <c r="B1990" t="s">
        <v>153</v>
      </c>
      <c r="C1990">
        <v>6</v>
      </c>
      <c r="D1990" t="s">
        <v>98</v>
      </c>
      <c r="E1990">
        <v>10293</v>
      </c>
      <c r="F1990">
        <v>12653</v>
      </c>
      <c r="G1990">
        <v>7610</v>
      </c>
      <c r="H1990" t="s">
        <v>78</v>
      </c>
      <c r="I1990" t="s">
        <v>177</v>
      </c>
    </row>
    <row r="1991" spans="1:9" ht="15" customHeight="1" x14ac:dyDescent="0.35">
      <c r="A1991">
        <v>2025</v>
      </c>
      <c r="B1991" t="s">
        <v>154</v>
      </c>
      <c r="C1991">
        <v>7</v>
      </c>
      <c r="D1991" t="s">
        <v>98</v>
      </c>
      <c r="E1991">
        <v>9842</v>
      </c>
      <c r="F1991">
        <v>12792</v>
      </c>
      <c r="G1991">
        <v>7954</v>
      </c>
      <c r="H1991" t="s">
        <v>78</v>
      </c>
      <c r="I1991" t="s">
        <v>177</v>
      </c>
    </row>
    <row r="1992" spans="1:9" ht="15" customHeight="1" x14ac:dyDescent="0.35">
      <c r="A1992">
        <v>2025</v>
      </c>
      <c r="B1992" t="s">
        <v>155</v>
      </c>
      <c r="C1992">
        <v>8</v>
      </c>
      <c r="D1992" t="s">
        <v>98</v>
      </c>
      <c r="E1992">
        <v>10741</v>
      </c>
      <c r="F1992">
        <v>12840</v>
      </c>
      <c r="G1992">
        <v>7918</v>
      </c>
      <c r="H1992" t="s">
        <v>78</v>
      </c>
      <c r="I1992" t="s">
        <v>177</v>
      </c>
    </row>
    <row r="1993" spans="1:9" ht="15" customHeight="1" x14ac:dyDescent="0.35">
      <c r="A1993">
        <v>2025</v>
      </c>
      <c r="B1993" t="s">
        <v>156</v>
      </c>
      <c r="C1993">
        <v>9</v>
      </c>
      <c r="D1993" t="s">
        <v>98</v>
      </c>
      <c r="E1993">
        <v>10805</v>
      </c>
      <c r="F1993">
        <v>13164</v>
      </c>
      <c r="G1993">
        <v>8699</v>
      </c>
      <c r="H1993" t="s">
        <v>78</v>
      </c>
      <c r="I1993" t="s">
        <v>177</v>
      </c>
    </row>
    <row r="1994" spans="1:9" ht="15" customHeight="1" x14ac:dyDescent="0.35">
      <c r="A1994">
        <v>2025</v>
      </c>
      <c r="B1994" t="s">
        <v>157</v>
      </c>
      <c r="C1994">
        <v>10</v>
      </c>
      <c r="D1994" t="s">
        <v>98</v>
      </c>
      <c r="E1994">
        <v>9988</v>
      </c>
      <c r="F1994">
        <v>13350</v>
      </c>
      <c r="G1994">
        <v>7038</v>
      </c>
      <c r="H1994" t="s">
        <v>78</v>
      </c>
      <c r="I1994" t="s">
        <v>177</v>
      </c>
    </row>
    <row r="1995" spans="1:9" ht="15" customHeight="1" x14ac:dyDescent="0.35">
      <c r="A1995">
        <v>2025</v>
      </c>
      <c r="B1995" t="s">
        <v>158</v>
      </c>
      <c r="C1995">
        <v>11</v>
      </c>
      <c r="D1995" t="s">
        <v>98</v>
      </c>
      <c r="E1995">
        <v>11259</v>
      </c>
      <c r="F1995">
        <v>15911</v>
      </c>
      <c r="G1995">
        <v>8252</v>
      </c>
      <c r="H1995" t="s">
        <v>78</v>
      </c>
      <c r="I1995" t="s">
        <v>177</v>
      </c>
    </row>
    <row r="1996" spans="1:9" ht="15" customHeight="1" x14ac:dyDescent="0.35">
      <c r="A1996">
        <v>2025</v>
      </c>
      <c r="B1996" t="s">
        <v>159</v>
      </c>
      <c r="C1996">
        <v>12</v>
      </c>
      <c r="D1996" t="s">
        <v>98</v>
      </c>
      <c r="E1996">
        <v>13943</v>
      </c>
      <c r="F1996">
        <v>19690</v>
      </c>
      <c r="G1996">
        <v>9447</v>
      </c>
      <c r="H1996" t="s">
        <v>78</v>
      </c>
      <c r="I1996" t="s">
        <v>177</v>
      </c>
    </row>
    <row r="1997" spans="1:9" ht="15" customHeight="1" x14ac:dyDescent="0.35">
      <c r="A1997">
        <v>2026</v>
      </c>
      <c r="B1997" t="s">
        <v>147</v>
      </c>
      <c r="C1997">
        <v>1</v>
      </c>
      <c r="D1997" t="s">
        <v>98</v>
      </c>
      <c r="E1997">
        <v>14045</v>
      </c>
      <c r="F1997">
        <v>19641</v>
      </c>
      <c r="G1997">
        <v>7207</v>
      </c>
      <c r="H1997" t="s">
        <v>78</v>
      </c>
      <c r="I1997" t="s">
        <v>177</v>
      </c>
    </row>
    <row r="1998" spans="1:9" ht="15" customHeight="1" x14ac:dyDescent="0.35">
      <c r="A1998">
        <v>2026</v>
      </c>
      <c r="B1998" t="s">
        <v>149</v>
      </c>
      <c r="C1998">
        <v>2</v>
      </c>
      <c r="D1998" t="s">
        <v>98</v>
      </c>
      <c r="E1998">
        <v>13503</v>
      </c>
      <c r="F1998">
        <v>19087</v>
      </c>
      <c r="G1998">
        <v>9240</v>
      </c>
      <c r="H1998" t="s">
        <v>78</v>
      </c>
      <c r="I1998" t="s">
        <v>177</v>
      </c>
    </row>
    <row r="1999" spans="1:9" ht="15" customHeight="1" x14ac:dyDescent="0.35">
      <c r="A1999">
        <v>2026</v>
      </c>
      <c r="B1999" t="s">
        <v>150</v>
      </c>
      <c r="C1999">
        <v>3</v>
      </c>
      <c r="D1999" t="s">
        <v>98</v>
      </c>
      <c r="E1999">
        <v>14045</v>
      </c>
      <c r="F1999">
        <v>19641</v>
      </c>
      <c r="G1999">
        <v>7207</v>
      </c>
      <c r="H1999" t="s">
        <v>78</v>
      </c>
      <c r="I1999" t="s">
        <v>177</v>
      </c>
    </row>
    <row r="2000" spans="1:9" ht="15" customHeight="1" x14ac:dyDescent="0.35">
      <c r="A2000">
        <v>2017</v>
      </c>
      <c r="B2000" t="s">
        <v>147</v>
      </c>
      <c r="C2000">
        <v>1</v>
      </c>
      <c r="D2000" t="s">
        <v>99</v>
      </c>
      <c r="E2000">
        <v>16290</v>
      </c>
      <c r="F2000">
        <v>19906</v>
      </c>
      <c r="G2000">
        <v>11827</v>
      </c>
      <c r="H2000" t="s">
        <v>122</v>
      </c>
      <c r="I2000" t="s">
        <v>178</v>
      </c>
    </row>
    <row r="2001" spans="1:9" ht="15" customHeight="1" x14ac:dyDescent="0.35">
      <c r="A2001">
        <v>2017</v>
      </c>
      <c r="B2001" t="s">
        <v>149</v>
      </c>
      <c r="C2001">
        <v>2</v>
      </c>
      <c r="D2001" t="s">
        <v>99</v>
      </c>
      <c r="E2001">
        <v>17874</v>
      </c>
      <c r="F2001">
        <v>21596</v>
      </c>
      <c r="G2001">
        <v>14106</v>
      </c>
      <c r="H2001" t="s">
        <v>122</v>
      </c>
      <c r="I2001" t="s">
        <v>178</v>
      </c>
    </row>
    <row r="2002" spans="1:9" ht="15" customHeight="1" x14ac:dyDescent="0.35">
      <c r="A2002">
        <v>2017</v>
      </c>
      <c r="B2002" t="s">
        <v>150</v>
      </c>
      <c r="C2002">
        <v>3</v>
      </c>
      <c r="D2002" t="s">
        <v>99</v>
      </c>
      <c r="E2002">
        <v>18911</v>
      </c>
      <c r="F2002">
        <v>22574</v>
      </c>
      <c r="G2002">
        <v>14581</v>
      </c>
      <c r="H2002" t="s">
        <v>122</v>
      </c>
      <c r="I2002" t="s">
        <v>178</v>
      </c>
    </row>
    <row r="2003" spans="1:9" ht="15" customHeight="1" x14ac:dyDescent="0.35">
      <c r="A2003">
        <v>2017</v>
      </c>
      <c r="B2003" t="s">
        <v>151</v>
      </c>
      <c r="C2003">
        <v>4</v>
      </c>
      <c r="D2003" t="s">
        <v>99</v>
      </c>
      <c r="E2003">
        <v>19571</v>
      </c>
      <c r="F2003">
        <v>22526</v>
      </c>
      <c r="G2003">
        <v>15770</v>
      </c>
      <c r="H2003" t="s">
        <v>123</v>
      </c>
      <c r="I2003" t="s">
        <v>178</v>
      </c>
    </row>
    <row r="2004" spans="1:9" ht="15" customHeight="1" x14ac:dyDescent="0.35">
      <c r="A2004">
        <v>2017</v>
      </c>
      <c r="B2004" t="s">
        <v>152</v>
      </c>
      <c r="C2004">
        <v>5</v>
      </c>
      <c r="D2004" t="s">
        <v>99</v>
      </c>
      <c r="E2004">
        <v>19284</v>
      </c>
      <c r="F2004">
        <v>22540</v>
      </c>
      <c r="G2004">
        <v>15100</v>
      </c>
      <c r="H2004" t="s">
        <v>123</v>
      </c>
      <c r="I2004" t="s">
        <v>178</v>
      </c>
    </row>
    <row r="2005" spans="1:9" ht="15" customHeight="1" x14ac:dyDescent="0.35">
      <c r="A2005">
        <v>2017</v>
      </c>
      <c r="B2005" t="s">
        <v>153</v>
      </c>
      <c r="C2005">
        <v>6</v>
      </c>
      <c r="D2005" t="s">
        <v>99</v>
      </c>
      <c r="E2005">
        <v>17356</v>
      </c>
      <c r="F2005">
        <v>21975</v>
      </c>
      <c r="G2005">
        <v>14043</v>
      </c>
      <c r="H2005" t="s">
        <v>123</v>
      </c>
      <c r="I2005" t="s">
        <v>178</v>
      </c>
    </row>
    <row r="2006" spans="1:9" ht="15" customHeight="1" x14ac:dyDescent="0.35">
      <c r="A2006">
        <v>2017</v>
      </c>
      <c r="B2006" t="s">
        <v>154</v>
      </c>
      <c r="C2006">
        <v>7</v>
      </c>
      <c r="D2006" t="s">
        <v>99</v>
      </c>
      <c r="E2006">
        <v>16597</v>
      </c>
      <c r="F2006">
        <v>20185</v>
      </c>
      <c r="G2006">
        <v>13655</v>
      </c>
      <c r="H2006" t="s">
        <v>123</v>
      </c>
      <c r="I2006" t="s">
        <v>178</v>
      </c>
    </row>
    <row r="2007" spans="1:9" ht="15" customHeight="1" x14ac:dyDescent="0.35">
      <c r="A2007">
        <v>2017</v>
      </c>
      <c r="B2007" t="s">
        <v>155</v>
      </c>
      <c r="C2007">
        <v>8</v>
      </c>
      <c r="D2007" t="s">
        <v>99</v>
      </c>
      <c r="E2007">
        <v>16803</v>
      </c>
      <c r="F2007">
        <v>20315</v>
      </c>
      <c r="G2007">
        <v>12462</v>
      </c>
      <c r="H2007" t="s">
        <v>123</v>
      </c>
      <c r="I2007" t="s">
        <v>178</v>
      </c>
    </row>
    <row r="2008" spans="1:9" ht="15" customHeight="1" x14ac:dyDescent="0.35">
      <c r="A2008">
        <v>2017</v>
      </c>
      <c r="B2008" t="s">
        <v>156</v>
      </c>
      <c r="C2008">
        <v>9</v>
      </c>
      <c r="D2008" t="s">
        <v>99</v>
      </c>
      <c r="E2008">
        <v>16160</v>
      </c>
      <c r="F2008">
        <v>19761</v>
      </c>
      <c r="G2008">
        <v>12678</v>
      </c>
      <c r="H2008" t="s">
        <v>123</v>
      </c>
      <c r="I2008" t="s">
        <v>178</v>
      </c>
    </row>
    <row r="2009" spans="1:9" ht="15" customHeight="1" x14ac:dyDescent="0.35">
      <c r="A2009">
        <v>2017</v>
      </c>
      <c r="B2009" t="s">
        <v>157</v>
      </c>
      <c r="C2009">
        <v>10</v>
      </c>
      <c r="D2009" t="s">
        <v>99</v>
      </c>
      <c r="E2009">
        <v>16398</v>
      </c>
      <c r="F2009">
        <v>19835</v>
      </c>
      <c r="G2009">
        <v>12688</v>
      </c>
      <c r="H2009" t="s">
        <v>123</v>
      </c>
      <c r="I2009" t="s">
        <v>178</v>
      </c>
    </row>
    <row r="2010" spans="1:9" ht="15" customHeight="1" x14ac:dyDescent="0.35">
      <c r="A2010">
        <v>2017</v>
      </c>
      <c r="B2010" t="s">
        <v>158</v>
      </c>
      <c r="C2010">
        <v>11</v>
      </c>
      <c r="D2010" t="s">
        <v>99</v>
      </c>
      <c r="E2010">
        <v>17414</v>
      </c>
      <c r="F2010">
        <v>20772</v>
      </c>
      <c r="G2010">
        <v>13706</v>
      </c>
      <c r="H2010" t="s">
        <v>123</v>
      </c>
      <c r="I2010" t="s">
        <v>178</v>
      </c>
    </row>
    <row r="2011" spans="1:9" ht="15" customHeight="1" x14ac:dyDescent="0.35">
      <c r="A2011">
        <v>2017</v>
      </c>
      <c r="B2011" t="s">
        <v>159</v>
      </c>
      <c r="C2011">
        <v>12</v>
      </c>
      <c r="D2011" t="s">
        <v>99</v>
      </c>
      <c r="E2011">
        <v>16897</v>
      </c>
      <c r="F2011">
        <v>20480</v>
      </c>
      <c r="G2011">
        <v>13237</v>
      </c>
      <c r="H2011" t="s">
        <v>123</v>
      </c>
      <c r="I2011" t="s">
        <v>178</v>
      </c>
    </row>
    <row r="2012" spans="1:9" ht="15" customHeight="1" x14ac:dyDescent="0.35">
      <c r="A2012">
        <v>2018</v>
      </c>
      <c r="B2012" t="s">
        <v>147</v>
      </c>
      <c r="C2012">
        <v>1</v>
      </c>
      <c r="D2012" t="s">
        <v>99</v>
      </c>
      <c r="E2012">
        <v>17061</v>
      </c>
      <c r="F2012">
        <v>21289</v>
      </c>
      <c r="G2012">
        <v>13263</v>
      </c>
      <c r="H2012" t="s">
        <v>123</v>
      </c>
      <c r="I2012" t="s">
        <v>178</v>
      </c>
    </row>
    <row r="2013" spans="1:9" ht="15" customHeight="1" x14ac:dyDescent="0.35">
      <c r="A2013">
        <v>2018</v>
      </c>
      <c r="B2013" t="s">
        <v>149</v>
      </c>
      <c r="C2013">
        <v>2</v>
      </c>
      <c r="D2013" t="s">
        <v>99</v>
      </c>
      <c r="E2013">
        <v>17352</v>
      </c>
      <c r="F2013">
        <v>21405</v>
      </c>
      <c r="G2013">
        <v>13715</v>
      </c>
      <c r="H2013" t="s">
        <v>123</v>
      </c>
      <c r="I2013" t="s">
        <v>178</v>
      </c>
    </row>
    <row r="2014" spans="1:9" ht="15" customHeight="1" x14ac:dyDescent="0.35">
      <c r="A2014">
        <v>2018</v>
      </c>
      <c r="B2014" t="s">
        <v>150</v>
      </c>
      <c r="C2014">
        <v>3</v>
      </c>
      <c r="D2014" t="s">
        <v>99</v>
      </c>
      <c r="E2014">
        <v>19289</v>
      </c>
      <c r="F2014">
        <v>22356</v>
      </c>
      <c r="G2014">
        <v>15869</v>
      </c>
      <c r="H2014" t="s">
        <v>123</v>
      </c>
      <c r="I2014" t="s">
        <v>178</v>
      </c>
    </row>
    <row r="2015" spans="1:9" ht="15" customHeight="1" x14ac:dyDescent="0.35">
      <c r="A2015">
        <v>2018</v>
      </c>
      <c r="B2015" t="s">
        <v>151</v>
      </c>
      <c r="C2015">
        <v>4</v>
      </c>
      <c r="D2015" t="s">
        <v>99</v>
      </c>
      <c r="E2015">
        <v>20298</v>
      </c>
      <c r="F2015">
        <v>23186</v>
      </c>
      <c r="G2015">
        <v>17761</v>
      </c>
      <c r="H2015" t="s">
        <v>124</v>
      </c>
      <c r="I2015" t="s">
        <v>178</v>
      </c>
    </row>
    <row r="2016" spans="1:9" ht="15" customHeight="1" x14ac:dyDescent="0.35">
      <c r="A2016">
        <v>2018</v>
      </c>
      <c r="B2016" t="s">
        <v>152</v>
      </c>
      <c r="C2016">
        <v>5</v>
      </c>
      <c r="D2016" t="s">
        <v>99</v>
      </c>
      <c r="E2016">
        <v>20843</v>
      </c>
      <c r="F2016">
        <v>24196</v>
      </c>
      <c r="G2016">
        <v>16555</v>
      </c>
      <c r="H2016" t="s">
        <v>124</v>
      </c>
      <c r="I2016" t="s">
        <v>178</v>
      </c>
    </row>
    <row r="2017" spans="1:9" ht="15" customHeight="1" x14ac:dyDescent="0.35">
      <c r="A2017">
        <v>2018</v>
      </c>
      <c r="B2017" t="s">
        <v>153</v>
      </c>
      <c r="C2017">
        <v>6</v>
      </c>
      <c r="D2017" t="s">
        <v>99</v>
      </c>
      <c r="E2017">
        <v>18187</v>
      </c>
      <c r="F2017">
        <v>22661</v>
      </c>
      <c r="G2017">
        <v>14962</v>
      </c>
      <c r="H2017" t="s">
        <v>124</v>
      </c>
      <c r="I2017" t="s">
        <v>178</v>
      </c>
    </row>
    <row r="2018" spans="1:9" ht="15" customHeight="1" x14ac:dyDescent="0.35">
      <c r="A2018">
        <v>2018</v>
      </c>
      <c r="B2018" t="s">
        <v>154</v>
      </c>
      <c r="C2018">
        <v>7</v>
      </c>
      <c r="D2018" t="s">
        <v>99</v>
      </c>
      <c r="E2018">
        <v>17376</v>
      </c>
      <c r="F2018">
        <v>21129</v>
      </c>
      <c r="G2018">
        <v>14349</v>
      </c>
      <c r="H2018" t="s">
        <v>124</v>
      </c>
      <c r="I2018" t="s">
        <v>178</v>
      </c>
    </row>
    <row r="2019" spans="1:9" ht="15" customHeight="1" x14ac:dyDescent="0.35">
      <c r="A2019">
        <v>2018</v>
      </c>
      <c r="B2019" t="s">
        <v>155</v>
      </c>
      <c r="C2019">
        <v>8</v>
      </c>
      <c r="D2019" t="s">
        <v>99</v>
      </c>
      <c r="E2019">
        <v>18196</v>
      </c>
      <c r="F2019">
        <v>21633</v>
      </c>
      <c r="G2019">
        <v>14344</v>
      </c>
      <c r="H2019" t="s">
        <v>124</v>
      </c>
      <c r="I2019" t="s">
        <v>178</v>
      </c>
    </row>
    <row r="2020" spans="1:9" ht="15" customHeight="1" x14ac:dyDescent="0.35">
      <c r="A2020">
        <v>2018</v>
      </c>
      <c r="B2020" t="s">
        <v>156</v>
      </c>
      <c r="C2020">
        <v>9</v>
      </c>
      <c r="D2020" t="s">
        <v>99</v>
      </c>
      <c r="E2020">
        <v>19846</v>
      </c>
      <c r="F2020">
        <v>23631</v>
      </c>
      <c r="G2020">
        <v>15935</v>
      </c>
      <c r="H2020" t="s">
        <v>124</v>
      </c>
      <c r="I2020" t="s">
        <v>178</v>
      </c>
    </row>
    <row r="2021" spans="1:9" ht="15" customHeight="1" x14ac:dyDescent="0.35">
      <c r="A2021">
        <v>2018</v>
      </c>
      <c r="B2021" t="s">
        <v>157</v>
      </c>
      <c r="C2021">
        <v>10</v>
      </c>
      <c r="D2021" t="s">
        <v>99</v>
      </c>
      <c r="E2021">
        <v>21167</v>
      </c>
      <c r="F2021">
        <v>24570</v>
      </c>
      <c r="G2021">
        <v>16820</v>
      </c>
      <c r="H2021" t="s">
        <v>124</v>
      </c>
      <c r="I2021" t="s">
        <v>178</v>
      </c>
    </row>
    <row r="2022" spans="1:9" ht="15" customHeight="1" x14ac:dyDescent="0.35">
      <c r="A2022">
        <v>2018</v>
      </c>
      <c r="B2022" t="s">
        <v>158</v>
      </c>
      <c r="C2022">
        <v>11</v>
      </c>
      <c r="D2022" t="s">
        <v>99</v>
      </c>
      <c r="E2022">
        <v>19296</v>
      </c>
      <c r="F2022">
        <v>23594</v>
      </c>
      <c r="G2022">
        <v>15545</v>
      </c>
      <c r="H2022" t="s">
        <v>124</v>
      </c>
      <c r="I2022" t="s">
        <v>178</v>
      </c>
    </row>
    <row r="2023" spans="1:9" ht="15" customHeight="1" x14ac:dyDescent="0.35">
      <c r="A2023">
        <v>2018</v>
      </c>
      <c r="B2023" t="s">
        <v>159</v>
      </c>
      <c r="C2023">
        <v>12</v>
      </c>
      <c r="D2023" t="s">
        <v>99</v>
      </c>
      <c r="E2023">
        <v>17931</v>
      </c>
      <c r="F2023">
        <v>22106</v>
      </c>
      <c r="G2023">
        <v>13556</v>
      </c>
      <c r="H2023" t="s">
        <v>124</v>
      </c>
      <c r="I2023" t="s">
        <v>178</v>
      </c>
    </row>
    <row r="2024" spans="1:9" ht="15" customHeight="1" x14ac:dyDescent="0.35">
      <c r="A2024">
        <v>2019</v>
      </c>
      <c r="B2024" t="s">
        <v>147</v>
      </c>
      <c r="C2024">
        <v>1</v>
      </c>
      <c r="D2024" t="s">
        <v>99</v>
      </c>
      <c r="E2024">
        <v>17724</v>
      </c>
      <c r="F2024">
        <v>21542</v>
      </c>
      <c r="G2024">
        <v>12442</v>
      </c>
      <c r="H2024" t="s">
        <v>124</v>
      </c>
      <c r="I2024" t="s">
        <v>178</v>
      </c>
    </row>
    <row r="2025" spans="1:9" ht="15" customHeight="1" x14ac:dyDescent="0.35">
      <c r="A2025">
        <v>2019</v>
      </c>
      <c r="B2025" t="s">
        <v>149</v>
      </c>
      <c r="C2025">
        <v>2</v>
      </c>
      <c r="D2025" t="s">
        <v>99</v>
      </c>
      <c r="E2025">
        <v>18754</v>
      </c>
      <c r="F2025">
        <v>22348</v>
      </c>
      <c r="G2025">
        <v>14524</v>
      </c>
      <c r="H2025" t="s">
        <v>124</v>
      </c>
      <c r="I2025" t="s">
        <v>178</v>
      </c>
    </row>
    <row r="2026" spans="1:9" ht="15" customHeight="1" x14ac:dyDescent="0.35">
      <c r="A2026">
        <v>2019</v>
      </c>
      <c r="B2026" t="s">
        <v>150</v>
      </c>
      <c r="C2026">
        <v>3</v>
      </c>
      <c r="D2026" t="s">
        <v>99</v>
      </c>
      <c r="E2026">
        <v>19769</v>
      </c>
      <c r="F2026">
        <v>23521</v>
      </c>
      <c r="G2026">
        <v>15952</v>
      </c>
      <c r="H2026" t="s">
        <v>124</v>
      </c>
      <c r="I2026" t="s">
        <v>178</v>
      </c>
    </row>
    <row r="2027" spans="1:9" ht="15" customHeight="1" x14ac:dyDescent="0.35">
      <c r="A2027">
        <v>2019</v>
      </c>
      <c r="B2027" t="s">
        <v>151</v>
      </c>
      <c r="C2027">
        <v>4</v>
      </c>
      <c r="D2027" t="s">
        <v>99</v>
      </c>
      <c r="E2027">
        <v>20983</v>
      </c>
      <c r="F2027">
        <v>23517</v>
      </c>
      <c r="G2027">
        <v>17757</v>
      </c>
      <c r="H2027" t="s">
        <v>71</v>
      </c>
      <c r="I2027" t="s">
        <v>178</v>
      </c>
    </row>
    <row r="2028" spans="1:9" ht="15" customHeight="1" x14ac:dyDescent="0.35">
      <c r="A2028">
        <v>2019</v>
      </c>
      <c r="B2028" t="s">
        <v>152</v>
      </c>
      <c r="C2028">
        <v>5</v>
      </c>
      <c r="D2028" t="s">
        <v>99</v>
      </c>
      <c r="E2028">
        <v>21555</v>
      </c>
      <c r="F2028">
        <v>24200</v>
      </c>
      <c r="G2028">
        <v>18502</v>
      </c>
      <c r="H2028" t="s">
        <v>71</v>
      </c>
      <c r="I2028" t="s">
        <v>178</v>
      </c>
    </row>
    <row r="2029" spans="1:9" ht="15" customHeight="1" x14ac:dyDescent="0.35">
      <c r="A2029">
        <v>2019</v>
      </c>
      <c r="B2029" t="s">
        <v>153</v>
      </c>
      <c r="C2029">
        <v>6</v>
      </c>
      <c r="D2029" t="s">
        <v>99</v>
      </c>
      <c r="E2029">
        <v>19959</v>
      </c>
      <c r="F2029">
        <v>23992</v>
      </c>
      <c r="G2029">
        <v>14701</v>
      </c>
      <c r="H2029" t="s">
        <v>71</v>
      </c>
      <c r="I2029" t="s">
        <v>178</v>
      </c>
    </row>
    <row r="2030" spans="1:9" ht="15" customHeight="1" x14ac:dyDescent="0.35">
      <c r="A2030">
        <v>2019</v>
      </c>
      <c r="B2030" t="s">
        <v>154</v>
      </c>
      <c r="C2030">
        <v>7</v>
      </c>
      <c r="D2030" t="s">
        <v>99</v>
      </c>
      <c r="E2030">
        <v>18075</v>
      </c>
      <c r="F2030">
        <v>21679</v>
      </c>
      <c r="G2030">
        <v>13937</v>
      </c>
      <c r="H2030" t="s">
        <v>71</v>
      </c>
      <c r="I2030" t="s">
        <v>178</v>
      </c>
    </row>
    <row r="2031" spans="1:9" ht="15" customHeight="1" x14ac:dyDescent="0.35">
      <c r="A2031">
        <v>2019</v>
      </c>
      <c r="B2031" t="s">
        <v>155</v>
      </c>
      <c r="C2031">
        <v>8</v>
      </c>
      <c r="D2031" t="s">
        <v>99</v>
      </c>
      <c r="E2031">
        <v>17131</v>
      </c>
      <c r="F2031">
        <v>20460</v>
      </c>
      <c r="G2031">
        <v>13116</v>
      </c>
      <c r="H2031" t="s">
        <v>71</v>
      </c>
      <c r="I2031" t="s">
        <v>178</v>
      </c>
    </row>
    <row r="2032" spans="1:9" ht="15" customHeight="1" x14ac:dyDescent="0.35">
      <c r="A2032">
        <v>2019</v>
      </c>
      <c r="B2032" t="s">
        <v>156</v>
      </c>
      <c r="C2032">
        <v>9</v>
      </c>
      <c r="D2032" t="s">
        <v>99</v>
      </c>
      <c r="E2032">
        <v>16877</v>
      </c>
      <c r="F2032">
        <v>19487</v>
      </c>
      <c r="G2032">
        <v>13442</v>
      </c>
      <c r="H2032" t="s">
        <v>71</v>
      </c>
      <c r="I2032" t="s">
        <v>178</v>
      </c>
    </row>
    <row r="2033" spans="1:9" ht="15" customHeight="1" x14ac:dyDescent="0.35">
      <c r="A2033">
        <v>2019</v>
      </c>
      <c r="B2033" t="s">
        <v>157</v>
      </c>
      <c r="C2033">
        <v>10</v>
      </c>
      <c r="D2033" t="s">
        <v>99</v>
      </c>
      <c r="E2033">
        <v>16474</v>
      </c>
      <c r="F2033">
        <v>21366</v>
      </c>
      <c r="G2033">
        <v>11453</v>
      </c>
      <c r="H2033" t="s">
        <v>71</v>
      </c>
      <c r="I2033" t="s">
        <v>178</v>
      </c>
    </row>
    <row r="2034" spans="1:9" ht="15" customHeight="1" x14ac:dyDescent="0.35">
      <c r="A2034">
        <v>2019</v>
      </c>
      <c r="B2034" t="s">
        <v>158</v>
      </c>
      <c r="C2034">
        <v>11</v>
      </c>
      <c r="D2034" t="s">
        <v>99</v>
      </c>
      <c r="E2034">
        <v>16822</v>
      </c>
      <c r="F2034">
        <v>19938</v>
      </c>
      <c r="G2034">
        <v>12771</v>
      </c>
      <c r="H2034" t="s">
        <v>71</v>
      </c>
      <c r="I2034" t="s">
        <v>178</v>
      </c>
    </row>
    <row r="2035" spans="1:9" ht="15" customHeight="1" x14ac:dyDescent="0.35">
      <c r="A2035">
        <v>2019</v>
      </c>
      <c r="B2035" t="s">
        <v>159</v>
      </c>
      <c r="C2035">
        <v>12</v>
      </c>
      <c r="D2035" t="s">
        <v>99</v>
      </c>
      <c r="E2035">
        <v>17406</v>
      </c>
      <c r="F2035">
        <v>21103</v>
      </c>
      <c r="G2035">
        <v>13497</v>
      </c>
      <c r="H2035" t="s">
        <v>71</v>
      </c>
      <c r="I2035" t="s">
        <v>178</v>
      </c>
    </row>
    <row r="2036" spans="1:9" ht="15" customHeight="1" x14ac:dyDescent="0.35">
      <c r="A2036">
        <v>2020</v>
      </c>
      <c r="B2036" t="s">
        <v>147</v>
      </c>
      <c r="C2036">
        <v>1</v>
      </c>
      <c r="D2036" t="s">
        <v>99</v>
      </c>
      <c r="E2036">
        <v>17401</v>
      </c>
      <c r="F2036">
        <v>21625</v>
      </c>
      <c r="G2036">
        <v>13019</v>
      </c>
      <c r="H2036" t="s">
        <v>71</v>
      </c>
      <c r="I2036" t="s">
        <v>178</v>
      </c>
    </row>
    <row r="2037" spans="1:9" ht="15" customHeight="1" x14ac:dyDescent="0.35">
      <c r="A2037">
        <v>2020</v>
      </c>
      <c r="B2037" t="s">
        <v>149</v>
      </c>
      <c r="C2037">
        <v>2</v>
      </c>
      <c r="D2037" t="s">
        <v>99</v>
      </c>
      <c r="E2037">
        <v>19314</v>
      </c>
      <c r="F2037">
        <v>24528</v>
      </c>
      <c r="G2037">
        <v>11526</v>
      </c>
      <c r="H2037" t="s">
        <v>71</v>
      </c>
      <c r="I2037" t="s">
        <v>178</v>
      </c>
    </row>
    <row r="2038" spans="1:9" ht="15" customHeight="1" x14ac:dyDescent="0.35">
      <c r="A2038">
        <v>2020</v>
      </c>
      <c r="B2038" t="s">
        <v>150</v>
      </c>
      <c r="C2038">
        <v>3</v>
      </c>
      <c r="D2038" t="s">
        <v>99</v>
      </c>
      <c r="E2038">
        <v>18606</v>
      </c>
      <c r="F2038">
        <v>23929</v>
      </c>
      <c r="G2038">
        <v>10740</v>
      </c>
      <c r="H2038" t="s">
        <v>71</v>
      </c>
      <c r="I2038" t="s">
        <v>178</v>
      </c>
    </row>
    <row r="2039" spans="1:9" ht="15" customHeight="1" x14ac:dyDescent="0.35">
      <c r="A2039">
        <v>2020</v>
      </c>
      <c r="B2039" t="s">
        <v>151</v>
      </c>
      <c r="C2039">
        <v>4</v>
      </c>
      <c r="D2039" t="s">
        <v>99</v>
      </c>
      <c r="E2039">
        <v>15920</v>
      </c>
      <c r="F2039">
        <v>18315</v>
      </c>
      <c r="G2039">
        <v>12273</v>
      </c>
      <c r="H2039" t="s">
        <v>72</v>
      </c>
      <c r="I2039" t="s">
        <v>178</v>
      </c>
    </row>
    <row r="2040" spans="1:9" ht="15" customHeight="1" x14ac:dyDescent="0.35">
      <c r="A2040">
        <v>2020</v>
      </c>
      <c r="B2040" t="s">
        <v>152</v>
      </c>
      <c r="C2040">
        <v>5</v>
      </c>
      <c r="D2040" t="s">
        <v>99</v>
      </c>
      <c r="E2040">
        <v>17498</v>
      </c>
      <c r="F2040">
        <v>20950</v>
      </c>
      <c r="G2040">
        <v>13698</v>
      </c>
      <c r="H2040" t="s">
        <v>72</v>
      </c>
      <c r="I2040" t="s">
        <v>178</v>
      </c>
    </row>
    <row r="2041" spans="1:9" ht="15" customHeight="1" x14ac:dyDescent="0.35">
      <c r="A2041">
        <v>2020</v>
      </c>
      <c r="B2041" t="s">
        <v>153</v>
      </c>
      <c r="C2041">
        <v>6</v>
      </c>
      <c r="D2041" t="s">
        <v>99</v>
      </c>
      <c r="E2041">
        <v>15203</v>
      </c>
      <c r="F2041">
        <v>19149</v>
      </c>
      <c r="G2041">
        <v>9560</v>
      </c>
      <c r="H2041" t="s">
        <v>72</v>
      </c>
      <c r="I2041" t="s">
        <v>178</v>
      </c>
    </row>
    <row r="2042" spans="1:9" ht="15" customHeight="1" x14ac:dyDescent="0.35">
      <c r="A2042">
        <v>2020</v>
      </c>
      <c r="B2042" t="s">
        <v>154</v>
      </c>
      <c r="C2042">
        <v>7</v>
      </c>
      <c r="D2042" t="s">
        <v>99</v>
      </c>
      <c r="E2042">
        <v>15071</v>
      </c>
      <c r="F2042">
        <v>17709</v>
      </c>
      <c r="G2042">
        <v>12378</v>
      </c>
      <c r="H2042" t="s">
        <v>72</v>
      </c>
      <c r="I2042" t="s">
        <v>178</v>
      </c>
    </row>
    <row r="2043" spans="1:9" ht="15" customHeight="1" x14ac:dyDescent="0.35">
      <c r="A2043">
        <v>2020</v>
      </c>
      <c r="B2043" t="s">
        <v>155</v>
      </c>
      <c r="C2043">
        <v>8</v>
      </c>
      <c r="D2043" t="s">
        <v>99</v>
      </c>
      <c r="E2043">
        <v>14447</v>
      </c>
      <c r="F2043">
        <v>17879</v>
      </c>
      <c r="G2043">
        <v>10590</v>
      </c>
      <c r="H2043" t="s">
        <v>72</v>
      </c>
      <c r="I2043" t="s">
        <v>178</v>
      </c>
    </row>
    <row r="2044" spans="1:9" ht="15" customHeight="1" x14ac:dyDescent="0.35">
      <c r="A2044">
        <v>2020</v>
      </c>
      <c r="B2044" t="s">
        <v>156</v>
      </c>
      <c r="C2044">
        <v>9</v>
      </c>
      <c r="D2044" t="s">
        <v>99</v>
      </c>
      <c r="E2044">
        <v>16399</v>
      </c>
      <c r="F2044">
        <v>19020</v>
      </c>
      <c r="G2044">
        <v>13247</v>
      </c>
      <c r="H2044" t="s">
        <v>72</v>
      </c>
      <c r="I2044" t="s">
        <v>178</v>
      </c>
    </row>
    <row r="2045" spans="1:9" ht="15" customHeight="1" x14ac:dyDescent="0.35">
      <c r="A2045">
        <v>2020</v>
      </c>
      <c r="B2045" t="s">
        <v>157</v>
      </c>
      <c r="C2045">
        <v>10</v>
      </c>
      <c r="D2045" t="s">
        <v>99</v>
      </c>
      <c r="E2045">
        <v>17297</v>
      </c>
      <c r="F2045">
        <v>20401</v>
      </c>
      <c r="G2045">
        <v>13128</v>
      </c>
      <c r="H2045" t="s">
        <v>72</v>
      </c>
      <c r="I2045" t="s">
        <v>178</v>
      </c>
    </row>
    <row r="2046" spans="1:9" ht="15" customHeight="1" x14ac:dyDescent="0.35">
      <c r="A2046">
        <v>2020</v>
      </c>
      <c r="B2046" t="s">
        <v>158</v>
      </c>
      <c r="C2046">
        <v>11</v>
      </c>
      <c r="D2046" t="s">
        <v>99</v>
      </c>
      <c r="E2046">
        <v>18077</v>
      </c>
      <c r="F2046">
        <v>22586</v>
      </c>
      <c r="G2046">
        <v>13719</v>
      </c>
      <c r="H2046" t="s">
        <v>72</v>
      </c>
      <c r="I2046" t="s">
        <v>178</v>
      </c>
    </row>
    <row r="2047" spans="1:9" ht="15" customHeight="1" x14ac:dyDescent="0.35">
      <c r="A2047">
        <v>2020</v>
      </c>
      <c r="B2047" t="s">
        <v>159</v>
      </c>
      <c r="C2047">
        <v>12</v>
      </c>
      <c r="D2047" t="s">
        <v>99</v>
      </c>
      <c r="E2047">
        <v>19336</v>
      </c>
      <c r="F2047">
        <v>23876</v>
      </c>
      <c r="G2047">
        <v>15040</v>
      </c>
      <c r="H2047" t="s">
        <v>72</v>
      </c>
      <c r="I2047" t="s">
        <v>178</v>
      </c>
    </row>
    <row r="2048" spans="1:9" ht="15" customHeight="1" x14ac:dyDescent="0.35">
      <c r="A2048">
        <v>2021</v>
      </c>
      <c r="B2048" t="s">
        <v>147</v>
      </c>
      <c r="C2048">
        <v>1</v>
      </c>
      <c r="D2048" t="s">
        <v>99</v>
      </c>
      <c r="E2048">
        <v>19741</v>
      </c>
      <c r="F2048">
        <v>24335</v>
      </c>
      <c r="G2048">
        <v>15341</v>
      </c>
      <c r="H2048" t="s">
        <v>72</v>
      </c>
      <c r="I2048" t="s">
        <v>178</v>
      </c>
    </row>
    <row r="2049" spans="1:9" ht="15" customHeight="1" x14ac:dyDescent="0.35">
      <c r="A2049">
        <v>2021</v>
      </c>
      <c r="B2049" t="s">
        <v>149</v>
      </c>
      <c r="C2049">
        <v>2</v>
      </c>
      <c r="D2049" t="s">
        <v>99</v>
      </c>
      <c r="E2049">
        <v>20612</v>
      </c>
      <c r="F2049">
        <v>24733</v>
      </c>
      <c r="G2049">
        <v>14511</v>
      </c>
      <c r="H2049" t="s">
        <v>72</v>
      </c>
      <c r="I2049" t="s">
        <v>178</v>
      </c>
    </row>
    <row r="2050" spans="1:9" ht="15" customHeight="1" x14ac:dyDescent="0.35">
      <c r="A2050">
        <v>2021</v>
      </c>
      <c r="B2050" t="s">
        <v>150</v>
      </c>
      <c r="C2050">
        <v>3</v>
      </c>
      <c r="D2050" t="s">
        <v>99</v>
      </c>
      <c r="E2050">
        <v>22132</v>
      </c>
      <c r="F2050">
        <v>25618</v>
      </c>
      <c r="G2050">
        <v>17702</v>
      </c>
      <c r="H2050" t="s">
        <v>72</v>
      </c>
      <c r="I2050" t="s">
        <v>178</v>
      </c>
    </row>
    <row r="2051" spans="1:9" ht="15" customHeight="1" x14ac:dyDescent="0.35">
      <c r="A2051">
        <v>2021</v>
      </c>
      <c r="B2051" t="s">
        <v>151</v>
      </c>
      <c r="C2051">
        <v>4</v>
      </c>
      <c r="D2051" t="s">
        <v>99</v>
      </c>
      <c r="E2051">
        <v>22372</v>
      </c>
      <c r="F2051">
        <v>25569</v>
      </c>
      <c r="G2051">
        <v>18536</v>
      </c>
      <c r="H2051" t="s">
        <v>73</v>
      </c>
      <c r="I2051" t="s">
        <v>178</v>
      </c>
    </row>
    <row r="2052" spans="1:9" ht="15" customHeight="1" x14ac:dyDescent="0.35">
      <c r="A2052">
        <v>2021</v>
      </c>
      <c r="B2052" t="s">
        <v>152</v>
      </c>
      <c r="C2052">
        <v>5</v>
      </c>
      <c r="D2052" t="s">
        <v>99</v>
      </c>
      <c r="E2052">
        <v>19795</v>
      </c>
      <c r="F2052">
        <v>24171</v>
      </c>
      <c r="G2052">
        <v>12758</v>
      </c>
      <c r="H2052" t="s">
        <v>73</v>
      </c>
      <c r="I2052" t="s">
        <v>178</v>
      </c>
    </row>
    <row r="2053" spans="1:9" ht="15" customHeight="1" x14ac:dyDescent="0.35">
      <c r="A2053">
        <v>2021</v>
      </c>
      <c r="B2053" t="s">
        <v>153</v>
      </c>
      <c r="C2053">
        <v>6</v>
      </c>
      <c r="D2053" t="s">
        <v>99</v>
      </c>
      <c r="E2053">
        <v>17807</v>
      </c>
      <c r="F2053">
        <v>21095</v>
      </c>
      <c r="G2053">
        <v>14794</v>
      </c>
      <c r="H2053" t="s">
        <v>73</v>
      </c>
      <c r="I2053" t="s">
        <v>178</v>
      </c>
    </row>
    <row r="2054" spans="1:9" ht="15" customHeight="1" x14ac:dyDescent="0.35">
      <c r="A2054">
        <v>2021</v>
      </c>
      <c r="B2054" t="s">
        <v>154</v>
      </c>
      <c r="C2054">
        <v>7</v>
      </c>
      <c r="D2054" t="s">
        <v>99</v>
      </c>
      <c r="E2054">
        <v>17851</v>
      </c>
      <c r="F2054">
        <v>24223</v>
      </c>
      <c r="G2054">
        <v>13029</v>
      </c>
      <c r="H2054" t="s">
        <v>73</v>
      </c>
      <c r="I2054" t="s">
        <v>178</v>
      </c>
    </row>
    <row r="2055" spans="1:9" ht="15" customHeight="1" x14ac:dyDescent="0.35">
      <c r="A2055">
        <v>2021</v>
      </c>
      <c r="B2055" t="s">
        <v>155</v>
      </c>
      <c r="C2055">
        <v>8</v>
      </c>
      <c r="D2055" t="s">
        <v>99</v>
      </c>
      <c r="E2055">
        <v>19028</v>
      </c>
      <c r="F2055">
        <v>23271</v>
      </c>
      <c r="G2055">
        <v>14540</v>
      </c>
      <c r="H2055" t="s">
        <v>73</v>
      </c>
      <c r="I2055" t="s">
        <v>178</v>
      </c>
    </row>
    <row r="2056" spans="1:9" ht="15" customHeight="1" x14ac:dyDescent="0.35">
      <c r="A2056">
        <v>2021</v>
      </c>
      <c r="B2056" t="s">
        <v>156</v>
      </c>
      <c r="C2056">
        <v>9</v>
      </c>
      <c r="D2056" t="s">
        <v>99</v>
      </c>
      <c r="E2056">
        <v>17955</v>
      </c>
      <c r="F2056">
        <v>21267</v>
      </c>
      <c r="G2056">
        <v>13962</v>
      </c>
      <c r="H2056" t="s">
        <v>73</v>
      </c>
      <c r="I2056" t="s">
        <v>178</v>
      </c>
    </row>
    <row r="2057" spans="1:9" ht="15" customHeight="1" x14ac:dyDescent="0.35">
      <c r="A2057">
        <v>2021</v>
      </c>
      <c r="B2057" t="s">
        <v>157</v>
      </c>
      <c r="C2057">
        <v>10</v>
      </c>
      <c r="D2057" t="s">
        <v>99</v>
      </c>
      <c r="E2057">
        <v>19363</v>
      </c>
      <c r="F2057">
        <v>23044</v>
      </c>
      <c r="G2057">
        <v>15887</v>
      </c>
      <c r="H2057" t="s">
        <v>73</v>
      </c>
      <c r="I2057" t="s">
        <v>178</v>
      </c>
    </row>
    <row r="2058" spans="1:9" ht="15" customHeight="1" x14ac:dyDescent="0.35">
      <c r="A2058">
        <v>2021</v>
      </c>
      <c r="B2058" t="s">
        <v>158</v>
      </c>
      <c r="C2058">
        <v>11</v>
      </c>
      <c r="D2058" t="s">
        <v>99</v>
      </c>
      <c r="E2058">
        <v>20358</v>
      </c>
      <c r="F2058">
        <v>25114</v>
      </c>
      <c r="G2058">
        <v>15935</v>
      </c>
      <c r="H2058" t="s">
        <v>73</v>
      </c>
      <c r="I2058" t="s">
        <v>178</v>
      </c>
    </row>
    <row r="2059" spans="1:9" ht="15" customHeight="1" x14ac:dyDescent="0.35">
      <c r="A2059">
        <v>2021</v>
      </c>
      <c r="B2059" t="s">
        <v>159</v>
      </c>
      <c r="C2059">
        <v>12</v>
      </c>
      <c r="D2059" t="s">
        <v>99</v>
      </c>
      <c r="E2059">
        <v>19759</v>
      </c>
      <c r="F2059">
        <v>24545</v>
      </c>
      <c r="G2059">
        <v>14930</v>
      </c>
      <c r="H2059" t="s">
        <v>73</v>
      </c>
      <c r="I2059" t="s">
        <v>178</v>
      </c>
    </row>
    <row r="2060" spans="1:9" ht="15" customHeight="1" x14ac:dyDescent="0.35">
      <c r="A2060">
        <v>2022</v>
      </c>
      <c r="B2060" t="s">
        <v>147</v>
      </c>
      <c r="C2060">
        <v>1</v>
      </c>
      <c r="D2060" t="s">
        <v>99</v>
      </c>
      <c r="E2060">
        <v>20333</v>
      </c>
      <c r="F2060">
        <v>25669</v>
      </c>
      <c r="G2060">
        <v>15228</v>
      </c>
      <c r="H2060" t="s">
        <v>73</v>
      </c>
      <c r="I2060" t="s">
        <v>178</v>
      </c>
    </row>
    <row r="2061" spans="1:9" ht="15" customHeight="1" x14ac:dyDescent="0.35">
      <c r="A2061">
        <v>2022</v>
      </c>
      <c r="B2061" t="s">
        <v>149</v>
      </c>
      <c r="C2061">
        <v>2</v>
      </c>
      <c r="D2061" t="s">
        <v>99</v>
      </c>
      <c r="E2061">
        <v>22191</v>
      </c>
      <c r="F2061">
        <v>27025</v>
      </c>
      <c r="G2061">
        <v>17627</v>
      </c>
      <c r="H2061" t="s">
        <v>73</v>
      </c>
      <c r="I2061" t="s">
        <v>178</v>
      </c>
    </row>
    <row r="2062" spans="1:9" ht="15" customHeight="1" x14ac:dyDescent="0.35">
      <c r="A2062">
        <v>2022</v>
      </c>
      <c r="B2062" t="s">
        <v>150</v>
      </c>
      <c r="C2062">
        <v>3</v>
      </c>
      <c r="D2062" t="s">
        <v>99</v>
      </c>
      <c r="E2062">
        <v>24216</v>
      </c>
      <c r="F2062">
        <v>28422</v>
      </c>
      <c r="G2062">
        <v>17867</v>
      </c>
      <c r="H2062" t="s">
        <v>73</v>
      </c>
      <c r="I2062" t="s">
        <v>178</v>
      </c>
    </row>
    <row r="2063" spans="1:9" ht="15" customHeight="1" x14ac:dyDescent="0.35">
      <c r="A2063">
        <v>2022</v>
      </c>
      <c r="B2063" t="s">
        <v>151</v>
      </c>
      <c r="C2063">
        <v>4</v>
      </c>
      <c r="D2063" t="s">
        <v>99</v>
      </c>
      <c r="E2063">
        <v>25125</v>
      </c>
      <c r="F2063">
        <v>28679</v>
      </c>
      <c r="G2063">
        <v>22387</v>
      </c>
      <c r="H2063" t="s">
        <v>74</v>
      </c>
      <c r="I2063" t="s">
        <v>178</v>
      </c>
    </row>
    <row r="2064" spans="1:9" ht="15" customHeight="1" x14ac:dyDescent="0.35">
      <c r="A2064">
        <v>2022</v>
      </c>
      <c r="B2064" t="s">
        <v>152</v>
      </c>
      <c r="C2064">
        <v>5</v>
      </c>
      <c r="D2064" t="s">
        <v>99</v>
      </c>
      <c r="E2064">
        <v>24225</v>
      </c>
      <c r="F2064">
        <v>27585</v>
      </c>
      <c r="G2064">
        <v>20582</v>
      </c>
      <c r="H2064" t="s">
        <v>74</v>
      </c>
      <c r="I2064" t="s">
        <v>178</v>
      </c>
    </row>
    <row r="2065" spans="1:9" ht="15" customHeight="1" x14ac:dyDescent="0.35">
      <c r="A2065">
        <v>2022</v>
      </c>
      <c r="B2065" t="s">
        <v>153</v>
      </c>
      <c r="C2065">
        <v>6</v>
      </c>
      <c r="D2065" t="s">
        <v>99</v>
      </c>
      <c r="E2065">
        <v>22189</v>
      </c>
      <c r="F2065">
        <v>27098</v>
      </c>
      <c r="G2065">
        <v>17886</v>
      </c>
      <c r="H2065" t="s">
        <v>74</v>
      </c>
      <c r="I2065" t="s">
        <v>178</v>
      </c>
    </row>
    <row r="2066" spans="1:9" ht="15" customHeight="1" x14ac:dyDescent="0.35">
      <c r="A2066">
        <v>2022</v>
      </c>
      <c r="B2066" t="s">
        <v>154</v>
      </c>
      <c r="C2066">
        <v>7</v>
      </c>
      <c r="D2066" t="s">
        <v>99</v>
      </c>
      <c r="E2066">
        <v>18466</v>
      </c>
      <c r="F2066">
        <v>23230</v>
      </c>
      <c r="G2066">
        <v>14465</v>
      </c>
      <c r="H2066" t="s">
        <v>74</v>
      </c>
      <c r="I2066" t="s">
        <v>178</v>
      </c>
    </row>
    <row r="2067" spans="1:9" ht="15" customHeight="1" x14ac:dyDescent="0.35">
      <c r="A2067">
        <v>2022</v>
      </c>
      <c r="B2067" t="s">
        <v>155</v>
      </c>
      <c r="C2067">
        <v>8</v>
      </c>
      <c r="D2067" t="s">
        <v>99</v>
      </c>
      <c r="E2067">
        <v>19133</v>
      </c>
      <c r="F2067">
        <v>23966</v>
      </c>
      <c r="G2067">
        <v>13615</v>
      </c>
      <c r="H2067" t="s">
        <v>74</v>
      </c>
      <c r="I2067" t="s">
        <v>178</v>
      </c>
    </row>
    <row r="2068" spans="1:9" ht="15" customHeight="1" x14ac:dyDescent="0.35">
      <c r="A2068">
        <v>2022</v>
      </c>
      <c r="B2068" t="s">
        <v>156</v>
      </c>
      <c r="C2068">
        <v>9</v>
      </c>
      <c r="D2068" t="s">
        <v>99</v>
      </c>
      <c r="E2068">
        <v>19071</v>
      </c>
      <c r="F2068">
        <v>22555</v>
      </c>
      <c r="G2068">
        <v>15582</v>
      </c>
      <c r="H2068" t="s">
        <v>74</v>
      </c>
      <c r="I2068" t="s">
        <v>178</v>
      </c>
    </row>
    <row r="2069" spans="1:9" ht="15" customHeight="1" x14ac:dyDescent="0.35">
      <c r="A2069">
        <v>2022</v>
      </c>
      <c r="B2069" t="s">
        <v>157</v>
      </c>
      <c r="C2069">
        <v>10</v>
      </c>
      <c r="D2069" t="s">
        <v>99</v>
      </c>
      <c r="E2069">
        <v>18746</v>
      </c>
      <c r="F2069">
        <v>22449</v>
      </c>
      <c r="G2069">
        <v>13487</v>
      </c>
      <c r="H2069" t="s">
        <v>74</v>
      </c>
      <c r="I2069" t="s">
        <v>178</v>
      </c>
    </row>
    <row r="2070" spans="1:9" ht="15" customHeight="1" x14ac:dyDescent="0.35">
      <c r="A2070">
        <v>2022</v>
      </c>
      <c r="B2070" t="s">
        <v>158</v>
      </c>
      <c r="C2070">
        <v>11</v>
      </c>
      <c r="D2070" t="s">
        <v>99</v>
      </c>
      <c r="E2070">
        <v>21510</v>
      </c>
      <c r="F2070">
        <v>25934</v>
      </c>
      <c r="G2070">
        <v>16486</v>
      </c>
      <c r="H2070" t="s">
        <v>74</v>
      </c>
      <c r="I2070" t="s">
        <v>178</v>
      </c>
    </row>
    <row r="2071" spans="1:9" ht="15" customHeight="1" x14ac:dyDescent="0.35">
      <c r="A2071">
        <v>2022</v>
      </c>
      <c r="B2071" t="s">
        <v>159</v>
      </c>
      <c r="C2071">
        <v>12</v>
      </c>
      <c r="D2071" t="s">
        <v>99</v>
      </c>
      <c r="E2071">
        <v>22600</v>
      </c>
      <c r="F2071">
        <v>26730</v>
      </c>
      <c r="G2071">
        <v>18156</v>
      </c>
      <c r="H2071" t="s">
        <v>74</v>
      </c>
      <c r="I2071" t="s">
        <v>178</v>
      </c>
    </row>
    <row r="2072" spans="1:9" ht="15" customHeight="1" x14ac:dyDescent="0.35">
      <c r="A2072">
        <v>2023</v>
      </c>
      <c r="B2072" t="s">
        <v>147</v>
      </c>
      <c r="C2072">
        <v>1</v>
      </c>
      <c r="D2072" t="s">
        <v>99</v>
      </c>
      <c r="E2072">
        <v>22446</v>
      </c>
      <c r="F2072">
        <v>27374</v>
      </c>
      <c r="G2072">
        <v>17350</v>
      </c>
      <c r="H2072" t="s">
        <v>74</v>
      </c>
      <c r="I2072" t="s">
        <v>178</v>
      </c>
    </row>
    <row r="2073" spans="1:9" ht="15" customHeight="1" x14ac:dyDescent="0.35">
      <c r="A2073">
        <v>2023</v>
      </c>
      <c r="B2073" t="s">
        <v>149</v>
      </c>
      <c r="C2073">
        <v>2</v>
      </c>
      <c r="D2073" t="s">
        <v>99</v>
      </c>
      <c r="E2073">
        <v>24055</v>
      </c>
      <c r="F2073">
        <v>28316</v>
      </c>
      <c r="G2073">
        <v>20127</v>
      </c>
      <c r="H2073" t="s">
        <v>74</v>
      </c>
      <c r="I2073" t="s">
        <v>178</v>
      </c>
    </row>
    <row r="2074" spans="1:9" ht="15" customHeight="1" x14ac:dyDescent="0.35">
      <c r="A2074">
        <v>2023</v>
      </c>
      <c r="B2074" t="s">
        <v>150</v>
      </c>
      <c r="C2074">
        <v>3</v>
      </c>
      <c r="D2074" t="s">
        <v>99</v>
      </c>
      <c r="E2074">
        <v>23977</v>
      </c>
      <c r="F2074">
        <v>28190</v>
      </c>
      <c r="G2074">
        <v>17821</v>
      </c>
      <c r="H2074" t="s">
        <v>74</v>
      </c>
      <c r="I2074" t="s">
        <v>178</v>
      </c>
    </row>
    <row r="2075" spans="1:9" ht="15" customHeight="1" x14ac:dyDescent="0.35">
      <c r="A2075">
        <v>2023</v>
      </c>
      <c r="B2075" t="s">
        <v>151</v>
      </c>
      <c r="C2075">
        <v>4</v>
      </c>
      <c r="D2075" t="s">
        <v>99</v>
      </c>
      <c r="E2075">
        <v>24507</v>
      </c>
      <c r="F2075">
        <v>28939</v>
      </c>
      <c r="G2075">
        <v>20207</v>
      </c>
      <c r="H2075" t="s">
        <v>75</v>
      </c>
      <c r="I2075" t="s">
        <v>178</v>
      </c>
    </row>
    <row r="2076" spans="1:9" ht="15" customHeight="1" x14ac:dyDescent="0.35">
      <c r="A2076">
        <v>2023</v>
      </c>
      <c r="B2076" t="s">
        <v>152</v>
      </c>
      <c r="C2076">
        <v>5</v>
      </c>
      <c r="D2076" t="s">
        <v>99</v>
      </c>
      <c r="E2076">
        <v>24983</v>
      </c>
      <c r="F2076">
        <v>28401</v>
      </c>
      <c r="G2076">
        <v>18608</v>
      </c>
      <c r="H2076" t="s">
        <v>75</v>
      </c>
      <c r="I2076" t="s">
        <v>178</v>
      </c>
    </row>
    <row r="2077" spans="1:9" ht="15" customHeight="1" x14ac:dyDescent="0.35">
      <c r="A2077">
        <v>2023</v>
      </c>
      <c r="B2077" t="s">
        <v>153</v>
      </c>
      <c r="C2077">
        <v>6</v>
      </c>
      <c r="D2077" t="s">
        <v>99</v>
      </c>
      <c r="E2077">
        <v>24833</v>
      </c>
      <c r="F2077">
        <v>28778</v>
      </c>
      <c r="G2077">
        <v>18077</v>
      </c>
      <c r="H2077" t="s">
        <v>75</v>
      </c>
      <c r="I2077" t="s">
        <v>178</v>
      </c>
    </row>
    <row r="2078" spans="1:9" ht="15" customHeight="1" x14ac:dyDescent="0.35">
      <c r="A2078">
        <v>2023</v>
      </c>
      <c r="B2078" t="s">
        <v>154</v>
      </c>
      <c r="C2078">
        <v>7</v>
      </c>
      <c r="D2078" t="s">
        <v>99</v>
      </c>
      <c r="E2078">
        <v>20873</v>
      </c>
      <c r="F2078">
        <v>24673</v>
      </c>
      <c r="G2078">
        <v>16796</v>
      </c>
      <c r="H2078" t="s">
        <v>75</v>
      </c>
      <c r="I2078" t="s">
        <v>178</v>
      </c>
    </row>
    <row r="2079" spans="1:9" ht="15" customHeight="1" x14ac:dyDescent="0.35">
      <c r="A2079">
        <v>2023</v>
      </c>
      <c r="B2079" t="s">
        <v>155</v>
      </c>
      <c r="C2079">
        <v>8</v>
      </c>
      <c r="D2079" t="s">
        <v>99</v>
      </c>
      <c r="E2079">
        <v>22794</v>
      </c>
      <c r="F2079">
        <v>27400</v>
      </c>
      <c r="G2079">
        <v>17669</v>
      </c>
      <c r="H2079" t="s">
        <v>75</v>
      </c>
      <c r="I2079" t="s">
        <v>178</v>
      </c>
    </row>
    <row r="2080" spans="1:9" ht="15" customHeight="1" x14ac:dyDescent="0.35">
      <c r="A2080">
        <v>2023</v>
      </c>
      <c r="B2080" t="s">
        <v>156</v>
      </c>
      <c r="C2080">
        <v>9</v>
      </c>
      <c r="D2080" t="s">
        <v>99</v>
      </c>
      <c r="E2080">
        <v>22706</v>
      </c>
      <c r="F2080">
        <v>28254</v>
      </c>
      <c r="G2080">
        <v>18483</v>
      </c>
      <c r="H2080" t="s">
        <v>75</v>
      </c>
      <c r="I2080" t="s">
        <v>178</v>
      </c>
    </row>
    <row r="2081" spans="1:9" ht="15" customHeight="1" x14ac:dyDescent="0.35">
      <c r="A2081">
        <v>2023</v>
      </c>
      <c r="B2081" t="s">
        <v>157</v>
      </c>
      <c r="C2081">
        <v>10</v>
      </c>
      <c r="D2081" t="s">
        <v>99</v>
      </c>
      <c r="E2081">
        <v>25017</v>
      </c>
      <c r="F2081">
        <v>29139</v>
      </c>
      <c r="G2081">
        <v>18500</v>
      </c>
      <c r="H2081" t="s">
        <v>75</v>
      </c>
      <c r="I2081" t="s">
        <v>178</v>
      </c>
    </row>
    <row r="2082" spans="1:9" ht="15" customHeight="1" x14ac:dyDescent="0.35">
      <c r="A2082">
        <v>2023</v>
      </c>
      <c r="B2082" t="s">
        <v>158</v>
      </c>
      <c r="C2082">
        <v>11</v>
      </c>
      <c r="D2082" t="s">
        <v>99</v>
      </c>
      <c r="E2082">
        <v>24113</v>
      </c>
      <c r="F2082">
        <v>28683</v>
      </c>
      <c r="G2082">
        <v>17687</v>
      </c>
      <c r="H2082" t="s">
        <v>75</v>
      </c>
      <c r="I2082" t="s">
        <v>178</v>
      </c>
    </row>
    <row r="2083" spans="1:9" ht="15" customHeight="1" x14ac:dyDescent="0.35">
      <c r="A2083">
        <v>2023</v>
      </c>
      <c r="B2083" t="s">
        <v>159</v>
      </c>
      <c r="C2083">
        <v>12</v>
      </c>
      <c r="D2083" t="s">
        <v>99</v>
      </c>
      <c r="E2083">
        <v>22488</v>
      </c>
      <c r="F2083">
        <v>28415</v>
      </c>
      <c r="G2083">
        <v>17477</v>
      </c>
      <c r="H2083" t="s">
        <v>75</v>
      </c>
      <c r="I2083" t="s">
        <v>178</v>
      </c>
    </row>
    <row r="2084" spans="1:9" ht="15" customHeight="1" x14ac:dyDescent="0.35">
      <c r="A2084">
        <v>2024</v>
      </c>
      <c r="B2084" t="s">
        <v>147</v>
      </c>
      <c r="C2084">
        <v>1</v>
      </c>
      <c r="D2084" t="s">
        <v>99</v>
      </c>
      <c r="E2084">
        <v>24060</v>
      </c>
      <c r="F2084">
        <v>28989</v>
      </c>
      <c r="G2084">
        <v>19091</v>
      </c>
      <c r="H2084" t="s">
        <v>75</v>
      </c>
      <c r="I2084" t="s">
        <v>178</v>
      </c>
    </row>
    <row r="2085" spans="1:9" ht="15" customHeight="1" x14ac:dyDescent="0.35">
      <c r="A2085">
        <v>2024</v>
      </c>
      <c r="B2085" t="s">
        <v>149</v>
      </c>
      <c r="C2085">
        <v>2</v>
      </c>
      <c r="D2085" t="s">
        <v>99</v>
      </c>
      <c r="E2085">
        <v>25393</v>
      </c>
      <c r="F2085">
        <v>29616</v>
      </c>
      <c r="G2085">
        <v>21249</v>
      </c>
      <c r="H2085" t="s">
        <v>75</v>
      </c>
      <c r="I2085" t="s">
        <v>178</v>
      </c>
    </row>
    <row r="2086" spans="1:9" ht="15" customHeight="1" x14ac:dyDescent="0.35">
      <c r="A2086">
        <v>2024</v>
      </c>
      <c r="B2086" t="s">
        <v>150</v>
      </c>
      <c r="C2086">
        <v>3</v>
      </c>
      <c r="D2086" t="s">
        <v>99</v>
      </c>
      <c r="E2086">
        <v>25890</v>
      </c>
      <c r="F2086">
        <v>29699</v>
      </c>
      <c r="G2086">
        <v>22038</v>
      </c>
      <c r="H2086" t="s">
        <v>75</v>
      </c>
      <c r="I2086" t="s">
        <v>178</v>
      </c>
    </row>
    <row r="2087" spans="1:9" ht="15" customHeight="1" x14ac:dyDescent="0.35">
      <c r="A2087">
        <v>2024</v>
      </c>
      <c r="B2087" t="s">
        <v>151</v>
      </c>
      <c r="C2087">
        <v>4</v>
      </c>
      <c r="D2087" t="s">
        <v>99</v>
      </c>
      <c r="E2087">
        <v>25909</v>
      </c>
      <c r="F2087">
        <v>29699</v>
      </c>
      <c r="G2087">
        <v>22038</v>
      </c>
      <c r="H2087" t="s">
        <v>77</v>
      </c>
      <c r="I2087" t="s">
        <v>178</v>
      </c>
    </row>
    <row r="2088" spans="1:9" ht="15" customHeight="1" x14ac:dyDescent="0.35">
      <c r="A2088">
        <v>2024</v>
      </c>
      <c r="B2088" t="s">
        <v>152</v>
      </c>
      <c r="C2088">
        <v>5</v>
      </c>
      <c r="D2088" t="s">
        <v>99</v>
      </c>
      <c r="E2088">
        <v>25721</v>
      </c>
      <c r="F2088">
        <v>29402</v>
      </c>
      <c r="G2088">
        <v>21776</v>
      </c>
      <c r="H2088" t="s">
        <v>77</v>
      </c>
      <c r="I2088" t="s">
        <v>178</v>
      </c>
    </row>
    <row r="2089" spans="1:9" ht="15" customHeight="1" x14ac:dyDescent="0.35">
      <c r="A2089">
        <v>2024</v>
      </c>
      <c r="B2089" t="s">
        <v>153</v>
      </c>
      <c r="C2089">
        <v>6</v>
      </c>
      <c r="D2089" t="s">
        <v>99</v>
      </c>
      <c r="E2089">
        <v>23274</v>
      </c>
      <c r="F2089">
        <v>28715</v>
      </c>
      <c r="G2089">
        <v>18774</v>
      </c>
      <c r="H2089" t="s">
        <v>77</v>
      </c>
      <c r="I2089" t="s">
        <v>178</v>
      </c>
    </row>
    <row r="2090" spans="1:9" ht="15" customHeight="1" x14ac:dyDescent="0.35">
      <c r="A2090">
        <v>2024</v>
      </c>
      <c r="B2090" t="s">
        <v>154</v>
      </c>
      <c r="C2090">
        <v>7</v>
      </c>
      <c r="D2090" t="s">
        <v>99</v>
      </c>
      <c r="E2090">
        <v>20786</v>
      </c>
      <c r="F2090">
        <v>25009</v>
      </c>
      <c r="G2090">
        <v>16526</v>
      </c>
      <c r="H2090" t="s">
        <v>77</v>
      </c>
      <c r="I2090" t="s">
        <v>178</v>
      </c>
    </row>
    <row r="2091" spans="1:9" ht="15" customHeight="1" x14ac:dyDescent="0.35">
      <c r="A2091">
        <v>2024</v>
      </c>
      <c r="B2091" t="s">
        <v>155</v>
      </c>
      <c r="C2091">
        <v>8</v>
      </c>
      <c r="D2091" t="s">
        <v>99</v>
      </c>
      <c r="E2091">
        <v>20893</v>
      </c>
      <c r="F2091">
        <v>25168</v>
      </c>
      <c r="G2091">
        <v>16370</v>
      </c>
      <c r="H2091" t="s">
        <v>77</v>
      </c>
      <c r="I2091" t="s">
        <v>178</v>
      </c>
    </row>
    <row r="2092" spans="1:9" ht="15" customHeight="1" x14ac:dyDescent="0.35">
      <c r="A2092">
        <v>2024</v>
      </c>
      <c r="B2092" t="s">
        <v>156</v>
      </c>
      <c r="C2092">
        <v>9</v>
      </c>
      <c r="D2092" t="s">
        <v>99</v>
      </c>
      <c r="E2092">
        <v>21181</v>
      </c>
      <c r="F2092">
        <v>25237</v>
      </c>
      <c r="G2092">
        <v>16948</v>
      </c>
      <c r="H2092" t="s">
        <v>77</v>
      </c>
      <c r="I2092" t="s">
        <v>178</v>
      </c>
    </row>
    <row r="2093" spans="1:9" ht="15" customHeight="1" x14ac:dyDescent="0.35">
      <c r="A2093">
        <v>2024</v>
      </c>
      <c r="B2093" t="s">
        <v>157</v>
      </c>
      <c r="C2093">
        <v>10</v>
      </c>
      <c r="D2093" t="s">
        <v>99</v>
      </c>
      <c r="E2093">
        <v>22538</v>
      </c>
      <c r="F2093">
        <v>26588</v>
      </c>
      <c r="G2093">
        <v>18255</v>
      </c>
      <c r="H2093" t="s">
        <v>77</v>
      </c>
      <c r="I2093" t="s">
        <v>178</v>
      </c>
    </row>
    <row r="2094" spans="1:9" ht="15" customHeight="1" x14ac:dyDescent="0.35">
      <c r="A2094">
        <v>2024</v>
      </c>
      <c r="B2094" t="s">
        <v>158</v>
      </c>
      <c r="C2094">
        <v>11</v>
      </c>
      <c r="D2094" t="s">
        <v>99</v>
      </c>
      <c r="E2094">
        <v>23026</v>
      </c>
      <c r="F2094">
        <v>27413</v>
      </c>
      <c r="G2094">
        <v>18140</v>
      </c>
      <c r="H2094" t="s">
        <v>77</v>
      </c>
      <c r="I2094" t="s">
        <v>178</v>
      </c>
    </row>
    <row r="2095" spans="1:9" ht="15" customHeight="1" x14ac:dyDescent="0.35">
      <c r="A2095">
        <v>2024</v>
      </c>
      <c r="B2095" t="s">
        <v>159</v>
      </c>
      <c r="C2095">
        <v>12</v>
      </c>
      <c r="D2095" t="s">
        <v>99</v>
      </c>
      <c r="E2095">
        <v>23605</v>
      </c>
      <c r="F2095">
        <v>28397</v>
      </c>
      <c r="G2095">
        <v>18625</v>
      </c>
      <c r="H2095" t="s">
        <v>77</v>
      </c>
      <c r="I2095" t="s">
        <v>178</v>
      </c>
    </row>
    <row r="2096" spans="1:9" ht="15" customHeight="1" x14ac:dyDescent="0.35">
      <c r="A2096">
        <v>2025</v>
      </c>
      <c r="B2096" t="s">
        <v>147</v>
      </c>
      <c r="C2096">
        <v>1</v>
      </c>
      <c r="D2096" t="s">
        <v>99</v>
      </c>
      <c r="E2096">
        <v>24683</v>
      </c>
      <c r="F2096">
        <v>29672</v>
      </c>
      <c r="G2096">
        <v>19670</v>
      </c>
      <c r="H2096" t="s">
        <v>77</v>
      </c>
      <c r="I2096" t="s">
        <v>178</v>
      </c>
    </row>
    <row r="2097" spans="1:9" ht="15" customHeight="1" x14ac:dyDescent="0.35">
      <c r="A2097">
        <v>2025</v>
      </c>
      <c r="B2097" t="s">
        <v>149</v>
      </c>
      <c r="C2097">
        <v>2</v>
      </c>
      <c r="D2097" t="s">
        <v>99</v>
      </c>
      <c r="E2097">
        <v>26468</v>
      </c>
      <c r="F2097">
        <v>30188</v>
      </c>
      <c r="G2097">
        <v>22291</v>
      </c>
      <c r="H2097" t="s">
        <v>77</v>
      </c>
      <c r="I2097" t="s">
        <v>178</v>
      </c>
    </row>
    <row r="2098" spans="1:9" ht="15" customHeight="1" x14ac:dyDescent="0.35">
      <c r="A2098">
        <v>2025</v>
      </c>
      <c r="B2098" t="s">
        <v>150</v>
      </c>
      <c r="C2098">
        <v>3</v>
      </c>
      <c r="D2098" t="s">
        <v>99</v>
      </c>
      <c r="E2098">
        <v>27227</v>
      </c>
      <c r="F2098">
        <v>30884</v>
      </c>
      <c r="G2098">
        <v>23580</v>
      </c>
      <c r="H2098" t="s">
        <v>77</v>
      </c>
      <c r="I2098" t="s">
        <v>178</v>
      </c>
    </row>
    <row r="2099" spans="1:9" ht="15" customHeight="1" x14ac:dyDescent="0.35">
      <c r="A2099">
        <v>2025</v>
      </c>
      <c r="B2099" t="s">
        <v>151</v>
      </c>
      <c r="C2099">
        <v>4</v>
      </c>
      <c r="D2099" t="s">
        <v>99</v>
      </c>
      <c r="E2099">
        <v>27130</v>
      </c>
      <c r="F2099">
        <v>30463</v>
      </c>
      <c r="G2099">
        <v>23075</v>
      </c>
      <c r="H2099" t="s">
        <v>78</v>
      </c>
      <c r="I2099" t="s">
        <v>178</v>
      </c>
    </row>
    <row r="2100" spans="1:9" ht="15" customHeight="1" x14ac:dyDescent="0.35">
      <c r="A2100">
        <v>2025</v>
      </c>
      <c r="B2100" t="s">
        <v>152</v>
      </c>
      <c r="C2100">
        <v>5</v>
      </c>
      <c r="D2100" t="s">
        <v>99</v>
      </c>
      <c r="E2100">
        <v>23165</v>
      </c>
      <c r="F2100">
        <v>28744</v>
      </c>
      <c r="G2100">
        <v>17702</v>
      </c>
      <c r="H2100" t="s">
        <v>78</v>
      </c>
      <c r="I2100" t="s">
        <v>178</v>
      </c>
    </row>
    <row r="2101" spans="1:9" ht="15" customHeight="1" x14ac:dyDescent="0.35">
      <c r="A2101">
        <v>2025</v>
      </c>
      <c r="B2101" t="s">
        <v>153</v>
      </c>
      <c r="C2101">
        <v>6</v>
      </c>
      <c r="D2101" t="s">
        <v>99</v>
      </c>
      <c r="E2101">
        <v>21831</v>
      </c>
      <c r="F2101">
        <v>25044</v>
      </c>
      <c r="G2101">
        <v>17560</v>
      </c>
      <c r="H2101" t="s">
        <v>78</v>
      </c>
      <c r="I2101" t="s">
        <v>178</v>
      </c>
    </row>
    <row r="2102" spans="1:9" ht="15" customHeight="1" x14ac:dyDescent="0.35">
      <c r="A2102">
        <v>2025</v>
      </c>
      <c r="B2102" t="s">
        <v>154</v>
      </c>
      <c r="C2102">
        <v>7</v>
      </c>
      <c r="D2102" t="s">
        <v>99</v>
      </c>
      <c r="E2102">
        <v>21975</v>
      </c>
      <c r="F2102">
        <v>26109</v>
      </c>
      <c r="G2102">
        <v>17081</v>
      </c>
      <c r="H2102" t="s">
        <v>78</v>
      </c>
      <c r="I2102" t="s">
        <v>178</v>
      </c>
    </row>
    <row r="2103" spans="1:9" ht="15" customHeight="1" x14ac:dyDescent="0.35">
      <c r="A2103">
        <v>2025</v>
      </c>
      <c r="B2103" t="s">
        <v>155</v>
      </c>
      <c r="C2103">
        <v>8</v>
      </c>
      <c r="D2103" t="s">
        <v>99</v>
      </c>
      <c r="E2103">
        <v>21502</v>
      </c>
      <c r="F2103">
        <v>26982</v>
      </c>
      <c r="G2103">
        <v>16604</v>
      </c>
      <c r="H2103" t="s">
        <v>78</v>
      </c>
      <c r="I2103" t="s">
        <v>178</v>
      </c>
    </row>
    <row r="2104" spans="1:9" ht="15" customHeight="1" x14ac:dyDescent="0.35">
      <c r="A2104">
        <v>2025</v>
      </c>
      <c r="B2104" t="s">
        <v>156</v>
      </c>
      <c r="C2104">
        <v>9</v>
      </c>
      <c r="D2104" t="s">
        <v>99</v>
      </c>
      <c r="E2104">
        <v>21012</v>
      </c>
      <c r="F2104">
        <v>25581</v>
      </c>
      <c r="G2104">
        <v>16489</v>
      </c>
      <c r="H2104" t="s">
        <v>78</v>
      </c>
      <c r="I2104" t="s">
        <v>178</v>
      </c>
    </row>
    <row r="2105" spans="1:9" ht="15" customHeight="1" x14ac:dyDescent="0.35">
      <c r="A2105">
        <v>2025</v>
      </c>
      <c r="B2105" t="s">
        <v>157</v>
      </c>
      <c r="C2105">
        <v>10</v>
      </c>
      <c r="D2105" t="s">
        <v>99</v>
      </c>
      <c r="E2105">
        <v>21552</v>
      </c>
      <c r="F2105">
        <v>27658</v>
      </c>
      <c r="G2105">
        <v>15648</v>
      </c>
      <c r="H2105" t="s">
        <v>78</v>
      </c>
      <c r="I2105" t="s">
        <v>178</v>
      </c>
    </row>
    <row r="2106" spans="1:9" ht="15" customHeight="1" x14ac:dyDescent="0.35">
      <c r="A2106">
        <v>2025</v>
      </c>
      <c r="B2106" t="s">
        <v>158</v>
      </c>
      <c r="C2106">
        <v>11</v>
      </c>
      <c r="D2106" t="s">
        <v>99</v>
      </c>
      <c r="E2106">
        <v>21882</v>
      </c>
      <c r="F2106">
        <v>27381</v>
      </c>
      <c r="G2106">
        <v>17379</v>
      </c>
      <c r="H2106" t="s">
        <v>78</v>
      </c>
      <c r="I2106" t="s">
        <v>178</v>
      </c>
    </row>
    <row r="2107" spans="1:9" ht="15" customHeight="1" x14ac:dyDescent="0.35">
      <c r="A2107">
        <v>2025</v>
      </c>
      <c r="B2107" t="s">
        <v>159</v>
      </c>
      <c r="C2107">
        <v>12</v>
      </c>
      <c r="D2107" t="s">
        <v>99</v>
      </c>
      <c r="E2107">
        <v>23742</v>
      </c>
      <c r="F2107">
        <v>28982</v>
      </c>
      <c r="G2107">
        <v>18232</v>
      </c>
      <c r="H2107" t="s">
        <v>78</v>
      </c>
      <c r="I2107" t="s">
        <v>178</v>
      </c>
    </row>
    <row r="2108" spans="1:9" ht="15" customHeight="1" x14ac:dyDescent="0.35">
      <c r="A2108">
        <v>2026</v>
      </c>
      <c r="B2108" t="s">
        <v>147</v>
      </c>
      <c r="C2108">
        <v>1</v>
      </c>
      <c r="D2108" t="s">
        <v>99</v>
      </c>
      <c r="E2108">
        <v>24771</v>
      </c>
      <c r="F2108">
        <v>30940</v>
      </c>
      <c r="G2108">
        <v>18933</v>
      </c>
      <c r="H2108" t="s">
        <v>78</v>
      </c>
      <c r="I2108" t="s">
        <v>178</v>
      </c>
    </row>
    <row r="2109" spans="1:9" ht="15" customHeight="1" x14ac:dyDescent="0.35">
      <c r="A2109">
        <v>2026</v>
      </c>
      <c r="B2109" t="s">
        <v>149</v>
      </c>
      <c r="C2109">
        <v>2</v>
      </c>
      <c r="D2109" t="s">
        <v>99</v>
      </c>
      <c r="E2109">
        <v>26434</v>
      </c>
      <c r="F2109">
        <v>30956</v>
      </c>
      <c r="G2109">
        <v>20740</v>
      </c>
      <c r="H2109" t="s">
        <v>78</v>
      </c>
      <c r="I2109" t="s">
        <v>178</v>
      </c>
    </row>
    <row r="2110" spans="1:9" ht="15" customHeight="1" x14ac:dyDescent="0.35">
      <c r="A2110">
        <v>2026</v>
      </c>
      <c r="B2110" t="s">
        <v>150</v>
      </c>
      <c r="C2110">
        <v>3</v>
      </c>
      <c r="D2110" t="s">
        <v>99</v>
      </c>
      <c r="E2110">
        <v>24771</v>
      </c>
      <c r="F2110">
        <v>30940</v>
      </c>
      <c r="G2110">
        <v>18933</v>
      </c>
      <c r="H2110" t="s">
        <v>78</v>
      </c>
      <c r="I2110" t="s">
        <v>178</v>
      </c>
    </row>
    <row r="2111" spans="1:9" ht="15" customHeight="1" x14ac:dyDescent="0.35">
      <c r="A2111">
        <v>2017</v>
      </c>
      <c r="B2111" t="s">
        <v>147</v>
      </c>
      <c r="C2111">
        <v>1</v>
      </c>
      <c r="D2111" t="s">
        <v>100</v>
      </c>
      <c r="E2111">
        <v>108</v>
      </c>
      <c r="F2111">
        <v>165</v>
      </c>
      <c r="G2111">
        <v>60</v>
      </c>
      <c r="H2111" t="s">
        <v>122</v>
      </c>
      <c r="I2111" t="s">
        <v>179</v>
      </c>
    </row>
    <row r="2112" spans="1:9" ht="15" customHeight="1" x14ac:dyDescent="0.35">
      <c r="A2112">
        <v>2017</v>
      </c>
      <c r="B2112" t="s">
        <v>149</v>
      </c>
      <c r="C2112">
        <v>2</v>
      </c>
      <c r="D2112" t="s">
        <v>100</v>
      </c>
      <c r="E2112">
        <v>91</v>
      </c>
      <c r="F2112">
        <v>155</v>
      </c>
      <c r="G2112">
        <v>37</v>
      </c>
      <c r="H2112" t="s">
        <v>122</v>
      </c>
      <c r="I2112" t="s">
        <v>179</v>
      </c>
    </row>
    <row r="2113" spans="1:9" ht="15" customHeight="1" x14ac:dyDescent="0.35">
      <c r="A2113">
        <v>2017</v>
      </c>
      <c r="B2113" t="s">
        <v>150</v>
      </c>
      <c r="C2113">
        <v>3</v>
      </c>
      <c r="D2113" t="s">
        <v>100</v>
      </c>
      <c r="E2113">
        <v>87</v>
      </c>
      <c r="F2113">
        <v>154</v>
      </c>
      <c r="G2113">
        <v>28</v>
      </c>
      <c r="H2113" t="s">
        <v>122</v>
      </c>
      <c r="I2113" t="s">
        <v>179</v>
      </c>
    </row>
    <row r="2114" spans="1:9" ht="15" customHeight="1" x14ac:dyDescent="0.35">
      <c r="A2114">
        <v>2017</v>
      </c>
      <c r="B2114" t="s">
        <v>151</v>
      </c>
      <c r="C2114">
        <v>4</v>
      </c>
      <c r="D2114" t="s">
        <v>100</v>
      </c>
      <c r="E2114">
        <v>80</v>
      </c>
      <c r="F2114">
        <v>149</v>
      </c>
      <c r="G2114">
        <v>7</v>
      </c>
      <c r="H2114" t="s">
        <v>123</v>
      </c>
      <c r="I2114" t="s">
        <v>179</v>
      </c>
    </row>
    <row r="2115" spans="1:9" ht="15" customHeight="1" x14ac:dyDescent="0.35">
      <c r="A2115">
        <v>2017</v>
      </c>
      <c r="B2115" t="s">
        <v>152</v>
      </c>
      <c r="C2115">
        <v>5</v>
      </c>
      <c r="D2115" t="s">
        <v>100</v>
      </c>
      <c r="E2115">
        <v>82</v>
      </c>
      <c r="F2115">
        <v>148</v>
      </c>
      <c r="G2115">
        <v>5</v>
      </c>
      <c r="H2115" t="s">
        <v>123</v>
      </c>
      <c r="I2115" t="s">
        <v>179</v>
      </c>
    </row>
    <row r="2116" spans="1:9" ht="15" customHeight="1" x14ac:dyDescent="0.35">
      <c r="A2116">
        <v>2017</v>
      </c>
      <c r="B2116" t="s">
        <v>153</v>
      </c>
      <c r="C2116">
        <v>6</v>
      </c>
      <c r="D2116" t="s">
        <v>100</v>
      </c>
      <c r="E2116">
        <v>81</v>
      </c>
      <c r="F2116">
        <v>150</v>
      </c>
      <c r="G2116">
        <v>20</v>
      </c>
      <c r="H2116" t="s">
        <v>123</v>
      </c>
      <c r="I2116" t="s">
        <v>179</v>
      </c>
    </row>
    <row r="2117" spans="1:9" ht="15" customHeight="1" x14ac:dyDescent="0.35">
      <c r="A2117">
        <v>2017</v>
      </c>
      <c r="B2117" t="s">
        <v>154</v>
      </c>
      <c r="C2117">
        <v>7</v>
      </c>
      <c r="D2117" t="s">
        <v>100</v>
      </c>
      <c r="E2117">
        <v>81</v>
      </c>
      <c r="F2117">
        <v>148</v>
      </c>
      <c r="G2117">
        <v>23</v>
      </c>
      <c r="H2117" t="s">
        <v>123</v>
      </c>
      <c r="I2117" t="s">
        <v>179</v>
      </c>
    </row>
    <row r="2118" spans="1:9" ht="15" customHeight="1" x14ac:dyDescent="0.35">
      <c r="A2118">
        <v>2017</v>
      </c>
      <c r="B2118" t="s">
        <v>155</v>
      </c>
      <c r="C2118">
        <v>8</v>
      </c>
      <c r="D2118" t="s">
        <v>100</v>
      </c>
      <c r="E2118">
        <v>89</v>
      </c>
      <c r="F2118">
        <v>156</v>
      </c>
      <c r="G2118">
        <v>46</v>
      </c>
      <c r="H2118" t="s">
        <v>123</v>
      </c>
      <c r="I2118" t="s">
        <v>179</v>
      </c>
    </row>
    <row r="2119" spans="1:9" ht="15" customHeight="1" x14ac:dyDescent="0.35">
      <c r="A2119">
        <v>2017</v>
      </c>
      <c r="B2119" t="s">
        <v>156</v>
      </c>
      <c r="C2119">
        <v>9</v>
      </c>
      <c r="D2119" t="s">
        <v>100</v>
      </c>
      <c r="E2119">
        <v>89</v>
      </c>
      <c r="F2119">
        <v>160</v>
      </c>
      <c r="G2119">
        <v>31</v>
      </c>
      <c r="H2119" t="s">
        <v>123</v>
      </c>
      <c r="I2119" t="s">
        <v>179</v>
      </c>
    </row>
    <row r="2120" spans="1:9" ht="15" customHeight="1" x14ac:dyDescent="0.35">
      <c r="A2120">
        <v>2017</v>
      </c>
      <c r="B2120" t="s">
        <v>157</v>
      </c>
      <c r="C2120">
        <v>10</v>
      </c>
      <c r="D2120" t="s">
        <v>100</v>
      </c>
      <c r="E2120">
        <v>94</v>
      </c>
      <c r="F2120">
        <v>165</v>
      </c>
      <c r="G2120">
        <v>40</v>
      </c>
      <c r="H2120" t="s">
        <v>123</v>
      </c>
      <c r="I2120" t="s">
        <v>179</v>
      </c>
    </row>
    <row r="2121" spans="1:9" ht="15" customHeight="1" x14ac:dyDescent="0.35">
      <c r="A2121">
        <v>2017</v>
      </c>
      <c r="B2121" t="s">
        <v>158</v>
      </c>
      <c r="C2121">
        <v>11</v>
      </c>
      <c r="D2121" t="s">
        <v>100</v>
      </c>
      <c r="E2121">
        <v>99</v>
      </c>
      <c r="F2121">
        <v>172</v>
      </c>
      <c r="G2121">
        <v>56</v>
      </c>
      <c r="H2121" t="s">
        <v>123</v>
      </c>
      <c r="I2121" t="s">
        <v>179</v>
      </c>
    </row>
    <row r="2122" spans="1:9" ht="15" customHeight="1" x14ac:dyDescent="0.35">
      <c r="A2122">
        <v>2017</v>
      </c>
      <c r="B2122" t="s">
        <v>159</v>
      </c>
      <c r="C2122">
        <v>12</v>
      </c>
      <c r="D2122" t="s">
        <v>100</v>
      </c>
      <c r="E2122">
        <v>109</v>
      </c>
      <c r="F2122">
        <v>180</v>
      </c>
      <c r="G2122">
        <v>49</v>
      </c>
      <c r="H2122" t="s">
        <v>123</v>
      </c>
      <c r="I2122" t="s">
        <v>179</v>
      </c>
    </row>
    <row r="2123" spans="1:9" ht="15" customHeight="1" x14ac:dyDescent="0.35">
      <c r="A2123">
        <v>2018</v>
      </c>
      <c r="B2123" t="s">
        <v>147</v>
      </c>
      <c r="C2123">
        <v>1</v>
      </c>
      <c r="D2123" t="s">
        <v>100</v>
      </c>
      <c r="E2123">
        <v>117</v>
      </c>
      <c r="F2123">
        <v>189</v>
      </c>
      <c r="G2123">
        <v>69</v>
      </c>
      <c r="H2123" t="s">
        <v>123</v>
      </c>
      <c r="I2123" t="s">
        <v>179</v>
      </c>
    </row>
    <row r="2124" spans="1:9" ht="15" customHeight="1" x14ac:dyDescent="0.35">
      <c r="A2124">
        <v>2018</v>
      </c>
      <c r="B2124" t="s">
        <v>149</v>
      </c>
      <c r="C2124">
        <v>2</v>
      </c>
      <c r="D2124" t="s">
        <v>100</v>
      </c>
      <c r="E2124">
        <v>109</v>
      </c>
      <c r="F2124">
        <v>183</v>
      </c>
      <c r="G2124">
        <v>62</v>
      </c>
      <c r="H2124" t="s">
        <v>123</v>
      </c>
      <c r="I2124" t="s">
        <v>179</v>
      </c>
    </row>
    <row r="2125" spans="1:9" ht="15" customHeight="1" x14ac:dyDescent="0.35">
      <c r="A2125">
        <v>2018</v>
      </c>
      <c r="B2125" t="s">
        <v>150</v>
      </c>
      <c r="C2125">
        <v>3</v>
      </c>
      <c r="D2125" t="s">
        <v>100</v>
      </c>
      <c r="E2125">
        <v>93</v>
      </c>
      <c r="F2125">
        <v>173</v>
      </c>
      <c r="G2125">
        <v>26</v>
      </c>
      <c r="H2125" t="s">
        <v>123</v>
      </c>
      <c r="I2125" t="s">
        <v>179</v>
      </c>
    </row>
    <row r="2126" spans="1:9" ht="15" customHeight="1" x14ac:dyDescent="0.35">
      <c r="A2126">
        <v>2018</v>
      </c>
      <c r="B2126" t="s">
        <v>151</v>
      </c>
      <c r="C2126">
        <v>4</v>
      </c>
      <c r="D2126" t="s">
        <v>100</v>
      </c>
      <c r="E2126">
        <v>90</v>
      </c>
      <c r="F2126">
        <v>175</v>
      </c>
      <c r="G2126">
        <v>20</v>
      </c>
      <c r="H2126" t="s">
        <v>124</v>
      </c>
      <c r="I2126" t="s">
        <v>179</v>
      </c>
    </row>
    <row r="2127" spans="1:9" ht="15" customHeight="1" x14ac:dyDescent="0.35">
      <c r="A2127">
        <v>2018</v>
      </c>
      <c r="B2127" t="s">
        <v>152</v>
      </c>
      <c r="C2127">
        <v>5</v>
      </c>
      <c r="D2127" t="s">
        <v>100</v>
      </c>
      <c r="E2127">
        <v>91</v>
      </c>
      <c r="F2127">
        <v>158</v>
      </c>
      <c r="G2127">
        <v>30</v>
      </c>
      <c r="H2127" t="s">
        <v>124</v>
      </c>
      <c r="I2127" t="s">
        <v>179</v>
      </c>
    </row>
    <row r="2128" spans="1:9" ht="15" customHeight="1" x14ac:dyDescent="0.35">
      <c r="A2128">
        <v>2018</v>
      </c>
      <c r="B2128" t="s">
        <v>153</v>
      </c>
      <c r="C2128">
        <v>6</v>
      </c>
      <c r="D2128" t="s">
        <v>100</v>
      </c>
      <c r="E2128">
        <v>92</v>
      </c>
      <c r="F2128">
        <v>158</v>
      </c>
      <c r="G2128">
        <v>23</v>
      </c>
      <c r="H2128" t="s">
        <v>124</v>
      </c>
      <c r="I2128" t="s">
        <v>179</v>
      </c>
    </row>
    <row r="2129" spans="1:9" ht="15" customHeight="1" x14ac:dyDescent="0.35">
      <c r="A2129">
        <v>2018</v>
      </c>
      <c r="B2129" t="s">
        <v>154</v>
      </c>
      <c r="C2129">
        <v>7</v>
      </c>
      <c r="D2129" t="s">
        <v>100</v>
      </c>
      <c r="E2129">
        <v>95</v>
      </c>
      <c r="F2129">
        <v>162</v>
      </c>
      <c r="G2129">
        <v>46</v>
      </c>
      <c r="H2129" t="s">
        <v>124</v>
      </c>
      <c r="I2129" t="s">
        <v>179</v>
      </c>
    </row>
    <row r="2130" spans="1:9" ht="15" customHeight="1" x14ac:dyDescent="0.35">
      <c r="A2130">
        <v>2018</v>
      </c>
      <c r="B2130" t="s">
        <v>155</v>
      </c>
      <c r="C2130">
        <v>8</v>
      </c>
      <c r="D2130" t="s">
        <v>100</v>
      </c>
      <c r="E2130">
        <v>93</v>
      </c>
      <c r="F2130">
        <v>179</v>
      </c>
      <c r="G2130">
        <v>40</v>
      </c>
      <c r="H2130" t="s">
        <v>124</v>
      </c>
      <c r="I2130" t="s">
        <v>179</v>
      </c>
    </row>
    <row r="2131" spans="1:9" ht="15" customHeight="1" x14ac:dyDescent="0.35">
      <c r="A2131">
        <v>2018</v>
      </c>
      <c r="B2131" t="s">
        <v>156</v>
      </c>
      <c r="C2131">
        <v>9</v>
      </c>
      <c r="D2131" t="s">
        <v>100</v>
      </c>
      <c r="E2131">
        <v>99</v>
      </c>
      <c r="F2131">
        <v>201</v>
      </c>
      <c r="G2131">
        <v>49</v>
      </c>
      <c r="H2131" t="s">
        <v>124</v>
      </c>
      <c r="I2131" t="s">
        <v>179</v>
      </c>
    </row>
    <row r="2132" spans="1:9" ht="15" customHeight="1" x14ac:dyDescent="0.35">
      <c r="A2132">
        <v>2018</v>
      </c>
      <c r="B2132" t="s">
        <v>157</v>
      </c>
      <c r="C2132">
        <v>10</v>
      </c>
      <c r="D2132" t="s">
        <v>100</v>
      </c>
      <c r="E2132">
        <v>96</v>
      </c>
      <c r="F2132">
        <v>182</v>
      </c>
      <c r="G2132">
        <v>36</v>
      </c>
      <c r="H2132" t="s">
        <v>124</v>
      </c>
      <c r="I2132" t="s">
        <v>179</v>
      </c>
    </row>
    <row r="2133" spans="1:9" ht="15" customHeight="1" x14ac:dyDescent="0.35">
      <c r="A2133">
        <v>2018</v>
      </c>
      <c r="B2133" t="s">
        <v>158</v>
      </c>
      <c r="C2133">
        <v>11</v>
      </c>
      <c r="D2133" t="s">
        <v>100</v>
      </c>
      <c r="E2133">
        <v>105</v>
      </c>
      <c r="F2133">
        <v>191</v>
      </c>
      <c r="G2133">
        <v>54</v>
      </c>
      <c r="H2133" t="s">
        <v>124</v>
      </c>
      <c r="I2133" t="s">
        <v>179</v>
      </c>
    </row>
    <row r="2134" spans="1:9" ht="15" customHeight="1" x14ac:dyDescent="0.35">
      <c r="A2134">
        <v>2018</v>
      </c>
      <c r="B2134" t="s">
        <v>159</v>
      </c>
      <c r="C2134">
        <v>12</v>
      </c>
      <c r="D2134" t="s">
        <v>100</v>
      </c>
      <c r="E2134">
        <v>119</v>
      </c>
      <c r="F2134">
        <v>201</v>
      </c>
      <c r="G2134">
        <v>52</v>
      </c>
      <c r="H2134" t="s">
        <v>124</v>
      </c>
      <c r="I2134" t="s">
        <v>179</v>
      </c>
    </row>
    <row r="2135" spans="1:9" ht="15" customHeight="1" x14ac:dyDescent="0.35">
      <c r="A2135">
        <v>2019</v>
      </c>
      <c r="B2135" t="s">
        <v>147</v>
      </c>
      <c r="C2135">
        <v>1</v>
      </c>
      <c r="D2135" t="s">
        <v>100</v>
      </c>
      <c r="E2135">
        <v>123</v>
      </c>
      <c r="F2135">
        <v>202</v>
      </c>
      <c r="G2135">
        <v>61</v>
      </c>
      <c r="H2135" t="s">
        <v>124</v>
      </c>
      <c r="I2135" t="s">
        <v>179</v>
      </c>
    </row>
    <row r="2136" spans="1:9" ht="15" customHeight="1" x14ac:dyDescent="0.35">
      <c r="A2136">
        <v>2019</v>
      </c>
      <c r="B2136" t="s">
        <v>149</v>
      </c>
      <c r="C2136">
        <v>2</v>
      </c>
      <c r="D2136" t="s">
        <v>100</v>
      </c>
      <c r="E2136">
        <v>108</v>
      </c>
      <c r="F2136">
        <v>191</v>
      </c>
      <c r="G2136">
        <v>41</v>
      </c>
      <c r="H2136" t="s">
        <v>124</v>
      </c>
      <c r="I2136" t="s">
        <v>179</v>
      </c>
    </row>
    <row r="2137" spans="1:9" ht="15" customHeight="1" x14ac:dyDescent="0.35">
      <c r="A2137">
        <v>2019</v>
      </c>
      <c r="B2137" t="s">
        <v>150</v>
      </c>
      <c r="C2137">
        <v>3</v>
      </c>
      <c r="D2137" t="s">
        <v>100</v>
      </c>
      <c r="E2137">
        <v>103</v>
      </c>
      <c r="F2137">
        <v>191</v>
      </c>
      <c r="G2137">
        <v>48</v>
      </c>
      <c r="H2137" t="s">
        <v>124</v>
      </c>
      <c r="I2137" t="s">
        <v>179</v>
      </c>
    </row>
    <row r="2138" spans="1:9" ht="15" customHeight="1" x14ac:dyDescent="0.35">
      <c r="A2138">
        <v>2019</v>
      </c>
      <c r="B2138" t="s">
        <v>151</v>
      </c>
      <c r="C2138">
        <v>4</v>
      </c>
      <c r="D2138" t="s">
        <v>100</v>
      </c>
      <c r="E2138">
        <v>86</v>
      </c>
      <c r="F2138">
        <v>174</v>
      </c>
      <c r="G2138">
        <v>18</v>
      </c>
      <c r="H2138" t="s">
        <v>71</v>
      </c>
      <c r="I2138" t="s">
        <v>179</v>
      </c>
    </row>
    <row r="2139" spans="1:9" ht="15" customHeight="1" x14ac:dyDescent="0.35">
      <c r="A2139">
        <v>2019</v>
      </c>
      <c r="B2139" t="s">
        <v>152</v>
      </c>
      <c r="C2139">
        <v>5</v>
      </c>
      <c r="D2139" t="s">
        <v>100</v>
      </c>
      <c r="E2139">
        <v>94</v>
      </c>
      <c r="F2139">
        <v>171</v>
      </c>
      <c r="G2139">
        <v>15</v>
      </c>
      <c r="H2139" t="s">
        <v>71</v>
      </c>
      <c r="I2139" t="s">
        <v>179</v>
      </c>
    </row>
    <row r="2140" spans="1:9" ht="15" customHeight="1" x14ac:dyDescent="0.35">
      <c r="A2140">
        <v>2019</v>
      </c>
      <c r="B2140" t="s">
        <v>153</v>
      </c>
      <c r="C2140">
        <v>6</v>
      </c>
      <c r="D2140" t="s">
        <v>100</v>
      </c>
      <c r="E2140">
        <v>96</v>
      </c>
      <c r="F2140">
        <v>168</v>
      </c>
      <c r="G2140">
        <v>56</v>
      </c>
      <c r="H2140" t="s">
        <v>71</v>
      </c>
      <c r="I2140" t="s">
        <v>179</v>
      </c>
    </row>
    <row r="2141" spans="1:9" ht="15" customHeight="1" x14ac:dyDescent="0.35">
      <c r="A2141">
        <v>2019</v>
      </c>
      <c r="B2141" t="s">
        <v>154</v>
      </c>
      <c r="C2141">
        <v>7</v>
      </c>
      <c r="D2141" t="s">
        <v>100</v>
      </c>
      <c r="E2141">
        <v>99</v>
      </c>
      <c r="F2141">
        <v>176</v>
      </c>
      <c r="G2141">
        <v>47</v>
      </c>
      <c r="H2141" t="s">
        <v>71</v>
      </c>
      <c r="I2141" t="s">
        <v>179</v>
      </c>
    </row>
    <row r="2142" spans="1:9" ht="15" customHeight="1" x14ac:dyDescent="0.35">
      <c r="A2142">
        <v>2019</v>
      </c>
      <c r="B2142" t="s">
        <v>155</v>
      </c>
      <c r="C2142">
        <v>8</v>
      </c>
      <c r="D2142" t="s">
        <v>100</v>
      </c>
      <c r="E2142">
        <v>98</v>
      </c>
      <c r="F2142">
        <v>177</v>
      </c>
      <c r="G2142">
        <v>34</v>
      </c>
      <c r="H2142" t="s">
        <v>71</v>
      </c>
      <c r="I2142" t="s">
        <v>179</v>
      </c>
    </row>
    <row r="2143" spans="1:9" ht="15" customHeight="1" x14ac:dyDescent="0.35">
      <c r="A2143">
        <v>2019</v>
      </c>
      <c r="B2143" t="s">
        <v>156</v>
      </c>
      <c r="C2143">
        <v>9</v>
      </c>
      <c r="D2143" t="s">
        <v>100</v>
      </c>
      <c r="E2143">
        <v>94</v>
      </c>
      <c r="F2143">
        <v>174</v>
      </c>
      <c r="G2143">
        <v>50</v>
      </c>
      <c r="H2143" t="s">
        <v>71</v>
      </c>
      <c r="I2143" t="s">
        <v>179</v>
      </c>
    </row>
    <row r="2144" spans="1:9" ht="15" customHeight="1" x14ac:dyDescent="0.35">
      <c r="A2144">
        <v>2019</v>
      </c>
      <c r="B2144" t="s">
        <v>157</v>
      </c>
      <c r="C2144">
        <v>10</v>
      </c>
      <c r="D2144" t="s">
        <v>100</v>
      </c>
      <c r="E2144">
        <v>94</v>
      </c>
      <c r="F2144">
        <v>176</v>
      </c>
      <c r="G2144">
        <v>50</v>
      </c>
      <c r="H2144" t="s">
        <v>71</v>
      </c>
      <c r="I2144" t="s">
        <v>179</v>
      </c>
    </row>
    <row r="2145" spans="1:9" ht="15" customHeight="1" x14ac:dyDescent="0.35">
      <c r="A2145">
        <v>2019</v>
      </c>
      <c r="B2145" t="s">
        <v>158</v>
      </c>
      <c r="C2145">
        <v>11</v>
      </c>
      <c r="D2145" t="s">
        <v>100</v>
      </c>
      <c r="E2145">
        <v>101</v>
      </c>
      <c r="F2145">
        <v>195</v>
      </c>
      <c r="G2145">
        <v>51</v>
      </c>
      <c r="H2145" t="s">
        <v>71</v>
      </c>
      <c r="I2145" t="s">
        <v>179</v>
      </c>
    </row>
    <row r="2146" spans="1:9" ht="15" customHeight="1" x14ac:dyDescent="0.35">
      <c r="A2146">
        <v>2019</v>
      </c>
      <c r="B2146" t="s">
        <v>159</v>
      </c>
      <c r="C2146">
        <v>12</v>
      </c>
      <c r="D2146" t="s">
        <v>100</v>
      </c>
      <c r="E2146">
        <v>123</v>
      </c>
      <c r="F2146">
        <v>223</v>
      </c>
      <c r="G2146">
        <v>61</v>
      </c>
      <c r="H2146" t="s">
        <v>71</v>
      </c>
      <c r="I2146" t="s">
        <v>179</v>
      </c>
    </row>
    <row r="2147" spans="1:9" ht="15" customHeight="1" x14ac:dyDescent="0.35">
      <c r="A2147">
        <v>2020</v>
      </c>
      <c r="B2147" t="s">
        <v>147</v>
      </c>
      <c r="C2147">
        <v>1</v>
      </c>
      <c r="D2147" t="s">
        <v>100</v>
      </c>
      <c r="E2147">
        <v>127</v>
      </c>
      <c r="F2147">
        <v>209</v>
      </c>
      <c r="G2147">
        <v>57</v>
      </c>
      <c r="H2147" t="s">
        <v>71</v>
      </c>
      <c r="I2147" t="s">
        <v>179</v>
      </c>
    </row>
    <row r="2148" spans="1:9" ht="15" customHeight="1" x14ac:dyDescent="0.35">
      <c r="A2148">
        <v>2020</v>
      </c>
      <c r="B2148" t="s">
        <v>149</v>
      </c>
      <c r="C2148">
        <v>2</v>
      </c>
      <c r="D2148" t="s">
        <v>100</v>
      </c>
      <c r="E2148">
        <v>119</v>
      </c>
      <c r="F2148">
        <v>203</v>
      </c>
      <c r="G2148">
        <v>56</v>
      </c>
      <c r="H2148" t="s">
        <v>71</v>
      </c>
      <c r="I2148" t="s">
        <v>179</v>
      </c>
    </row>
    <row r="2149" spans="1:9" ht="15" customHeight="1" x14ac:dyDescent="0.35">
      <c r="A2149">
        <v>2020</v>
      </c>
      <c r="B2149" t="s">
        <v>150</v>
      </c>
      <c r="C2149">
        <v>3</v>
      </c>
      <c r="D2149" t="s">
        <v>100</v>
      </c>
      <c r="E2149">
        <v>100</v>
      </c>
      <c r="F2149">
        <v>187</v>
      </c>
      <c r="G2149">
        <v>44</v>
      </c>
      <c r="H2149" t="s">
        <v>71</v>
      </c>
      <c r="I2149" t="s">
        <v>179</v>
      </c>
    </row>
    <row r="2150" spans="1:9" ht="15" customHeight="1" x14ac:dyDescent="0.35">
      <c r="A2150">
        <v>2020</v>
      </c>
      <c r="B2150" t="s">
        <v>151</v>
      </c>
      <c r="C2150">
        <v>4</v>
      </c>
      <c r="D2150" t="s">
        <v>100</v>
      </c>
      <c r="E2150">
        <v>88</v>
      </c>
      <c r="F2150">
        <v>178</v>
      </c>
      <c r="G2150">
        <v>14</v>
      </c>
      <c r="H2150" t="s">
        <v>72</v>
      </c>
      <c r="I2150" t="s">
        <v>179</v>
      </c>
    </row>
    <row r="2151" spans="1:9" ht="15" customHeight="1" x14ac:dyDescent="0.35">
      <c r="A2151">
        <v>2020</v>
      </c>
      <c r="B2151" t="s">
        <v>152</v>
      </c>
      <c r="C2151">
        <v>5</v>
      </c>
      <c r="D2151" t="s">
        <v>100</v>
      </c>
      <c r="E2151">
        <v>94</v>
      </c>
      <c r="F2151">
        <v>181</v>
      </c>
      <c r="G2151">
        <v>25</v>
      </c>
      <c r="H2151" t="s">
        <v>72</v>
      </c>
      <c r="I2151" t="s">
        <v>179</v>
      </c>
    </row>
    <row r="2152" spans="1:9" ht="15" customHeight="1" x14ac:dyDescent="0.35">
      <c r="A2152">
        <v>2020</v>
      </c>
      <c r="B2152" t="s">
        <v>153</v>
      </c>
      <c r="C2152">
        <v>6</v>
      </c>
      <c r="D2152" t="s">
        <v>100</v>
      </c>
      <c r="E2152">
        <v>99</v>
      </c>
      <c r="F2152">
        <v>194</v>
      </c>
      <c r="G2152">
        <v>50</v>
      </c>
      <c r="H2152" t="s">
        <v>72</v>
      </c>
      <c r="I2152" t="s">
        <v>179</v>
      </c>
    </row>
    <row r="2153" spans="1:9" ht="15" customHeight="1" x14ac:dyDescent="0.35">
      <c r="A2153">
        <v>2020</v>
      </c>
      <c r="B2153" t="s">
        <v>154</v>
      </c>
      <c r="C2153">
        <v>7</v>
      </c>
      <c r="D2153" t="s">
        <v>100</v>
      </c>
      <c r="E2153">
        <v>102</v>
      </c>
      <c r="F2153">
        <v>208</v>
      </c>
      <c r="G2153">
        <v>47</v>
      </c>
      <c r="H2153" t="s">
        <v>72</v>
      </c>
      <c r="I2153" t="s">
        <v>179</v>
      </c>
    </row>
    <row r="2154" spans="1:9" ht="15" customHeight="1" x14ac:dyDescent="0.35">
      <c r="A2154">
        <v>2020</v>
      </c>
      <c r="B2154" t="s">
        <v>155</v>
      </c>
      <c r="C2154">
        <v>8</v>
      </c>
      <c r="D2154" t="s">
        <v>100</v>
      </c>
      <c r="E2154">
        <v>103</v>
      </c>
      <c r="F2154">
        <v>192</v>
      </c>
      <c r="G2154">
        <v>62</v>
      </c>
      <c r="H2154" t="s">
        <v>72</v>
      </c>
      <c r="I2154" t="s">
        <v>179</v>
      </c>
    </row>
    <row r="2155" spans="1:9" ht="15" customHeight="1" x14ac:dyDescent="0.35">
      <c r="A2155">
        <v>2020</v>
      </c>
      <c r="B2155" t="s">
        <v>156</v>
      </c>
      <c r="C2155">
        <v>9</v>
      </c>
      <c r="D2155" t="s">
        <v>100</v>
      </c>
      <c r="E2155">
        <v>105</v>
      </c>
      <c r="F2155">
        <v>193</v>
      </c>
      <c r="G2155">
        <v>39</v>
      </c>
      <c r="H2155" t="s">
        <v>72</v>
      </c>
      <c r="I2155" t="s">
        <v>179</v>
      </c>
    </row>
    <row r="2156" spans="1:9" ht="15" customHeight="1" x14ac:dyDescent="0.35">
      <c r="A2156">
        <v>2020</v>
      </c>
      <c r="B2156" t="s">
        <v>157</v>
      </c>
      <c r="C2156">
        <v>10</v>
      </c>
      <c r="D2156" t="s">
        <v>100</v>
      </c>
      <c r="E2156">
        <v>106</v>
      </c>
      <c r="F2156">
        <v>201</v>
      </c>
      <c r="G2156">
        <v>62</v>
      </c>
      <c r="H2156" t="s">
        <v>72</v>
      </c>
      <c r="I2156" t="s">
        <v>179</v>
      </c>
    </row>
    <row r="2157" spans="1:9" ht="15" customHeight="1" x14ac:dyDescent="0.35">
      <c r="A2157">
        <v>2020</v>
      </c>
      <c r="B2157" t="s">
        <v>158</v>
      </c>
      <c r="C2157">
        <v>11</v>
      </c>
      <c r="D2157" t="s">
        <v>100</v>
      </c>
      <c r="E2157">
        <v>115</v>
      </c>
      <c r="F2157">
        <v>211</v>
      </c>
      <c r="G2157">
        <v>58</v>
      </c>
      <c r="H2157" t="s">
        <v>72</v>
      </c>
      <c r="I2157" t="s">
        <v>179</v>
      </c>
    </row>
    <row r="2158" spans="1:9" ht="15" customHeight="1" x14ac:dyDescent="0.35">
      <c r="A2158">
        <v>2020</v>
      </c>
      <c r="B2158" t="s">
        <v>159</v>
      </c>
      <c r="C2158">
        <v>12</v>
      </c>
      <c r="D2158" t="s">
        <v>100</v>
      </c>
      <c r="E2158">
        <v>142</v>
      </c>
      <c r="F2158">
        <v>244</v>
      </c>
      <c r="G2158">
        <v>70</v>
      </c>
      <c r="H2158" t="s">
        <v>72</v>
      </c>
      <c r="I2158" t="s">
        <v>179</v>
      </c>
    </row>
    <row r="2159" spans="1:9" ht="15" customHeight="1" x14ac:dyDescent="0.35">
      <c r="A2159">
        <v>2021</v>
      </c>
      <c r="B2159" t="s">
        <v>147</v>
      </c>
      <c r="C2159">
        <v>1</v>
      </c>
      <c r="D2159" t="s">
        <v>100</v>
      </c>
      <c r="E2159">
        <v>136</v>
      </c>
      <c r="F2159">
        <v>232</v>
      </c>
      <c r="G2159">
        <v>54</v>
      </c>
      <c r="H2159" t="s">
        <v>72</v>
      </c>
      <c r="I2159" t="s">
        <v>179</v>
      </c>
    </row>
    <row r="2160" spans="1:9" ht="15" customHeight="1" x14ac:dyDescent="0.35">
      <c r="A2160">
        <v>2021</v>
      </c>
      <c r="B2160" t="s">
        <v>149</v>
      </c>
      <c r="C2160">
        <v>2</v>
      </c>
      <c r="D2160" t="s">
        <v>100</v>
      </c>
      <c r="E2160">
        <v>123</v>
      </c>
      <c r="F2160">
        <v>225</v>
      </c>
      <c r="G2160">
        <v>56</v>
      </c>
      <c r="H2160" t="s">
        <v>72</v>
      </c>
      <c r="I2160" t="s">
        <v>179</v>
      </c>
    </row>
    <row r="2161" spans="1:9" ht="15" customHeight="1" x14ac:dyDescent="0.35">
      <c r="A2161">
        <v>2021</v>
      </c>
      <c r="B2161" t="s">
        <v>150</v>
      </c>
      <c r="C2161">
        <v>3</v>
      </c>
      <c r="D2161" t="s">
        <v>100</v>
      </c>
      <c r="E2161">
        <v>106</v>
      </c>
      <c r="F2161">
        <v>195</v>
      </c>
      <c r="G2161">
        <v>33</v>
      </c>
      <c r="H2161" t="s">
        <v>72</v>
      </c>
      <c r="I2161" t="s">
        <v>179</v>
      </c>
    </row>
    <row r="2162" spans="1:9" ht="15" customHeight="1" x14ac:dyDescent="0.35">
      <c r="A2162">
        <v>2021</v>
      </c>
      <c r="B2162" t="s">
        <v>151</v>
      </c>
      <c r="C2162">
        <v>4</v>
      </c>
      <c r="D2162" t="s">
        <v>100</v>
      </c>
      <c r="E2162">
        <v>104</v>
      </c>
      <c r="F2162">
        <v>198</v>
      </c>
      <c r="G2162">
        <v>34</v>
      </c>
      <c r="H2162" t="s">
        <v>73</v>
      </c>
      <c r="I2162" t="s">
        <v>179</v>
      </c>
    </row>
    <row r="2163" spans="1:9" ht="15" customHeight="1" x14ac:dyDescent="0.35">
      <c r="A2163">
        <v>2021</v>
      </c>
      <c r="B2163" t="s">
        <v>152</v>
      </c>
      <c r="C2163">
        <v>5</v>
      </c>
      <c r="D2163" t="s">
        <v>100</v>
      </c>
      <c r="E2163">
        <v>104</v>
      </c>
      <c r="F2163">
        <v>199</v>
      </c>
      <c r="G2163">
        <v>54</v>
      </c>
      <c r="H2163" t="s">
        <v>73</v>
      </c>
      <c r="I2163" t="s">
        <v>179</v>
      </c>
    </row>
    <row r="2164" spans="1:9" ht="15" customHeight="1" x14ac:dyDescent="0.35">
      <c r="A2164">
        <v>2021</v>
      </c>
      <c r="B2164" t="s">
        <v>153</v>
      </c>
      <c r="C2164">
        <v>6</v>
      </c>
      <c r="D2164" t="s">
        <v>100</v>
      </c>
      <c r="E2164">
        <v>107</v>
      </c>
      <c r="F2164">
        <v>201</v>
      </c>
      <c r="G2164">
        <v>58</v>
      </c>
      <c r="H2164" t="s">
        <v>73</v>
      </c>
      <c r="I2164" t="s">
        <v>179</v>
      </c>
    </row>
    <row r="2165" spans="1:9" ht="15" customHeight="1" x14ac:dyDescent="0.35">
      <c r="A2165">
        <v>2021</v>
      </c>
      <c r="B2165" t="s">
        <v>154</v>
      </c>
      <c r="C2165">
        <v>7</v>
      </c>
      <c r="D2165" t="s">
        <v>100</v>
      </c>
      <c r="E2165">
        <v>107</v>
      </c>
      <c r="F2165">
        <v>196</v>
      </c>
      <c r="G2165">
        <v>61</v>
      </c>
      <c r="H2165" t="s">
        <v>73</v>
      </c>
      <c r="I2165" t="s">
        <v>179</v>
      </c>
    </row>
    <row r="2166" spans="1:9" ht="15" customHeight="1" x14ac:dyDescent="0.35">
      <c r="A2166">
        <v>2021</v>
      </c>
      <c r="B2166" t="s">
        <v>155</v>
      </c>
      <c r="C2166">
        <v>8</v>
      </c>
      <c r="D2166" t="s">
        <v>100</v>
      </c>
      <c r="E2166">
        <v>107</v>
      </c>
      <c r="F2166">
        <v>196</v>
      </c>
      <c r="G2166">
        <v>57</v>
      </c>
      <c r="H2166" t="s">
        <v>73</v>
      </c>
      <c r="I2166" t="s">
        <v>179</v>
      </c>
    </row>
    <row r="2167" spans="1:9" ht="15" customHeight="1" x14ac:dyDescent="0.35">
      <c r="A2167">
        <v>2021</v>
      </c>
      <c r="B2167" t="s">
        <v>156</v>
      </c>
      <c r="C2167">
        <v>9</v>
      </c>
      <c r="D2167" t="s">
        <v>100</v>
      </c>
      <c r="E2167">
        <v>109</v>
      </c>
      <c r="F2167">
        <v>197</v>
      </c>
      <c r="G2167">
        <v>60</v>
      </c>
      <c r="H2167" t="s">
        <v>73</v>
      </c>
      <c r="I2167" t="s">
        <v>179</v>
      </c>
    </row>
    <row r="2168" spans="1:9" ht="15" customHeight="1" x14ac:dyDescent="0.35">
      <c r="A2168">
        <v>2021</v>
      </c>
      <c r="B2168" t="s">
        <v>157</v>
      </c>
      <c r="C2168">
        <v>10</v>
      </c>
      <c r="D2168" t="s">
        <v>100</v>
      </c>
      <c r="E2168">
        <v>109</v>
      </c>
      <c r="F2168">
        <v>201</v>
      </c>
      <c r="G2168">
        <v>27</v>
      </c>
      <c r="H2168" t="s">
        <v>73</v>
      </c>
      <c r="I2168" t="s">
        <v>179</v>
      </c>
    </row>
    <row r="2169" spans="1:9" ht="15" customHeight="1" x14ac:dyDescent="0.35">
      <c r="A2169">
        <v>2021</v>
      </c>
      <c r="B2169" t="s">
        <v>158</v>
      </c>
      <c r="C2169">
        <v>11</v>
      </c>
      <c r="D2169" t="s">
        <v>100</v>
      </c>
      <c r="E2169">
        <v>112</v>
      </c>
      <c r="F2169">
        <v>214</v>
      </c>
      <c r="G2169">
        <v>57</v>
      </c>
      <c r="H2169" t="s">
        <v>73</v>
      </c>
      <c r="I2169" t="s">
        <v>179</v>
      </c>
    </row>
    <row r="2170" spans="1:9" ht="15" customHeight="1" x14ac:dyDescent="0.35">
      <c r="A2170">
        <v>2021</v>
      </c>
      <c r="B2170" t="s">
        <v>159</v>
      </c>
      <c r="C2170">
        <v>12</v>
      </c>
      <c r="D2170" t="s">
        <v>100</v>
      </c>
      <c r="E2170">
        <v>134</v>
      </c>
      <c r="F2170">
        <v>250</v>
      </c>
      <c r="G2170">
        <v>53</v>
      </c>
      <c r="H2170" t="s">
        <v>73</v>
      </c>
      <c r="I2170" t="s">
        <v>179</v>
      </c>
    </row>
    <row r="2171" spans="1:9" ht="15" customHeight="1" x14ac:dyDescent="0.35">
      <c r="A2171">
        <v>2022</v>
      </c>
      <c r="B2171" t="s">
        <v>147</v>
      </c>
      <c r="C2171">
        <v>1</v>
      </c>
      <c r="D2171" t="s">
        <v>100</v>
      </c>
      <c r="E2171">
        <v>146</v>
      </c>
      <c r="F2171">
        <v>255</v>
      </c>
      <c r="G2171">
        <v>62</v>
      </c>
      <c r="H2171" t="s">
        <v>73</v>
      </c>
      <c r="I2171" t="s">
        <v>179</v>
      </c>
    </row>
    <row r="2172" spans="1:9" ht="15" customHeight="1" x14ac:dyDescent="0.35">
      <c r="A2172">
        <v>2022</v>
      </c>
      <c r="B2172" t="s">
        <v>149</v>
      </c>
      <c r="C2172">
        <v>2</v>
      </c>
      <c r="D2172" t="s">
        <v>100</v>
      </c>
      <c r="E2172">
        <v>140</v>
      </c>
      <c r="F2172">
        <v>249</v>
      </c>
      <c r="G2172">
        <v>53</v>
      </c>
      <c r="H2172" t="s">
        <v>73</v>
      </c>
      <c r="I2172" t="s">
        <v>179</v>
      </c>
    </row>
    <row r="2173" spans="1:9" ht="15" customHeight="1" x14ac:dyDescent="0.35">
      <c r="A2173">
        <v>2022</v>
      </c>
      <c r="B2173" t="s">
        <v>150</v>
      </c>
      <c r="C2173">
        <v>3</v>
      </c>
      <c r="D2173" t="s">
        <v>100</v>
      </c>
      <c r="E2173">
        <v>111</v>
      </c>
      <c r="F2173">
        <v>207</v>
      </c>
      <c r="G2173">
        <v>41</v>
      </c>
      <c r="H2173" t="s">
        <v>73</v>
      </c>
      <c r="I2173" t="s">
        <v>179</v>
      </c>
    </row>
    <row r="2174" spans="1:9" ht="15" customHeight="1" x14ac:dyDescent="0.35">
      <c r="A2174">
        <v>2022</v>
      </c>
      <c r="B2174" t="s">
        <v>151</v>
      </c>
      <c r="C2174">
        <v>4</v>
      </c>
      <c r="D2174" t="s">
        <v>100</v>
      </c>
      <c r="E2174">
        <v>102</v>
      </c>
      <c r="F2174">
        <v>191</v>
      </c>
      <c r="G2174">
        <v>11</v>
      </c>
      <c r="H2174" t="s">
        <v>74</v>
      </c>
      <c r="I2174" t="s">
        <v>179</v>
      </c>
    </row>
    <row r="2175" spans="1:9" ht="15" customHeight="1" x14ac:dyDescent="0.35">
      <c r="A2175">
        <v>2022</v>
      </c>
      <c r="B2175" t="s">
        <v>152</v>
      </c>
      <c r="C2175">
        <v>5</v>
      </c>
      <c r="D2175" t="s">
        <v>100</v>
      </c>
      <c r="E2175">
        <v>101</v>
      </c>
      <c r="F2175">
        <v>184</v>
      </c>
      <c r="G2175">
        <v>42</v>
      </c>
      <c r="H2175" t="s">
        <v>74</v>
      </c>
      <c r="I2175" t="s">
        <v>179</v>
      </c>
    </row>
    <row r="2176" spans="1:9" ht="15" customHeight="1" x14ac:dyDescent="0.35">
      <c r="A2176">
        <v>2022</v>
      </c>
      <c r="B2176" t="s">
        <v>153</v>
      </c>
      <c r="C2176">
        <v>6</v>
      </c>
      <c r="D2176" t="s">
        <v>100</v>
      </c>
      <c r="E2176">
        <v>105</v>
      </c>
      <c r="F2176">
        <v>189</v>
      </c>
      <c r="G2176">
        <v>56</v>
      </c>
      <c r="H2176" t="s">
        <v>74</v>
      </c>
      <c r="I2176" t="s">
        <v>179</v>
      </c>
    </row>
    <row r="2177" spans="1:9" ht="15" customHeight="1" x14ac:dyDescent="0.35">
      <c r="A2177">
        <v>2022</v>
      </c>
      <c r="B2177" t="s">
        <v>154</v>
      </c>
      <c r="C2177">
        <v>7</v>
      </c>
      <c r="D2177" t="s">
        <v>100</v>
      </c>
      <c r="E2177">
        <v>111</v>
      </c>
      <c r="F2177">
        <v>194</v>
      </c>
      <c r="G2177">
        <v>57</v>
      </c>
      <c r="H2177" t="s">
        <v>74</v>
      </c>
      <c r="I2177" t="s">
        <v>179</v>
      </c>
    </row>
    <row r="2178" spans="1:9" ht="15" customHeight="1" x14ac:dyDescent="0.35">
      <c r="A2178">
        <v>2022</v>
      </c>
      <c r="B2178" t="s">
        <v>155</v>
      </c>
      <c r="C2178">
        <v>8</v>
      </c>
      <c r="D2178" t="s">
        <v>100</v>
      </c>
      <c r="E2178">
        <v>112</v>
      </c>
      <c r="F2178">
        <v>201</v>
      </c>
      <c r="G2178">
        <v>62</v>
      </c>
      <c r="H2178" t="s">
        <v>74</v>
      </c>
      <c r="I2178" t="s">
        <v>179</v>
      </c>
    </row>
    <row r="2179" spans="1:9" ht="15" customHeight="1" x14ac:dyDescent="0.35">
      <c r="A2179">
        <v>2022</v>
      </c>
      <c r="B2179" t="s">
        <v>156</v>
      </c>
      <c r="C2179">
        <v>9</v>
      </c>
      <c r="D2179" t="s">
        <v>100</v>
      </c>
      <c r="E2179">
        <v>113</v>
      </c>
      <c r="F2179">
        <v>194</v>
      </c>
      <c r="G2179">
        <v>64</v>
      </c>
      <c r="H2179" t="s">
        <v>74</v>
      </c>
      <c r="I2179" t="s">
        <v>179</v>
      </c>
    </row>
    <row r="2180" spans="1:9" ht="15" customHeight="1" x14ac:dyDescent="0.35">
      <c r="A2180">
        <v>2022</v>
      </c>
      <c r="B2180" t="s">
        <v>157</v>
      </c>
      <c r="C2180">
        <v>10</v>
      </c>
      <c r="D2180" t="s">
        <v>100</v>
      </c>
      <c r="E2180">
        <v>107</v>
      </c>
      <c r="F2180">
        <v>196</v>
      </c>
      <c r="G2180">
        <v>46</v>
      </c>
      <c r="H2180" t="s">
        <v>74</v>
      </c>
      <c r="I2180" t="s">
        <v>179</v>
      </c>
    </row>
    <row r="2181" spans="1:9" ht="15" customHeight="1" x14ac:dyDescent="0.35">
      <c r="A2181">
        <v>2022</v>
      </c>
      <c r="B2181" t="s">
        <v>158</v>
      </c>
      <c r="C2181">
        <v>11</v>
      </c>
      <c r="D2181" t="s">
        <v>100</v>
      </c>
      <c r="E2181">
        <v>116</v>
      </c>
      <c r="F2181">
        <v>211</v>
      </c>
      <c r="G2181">
        <v>62</v>
      </c>
      <c r="H2181" t="s">
        <v>74</v>
      </c>
      <c r="I2181" t="s">
        <v>179</v>
      </c>
    </row>
    <row r="2182" spans="1:9" ht="15" customHeight="1" x14ac:dyDescent="0.35">
      <c r="A2182">
        <v>2022</v>
      </c>
      <c r="B2182" t="s">
        <v>159</v>
      </c>
      <c r="C2182">
        <v>12</v>
      </c>
      <c r="D2182" t="s">
        <v>100</v>
      </c>
      <c r="E2182">
        <v>134</v>
      </c>
      <c r="F2182">
        <v>240</v>
      </c>
      <c r="G2182">
        <v>68</v>
      </c>
      <c r="H2182" t="s">
        <v>74</v>
      </c>
      <c r="I2182" t="s">
        <v>179</v>
      </c>
    </row>
    <row r="2183" spans="1:9" ht="15" customHeight="1" x14ac:dyDescent="0.35">
      <c r="A2183">
        <v>2023</v>
      </c>
      <c r="B2183" t="s">
        <v>147</v>
      </c>
      <c r="C2183">
        <v>1</v>
      </c>
      <c r="D2183" t="s">
        <v>100</v>
      </c>
      <c r="E2183">
        <v>141</v>
      </c>
      <c r="F2183">
        <v>236</v>
      </c>
      <c r="G2183">
        <v>76</v>
      </c>
      <c r="H2183" t="s">
        <v>74</v>
      </c>
      <c r="I2183" t="s">
        <v>179</v>
      </c>
    </row>
    <row r="2184" spans="1:9" ht="15" customHeight="1" x14ac:dyDescent="0.35">
      <c r="A2184">
        <v>2023</v>
      </c>
      <c r="B2184" t="s">
        <v>149</v>
      </c>
      <c r="C2184">
        <v>2</v>
      </c>
      <c r="D2184" t="s">
        <v>100</v>
      </c>
      <c r="E2184">
        <v>123</v>
      </c>
      <c r="F2184">
        <v>211</v>
      </c>
      <c r="G2184">
        <v>65</v>
      </c>
      <c r="H2184" t="s">
        <v>74</v>
      </c>
      <c r="I2184" t="s">
        <v>179</v>
      </c>
    </row>
    <row r="2185" spans="1:9" ht="15" customHeight="1" x14ac:dyDescent="0.35">
      <c r="A2185">
        <v>2023</v>
      </c>
      <c r="B2185" t="s">
        <v>150</v>
      </c>
      <c r="C2185">
        <v>3</v>
      </c>
      <c r="D2185" t="s">
        <v>100</v>
      </c>
      <c r="E2185">
        <v>113</v>
      </c>
      <c r="F2185">
        <v>211</v>
      </c>
      <c r="G2185">
        <v>40</v>
      </c>
      <c r="H2185" t="s">
        <v>74</v>
      </c>
      <c r="I2185" t="s">
        <v>179</v>
      </c>
    </row>
    <row r="2186" spans="1:9" ht="15" customHeight="1" x14ac:dyDescent="0.35">
      <c r="A2186">
        <v>2023</v>
      </c>
      <c r="B2186" t="s">
        <v>151</v>
      </c>
      <c r="C2186">
        <v>4</v>
      </c>
      <c r="D2186" t="s">
        <v>100</v>
      </c>
      <c r="E2186">
        <v>90</v>
      </c>
      <c r="F2186">
        <v>198</v>
      </c>
      <c r="G2186">
        <v>7</v>
      </c>
      <c r="H2186" t="s">
        <v>75</v>
      </c>
      <c r="I2186" t="s">
        <v>179</v>
      </c>
    </row>
    <row r="2187" spans="1:9" ht="15" customHeight="1" x14ac:dyDescent="0.35">
      <c r="A2187">
        <v>2023</v>
      </c>
      <c r="B2187" t="s">
        <v>152</v>
      </c>
      <c r="C2187">
        <v>5</v>
      </c>
      <c r="D2187" t="s">
        <v>100</v>
      </c>
      <c r="E2187">
        <v>97</v>
      </c>
      <c r="F2187">
        <v>178</v>
      </c>
      <c r="G2187">
        <v>42</v>
      </c>
      <c r="H2187" t="s">
        <v>75</v>
      </c>
      <c r="I2187" t="s">
        <v>179</v>
      </c>
    </row>
    <row r="2188" spans="1:9" ht="15" customHeight="1" x14ac:dyDescent="0.35">
      <c r="A2188">
        <v>2023</v>
      </c>
      <c r="B2188" t="s">
        <v>153</v>
      </c>
      <c r="C2188">
        <v>6</v>
      </c>
      <c r="D2188" t="s">
        <v>100</v>
      </c>
      <c r="E2188">
        <v>98</v>
      </c>
      <c r="F2188">
        <v>173</v>
      </c>
      <c r="G2188">
        <v>53</v>
      </c>
      <c r="H2188" t="s">
        <v>75</v>
      </c>
      <c r="I2188" t="s">
        <v>179</v>
      </c>
    </row>
    <row r="2189" spans="1:9" ht="15" customHeight="1" x14ac:dyDescent="0.35">
      <c r="A2189">
        <v>2023</v>
      </c>
      <c r="B2189" t="s">
        <v>154</v>
      </c>
      <c r="C2189">
        <v>7</v>
      </c>
      <c r="D2189" t="s">
        <v>100</v>
      </c>
      <c r="E2189">
        <v>107</v>
      </c>
      <c r="F2189">
        <v>184</v>
      </c>
      <c r="G2189">
        <v>51</v>
      </c>
      <c r="H2189" t="s">
        <v>75</v>
      </c>
      <c r="I2189" t="s">
        <v>179</v>
      </c>
    </row>
    <row r="2190" spans="1:9" ht="15" customHeight="1" x14ac:dyDescent="0.35">
      <c r="A2190">
        <v>2023</v>
      </c>
      <c r="B2190" t="s">
        <v>155</v>
      </c>
      <c r="C2190">
        <v>8</v>
      </c>
      <c r="D2190" t="s">
        <v>100</v>
      </c>
      <c r="E2190">
        <v>110</v>
      </c>
      <c r="F2190">
        <v>201</v>
      </c>
      <c r="G2190">
        <v>59</v>
      </c>
      <c r="H2190" t="s">
        <v>75</v>
      </c>
      <c r="I2190" t="s">
        <v>179</v>
      </c>
    </row>
    <row r="2191" spans="1:9" ht="15" customHeight="1" x14ac:dyDescent="0.35">
      <c r="A2191">
        <v>2023</v>
      </c>
      <c r="B2191" t="s">
        <v>156</v>
      </c>
      <c r="C2191">
        <v>9</v>
      </c>
      <c r="D2191" t="s">
        <v>100</v>
      </c>
      <c r="E2191">
        <v>111</v>
      </c>
      <c r="F2191">
        <v>197</v>
      </c>
      <c r="G2191">
        <v>55</v>
      </c>
      <c r="H2191" t="s">
        <v>75</v>
      </c>
      <c r="I2191" t="s">
        <v>179</v>
      </c>
    </row>
    <row r="2192" spans="1:9" ht="15" customHeight="1" x14ac:dyDescent="0.35">
      <c r="A2192">
        <v>2023</v>
      </c>
      <c r="B2192" t="s">
        <v>157</v>
      </c>
      <c r="C2192">
        <v>10</v>
      </c>
      <c r="D2192" t="s">
        <v>100</v>
      </c>
      <c r="E2192">
        <v>110</v>
      </c>
      <c r="F2192">
        <v>195</v>
      </c>
      <c r="G2192">
        <v>54</v>
      </c>
      <c r="H2192" t="s">
        <v>75</v>
      </c>
      <c r="I2192" t="s">
        <v>179</v>
      </c>
    </row>
    <row r="2193" spans="1:9" ht="15" customHeight="1" x14ac:dyDescent="0.35">
      <c r="A2193">
        <v>2023</v>
      </c>
      <c r="B2193" t="s">
        <v>158</v>
      </c>
      <c r="C2193">
        <v>11</v>
      </c>
      <c r="D2193" t="s">
        <v>100</v>
      </c>
      <c r="E2193">
        <v>111</v>
      </c>
      <c r="F2193">
        <v>200</v>
      </c>
      <c r="G2193">
        <v>44</v>
      </c>
      <c r="H2193" t="s">
        <v>75</v>
      </c>
      <c r="I2193" t="s">
        <v>179</v>
      </c>
    </row>
    <row r="2194" spans="1:9" ht="15" customHeight="1" x14ac:dyDescent="0.35">
      <c r="A2194">
        <v>2023</v>
      </c>
      <c r="B2194" t="s">
        <v>159</v>
      </c>
      <c r="C2194">
        <v>12</v>
      </c>
      <c r="D2194" t="s">
        <v>100</v>
      </c>
      <c r="E2194">
        <v>126</v>
      </c>
      <c r="F2194">
        <v>221</v>
      </c>
      <c r="G2194">
        <v>59</v>
      </c>
      <c r="H2194" t="s">
        <v>75</v>
      </c>
      <c r="I2194" t="s">
        <v>179</v>
      </c>
    </row>
    <row r="2195" spans="1:9" ht="15" customHeight="1" x14ac:dyDescent="0.35">
      <c r="A2195">
        <v>2024</v>
      </c>
      <c r="B2195" t="s">
        <v>147</v>
      </c>
      <c r="C2195">
        <v>1</v>
      </c>
      <c r="D2195" t="s">
        <v>100</v>
      </c>
      <c r="E2195">
        <v>135</v>
      </c>
      <c r="F2195">
        <v>231</v>
      </c>
      <c r="G2195">
        <v>69</v>
      </c>
      <c r="H2195" t="s">
        <v>75</v>
      </c>
      <c r="I2195" t="s">
        <v>179</v>
      </c>
    </row>
    <row r="2196" spans="1:9" ht="15" customHeight="1" x14ac:dyDescent="0.35">
      <c r="A2196">
        <v>2024</v>
      </c>
      <c r="B2196" t="s">
        <v>149</v>
      </c>
      <c r="C2196">
        <v>2</v>
      </c>
      <c r="D2196" t="s">
        <v>100</v>
      </c>
      <c r="E2196">
        <v>122</v>
      </c>
      <c r="F2196">
        <v>225</v>
      </c>
      <c r="G2196">
        <v>49</v>
      </c>
      <c r="H2196" t="s">
        <v>75</v>
      </c>
      <c r="I2196" t="s">
        <v>179</v>
      </c>
    </row>
    <row r="2197" spans="1:9" ht="15" customHeight="1" x14ac:dyDescent="0.35">
      <c r="A2197">
        <v>2024</v>
      </c>
      <c r="B2197" t="s">
        <v>150</v>
      </c>
      <c r="C2197">
        <v>3</v>
      </c>
      <c r="D2197" t="s">
        <v>100</v>
      </c>
      <c r="E2197">
        <v>122</v>
      </c>
      <c r="F2197">
        <v>229</v>
      </c>
      <c r="G2197">
        <v>50</v>
      </c>
      <c r="H2197" t="s">
        <v>75</v>
      </c>
      <c r="I2197" t="s">
        <v>179</v>
      </c>
    </row>
    <row r="2198" spans="1:9" ht="15" customHeight="1" x14ac:dyDescent="0.35">
      <c r="A2198">
        <v>2024</v>
      </c>
      <c r="B2198" t="s">
        <v>151</v>
      </c>
      <c r="C2198">
        <v>4</v>
      </c>
      <c r="D2198" t="s">
        <v>100</v>
      </c>
      <c r="E2198">
        <v>126</v>
      </c>
      <c r="F2198">
        <v>223</v>
      </c>
      <c r="G2198">
        <v>50</v>
      </c>
      <c r="H2198" t="s">
        <v>77</v>
      </c>
      <c r="I2198" t="s">
        <v>179</v>
      </c>
    </row>
    <row r="2199" spans="1:9" ht="15" customHeight="1" x14ac:dyDescent="0.35">
      <c r="A2199">
        <v>2024</v>
      </c>
      <c r="B2199" t="s">
        <v>152</v>
      </c>
      <c r="C2199">
        <v>5</v>
      </c>
      <c r="D2199" t="s">
        <v>100</v>
      </c>
      <c r="E2199">
        <v>108</v>
      </c>
      <c r="F2199">
        <v>151</v>
      </c>
      <c r="G2199">
        <v>38</v>
      </c>
      <c r="H2199" t="s">
        <v>77</v>
      </c>
      <c r="I2199" t="s">
        <v>179</v>
      </c>
    </row>
    <row r="2200" spans="1:9" ht="15" customHeight="1" x14ac:dyDescent="0.35">
      <c r="A2200">
        <v>2024</v>
      </c>
      <c r="B2200" t="s">
        <v>153</v>
      </c>
      <c r="C2200">
        <v>6</v>
      </c>
      <c r="D2200" t="s">
        <v>100</v>
      </c>
      <c r="E2200">
        <v>132</v>
      </c>
      <c r="F2200">
        <v>224</v>
      </c>
      <c r="G2200">
        <v>9</v>
      </c>
      <c r="H2200" t="s">
        <v>77</v>
      </c>
      <c r="I2200" t="s">
        <v>179</v>
      </c>
    </row>
    <row r="2201" spans="1:9" ht="15" customHeight="1" x14ac:dyDescent="0.35">
      <c r="A2201">
        <v>2024</v>
      </c>
      <c r="B2201" t="s">
        <v>154</v>
      </c>
      <c r="C2201">
        <v>7</v>
      </c>
      <c r="D2201" t="s">
        <v>100</v>
      </c>
      <c r="E2201">
        <v>119</v>
      </c>
      <c r="F2201">
        <v>209</v>
      </c>
      <c r="G2201">
        <v>63</v>
      </c>
      <c r="H2201" t="s">
        <v>77</v>
      </c>
      <c r="I2201" t="s">
        <v>179</v>
      </c>
    </row>
    <row r="2202" spans="1:9" ht="15" customHeight="1" x14ac:dyDescent="0.35">
      <c r="A2202">
        <v>2024</v>
      </c>
      <c r="B2202" t="s">
        <v>155</v>
      </c>
      <c r="C2202">
        <v>8</v>
      </c>
      <c r="D2202" t="s">
        <v>100</v>
      </c>
      <c r="E2202">
        <v>115</v>
      </c>
      <c r="F2202">
        <v>212</v>
      </c>
      <c r="G2202">
        <v>57</v>
      </c>
      <c r="H2202" t="s">
        <v>77</v>
      </c>
      <c r="I2202" t="s">
        <v>179</v>
      </c>
    </row>
    <row r="2203" spans="1:9" ht="15" customHeight="1" x14ac:dyDescent="0.35">
      <c r="A2203">
        <v>2024</v>
      </c>
      <c r="B2203" t="s">
        <v>156</v>
      </c>
      <c r="C2203">
        <v>9</v>
      </c>
      <c r="D2203" t="s">
        <v>100</v>
      </c>
      <c r="E2203">
        <v>123</v>
      </c>
      <c r="F2203">
        <v>223</v>
      </c>
      <c r="G2203">
        <v>67</v>
      </c>
      <c r="H2203" t="s">
        <v>77</v>
      </c>
      <c r="I2203" t="s">
        <v>179</v>
      </c>
    </row>
    <row r="2204" spans="1:9" ht="15" customHeight="1" x14ac:dyDescent="0.35">
      <c r="A2204">
        <v>2024</v>
      </c>
      <c r="B2204" t="s">
        <v>157</v>
      </c>
      <c r="C2204">
        <v>10</v>
      </c>
      <c r="D2204" t="s">
        <v>100</v>
      </c>
      <c r="E2204">
        <v>120</v>
      </c>
      <c r="F2204">
        <v>227</v>
      </c>
      <c r="G2204">
        <v>55</v>
      </c>
      <c r="H2204" t="s">
        <v>77</v>
      </c>
      <c r="I2204" t="s">
        <v>179</v>
      </c>
    </row>
    <row r="2205" spans="1:9" ht="15" customHeight="1" x14ac:dyDescent="0.35">
      <c r="A2205">
        <v>2024</v>
      </c>
      <c r="B2205" t="s">
        <v>158</v>
      </c>
      <c r="C2205">
        <v>11</v>
      </c>
      <c r="D2205" t="s">
        <v>100</v>
      </c>
      <c r="E2205">
        <v>124</v>
      </c>
      <c r="F2205">
        <v>229</v>
      </c>
      <c r="G2205">
        <v>51</v>
      </c>
      <c r="H2205" t="s">
        <v>77</v>
      </c>
      <c r="I2205" t="s">
        <v>179</v>
      </c>
    </row>
    <row r="2206" spans="1:9" ht="15" customHeight="1" x14ac:dyDescent="0.35">
      <c r="A2206">
        <v>2024</v>
      </c>
      <c r="B2206" t="s">
        <v>159</v>
      </c>
      <c r="C2206">
        <v>12</v>
      </c>
      <c r="D2206" t="s">
        <v>100</v>
      </c>
      <c r="E2206">
        <v>157</v>
      </c>
      <c r="F2206">
        <v>261</v>
      </c>
      <c r="G2206">
        <v>73</v>
      </c>
      <c r="H2206" t="s">
        <v>77</v>
      </c>
      <c r="I2206" t="s">
        <v>179</v>
      </c>
    </row>
    <row r="2207" spans="1:9" ht="15" customHeight="1" x14ac:dyDescent="0.35">
      <c r="A2207">
        <v>2025</v>
      </c>
      <c r="B2207" t="s">
        <v>147</v>
      </c>
      <c r="C2207">
        <v>1</v>
      </c>
      <c r="D2207" t="s">
        <v>100</v>
      </c>
      <c r="E2207">
        <v>161</v>
      </c>
      <c r="F2207">
        <v>274</v>
      </c>
      <c r="G2207">
        <v>73</v>
      </c>
      <c r="H2207" t="s">
        <v>77</v>
      </c>
      <c r="I2207" t="s">
        <v>179</v>
      </c>
    </row>
    <row r="2208" spans="1:9" ht="15" customHeight="1" x14ac:dyDescent="0.35">
      <c r="A2208">
        <v>2025</v>
      </c>
      <c r="B2208" t="s">
        <v>149</v>
      </c>
      <c r="C2208">
        <v>2</v>
      </c>
      <c r="D2208" t="s">
        <v>100</v>
      </c>
      <c r="E2208">
        <v>137</v>
      </c>
      <c r="F2208">
        <v>248</v>
      </c>
      <c r="G2208">
        <v>58</v>
      </c>
      <c r="H2208" t="s">
        <v>77</v>
      </c>
      <c r="I2208" t="s">
        <v>179</v>
      </c>
    </row>
    <row r="2209" spans="1:9" ht="15" customHeight="1" x14ac:dyDescent="0.35">
      <c r="A2209">
        <v>2025</v>
      </c>
      <c r="B2209" t="s">
        <v>150</v>
      </c>
      <c r="C2209">
        <v>3</v>
      </c>
      <c r="D2209" t="s">
        <v>100</v>
      </c>
      <c r="E2209">
        <v>113</v>
      </c>
      <c r="F2209">
        <v>210</v>
      </c>
      <c r="G2209">
        <v>41</v>
      </c>
      <c r="H2209" t="s">
        <v>77</v>
      </c>
      <c r="I2209" t="s">
        <v>179</v>
      </c>
    </row>
    <row r="2210" spans="1:9" ht="15" customHeight="1" x14ac:dyDescent="0.35">
      <c r="A2210">
        <v>2025</v>
      </c>
      <c r="B2210" t="s">
        <v>151</v>
      </c>
      <c r="C2210">
        <v>4</v>
      </c>
      <c r="D2210" t="s">
        <v>100</v>
      </c>
      <c r="E2210">
        <v>121</v>
      </c>
      <c r="F2210">
        <v>219</v>
      </c>
      <c r="G2210">
        <v>42</v>
      </c>
      <c r="H2210" t="s">
        <v>78</v>
      </c>
      <c r="I2210" t="s">
        <v>179</v>
      </c>
    </row>
    <row r="2211" spans="1:9" ht="15" customHeight="1" x14ac:dyDescent="0.35">
      <c r="A2211">
        <v>2025</v>
      </c>
      <c r="B2211" t="s">
        <v>152</v>
      </c>
      <c r="C2211">
        <v>5</v>
      </c>
      <c r="D2211" t="s">
        <v>100</v>
      </c>
      <c r="E2211">
        <v>138</v>
      </c>
      <c r="F2211">
        <v>228</v>
      </c>
      <c r="G2211">
        <v>68</v>
      </c>
      <c r="H2211" t="s">
        <v>78</v>
      </c>
      <c r="I2211" t="s">
        <v>179</v>
      </c>
    </row>
    <row r="2212" spans="1:9" ht="15" customHeight="1" x14ac:dyDescent="0.35">
      <c r="A2212">
        <v>2025</v>
      </c>
      <c r="B2212" t="s">
        <v>153</v>
      </c>
      <c r="C2212">
        <v>6</v>
      </c>
      <c r="D2212" t="s">
        <v>100</v>
      </c>
      <c r="E2212">
        <v>145</v>
      </c>
      <c r="F2212">
        <v>216</v>
      </c>
      <c r="G2212">
        <v>60</v>
      </c>
      <c r="H2212" t="s">
        <v>78</v>
      </c>
      <c r="I2212" t="s">
        <v>179</v>
      </c>
    </row>
    <row r="2213" spans="1:9" ht="15" customHeight="1" x14ac:dyDescent="0.35">
      <c r="A2213">
        <v>2025</v>
      </c>
      <c r="B2213" t="s">
        <v>154</v>
      </c>
      <c r="C2213">
        <v>7</v>
      </c>
      <c r="D2213" t="s">
        <v>100</v>
      </c>
      <c r="E2213">
        <v>136</v>
      </c>
      <c r="F2213">
        <v>235</v>
      </c>
      <c r="G2213">
        <v>74</v>
      </c>
      <c r="H2213" t="s">
        <v>78</v>
      </c>
      <c r="I2213" t="s">
        <v>179</v>
      </c>
    </row>
    <row r="2214" spans="1:9" ht="15" customHeight="1" x14ac:dyDescent="0.35">
      <c r="A2214">
        <v>2025</v>
      </c>
      <c r="B2214" t="s">
        <v>155</v>
      </c>
      <c r="C2214">
        <v>8</v>
      </c>
      <c r="D2214" t="s">
        <v>100</v>
      </c>
      <c r="E2214">
        <v>132</v>
      </c>
      <c r="F2214">
        <v>223</v>
      </c>
      <c r="G2214">
        <v>71</v>
      </c>
      <c r="H2214" t="s">
        <v>78</v>
      </c>
      <c r="I2214" t="s">
        <v>179</v>
      </c>
    </row>
    <row r="2215" spans="1:9" ht="15" customHeight="1" x14ac:dyDescent="0.35">
      <c r="A2215">
        <v>2025</v>
      </c>
      <c r="B2215" t="s">
        <v>156</v>
      </c>
      <c r="C2215">
        <v>9</v>
      </c>
      <c r="D2215" t="s">
        <v>100</v>
      </c>
      <c r="E2215">
        <v>131</v>
      </c>
      <c r="F2215">
        <v>235</v>
      </c>
      <c r="G2215">
        <v>62</v>
      </c>
      <c r="H2215" t="s">
        <v>78</v>
      </c>
      <c r="I2215" t="s">
        <v>179</v>
      </c>
    </row>
    <row r="2216" spans="1:9" ht="15" customHeight="1" x14ac:dyDescent="0.35">
      <c r="A2216">
        <v>2025</v>
      </c>
      <c r="B2216" t="s">
        <v>157</v>
      </c>
      <c r="C2216">
        <v>10</v>
      </c>
      <c r="D2216" t="s">
        <v>100</v>
      </c>
      <c r="E2216">
        <v>129</v>
      </c>
      <c r="F2216">
        <v>231</v>
      </c>
      <c r="G2216">
        <v>56</v>
      </c>
      <c r="H2216" t="s">
        <v>78</v>
      </c>
      <c r="I2216" t="s">
        <v>179</v>
      </c>
    </row>
    <row r="2217" spans="1:9" ht="15" customHeight="1" x14ac:dyDescent="0.35">
      <c r="A2217">
        <v>2025</v>
      </c>
      <c r="B2217" t="s">
        <v>158</v>
      </c>
      <c r="C2217">
        <v>11</v>
      </c>
      <c r="D2217" t="s">
        <v>100</v>
      </c>
      <c r="E2217">
        <v>136</v>
      </c>
      <c r="F2217">
        <v>238</v>
      </c>
      <c r="G2217">
        <v>69</v>
      </c>
      <c r="H2217" t="s">
        <v>78</v>
      </c>
      <c r="I2217" t="s">
        <v>179</v>
      </c>
    </row>
    <row r="2218" spans="1:9" ht="15" customHeight="1" x14ac:dyDescent="0.35">
      <c r="A2218">
        <v>2025</v>
      </c>
      <c r="B2218" t="s">
        <v>159</v>
      </c>
      <c r="C2218">
        <v>12</v>
      </c>
      <c r="D2218" t="s">
        <v>100</v>
      </c>
      <c r="E2218">
        <v>160</v>
      </c>
      <c r="F2218">
        <v>262</v>
      </c>
      <c r="G2218">
        <v>80</v>
      </c>
      <c r="H2218" t="s">
        <v>78</v>
      </c>
      <c r="I2218" t="s">
        <v>179</v>
      </c>
    </row>
    <row r="2219" spans="1:9" ht="15" customHeight="1" x14ac:dyDescent="0.35">
      <c r="A2219">
        <v>2026</v>
      </c>
      <c r="B2219" t="s">
        <v>147</v>
      </c>
      <c r="C2219">
        <v>1</v>
      </c>
      <c r="D2219" t="s">
        <v>100</v>
      </c>
      <c r="E2219">
        <v>164</v>
      </c>
      <c r="F2219">
        <v>276</v>
      </c>
      <c r="G2219">
        <v>86</v>
      </c>
      <c r="H2219" t="s">
        <v>78</v>
      </c>
      <c r="I2219" t="s">
        <v>179</v>
      </c>
    </row>
    <row r="2220" spans="1:9" ht="15" customHeight="1" x14ac:dyDescent="0.35">
      <c r="A2220">
        <v>2026</v>
      </c>
      <c r="B2220" t="s">
        <v>149</v>
      </c>
      <c r="C2220">
        <v>2</v>
      </c>
      <c r="D2220" t="s">
        <v>100</v>
      </c>
      <c r="E2220">
        <v>155</v>
      </c>
      <c r="F2220">
        <v>273</v>
      </c>
      <c r="G2220">
        <v>81</v>
      </c>
      <c r="H2220" t="s">
        <v>78</v>
      </c>
      <c r="I2220" t="s">
        <v>179</v>
      </c>
    </row>
    <row r="2221" spans="1:9" ht="15" customHeight="1" x14ac:dyDescent="0.35">
      <c r="A2221">
        <v>2026</v>
      </c>
      <c r="B2221" t="s">
        <v>150</v>
      </c>
      <c r="C2221">
        <v>3</v>
      </c>
      <c r="D2221" t="s">
        <v>100</v>
      </c>
      <c r="E2221">
        <v>113</v>
      </c>
      <c r="F2221">
        <v>206</v>
      </c>
      <c r="G2221">
        <v>41</v>
      </c>
      <c r="H2221" t="s">
        <v>78</v>
      </c>
      <c r="I2221" t="s">
        <v>179</v>
      </c>
    </row>
    <row r="2222" spans="1:9" ht="15" customHeight="1" x14ac:dyDescent="0.35">
      <c r="A2222">
        <v>2017</v>
      </c>
      <c r="B2222" t="s">
        <v>147</v>
      </c>
      <c r="C2222">
        <v>1</v>
      </c>
      <c r="D2222" t="s">
        <v>101</v>
      </c>
      <c r="E2222">
        <v>203</v>
      </c>
      <c r="F2222">
        <v>282</v>
      </c>
      <c r="G2222">
        <v>99</v>
      </c>
      <c r="H2222" t="s">
        <v>122</v>
      </c>
      <c r="I2222" t="s">
        <v>180</v>
      </c>
    </row>
    <row r="2223" spans="1:9" ht="15" customHeight="1" x14ac:dyDescent="0.35">
      <c r="A2223">
        <v>2017</v>
      </c>
      <c r="B2223" t="s">
        <v>149</v>
      </c>
      <c r="C2223">
        <v>2</v>
      </c>
      <c r="D2223" t="s">
        <v>101</v>
      </c>
      <c r="E2223">
        <v>197</v>
      </c>
      <c r="F2223">
        <v>293</v>
      </c>
      <c r="G2223">
        <v>113</v>
      </c>
      <c r="H2223" t="s">
        <v>122</v>
      </c>
      <c r="I2223" t="s">
        <v>180</v>
      </c>
    </row>
    <row r="2224" spans="1:9" ht="15" customHeight="1" x14ac:dyDescent="0.35">
      <c r="A2224">
        <v>2017</v>
      </c>
      <c r="B2224" t="s">
        <v>150</v>
      </c>
      <c r="C2224">
        <v>3</v>
      </c>
      <c r="D2224" t="s">
        <v>101</v>
      </c>
      <c r="E2224">
        <v>177</v>
      </c>
      <c r="F2224">
        <v>274</v>
      </c>
      <c r="G2224">
        <v>95</v>
      </c>
      <c r="H2224" t="s">
        <v>122</v>
      </c>
      <c r="I2224" t="s">
        <v>180</v>
      </c>
    </row>
    <row r="2225" spans="1:9" ht="15" customHeight="1" x14ac:dyDescent="0.35">
      <c r="A2225">
        <v>2017</v>
      </c>
      <c r="B2225" t="s">
        <v>151</v>
      </c>
      <c r="C2225">
        <v>4</v>
      </c>
      <c r="D2225" t="s">
        <v>101</v>
      </c>
      <c r="E2225">
        <v>177</v>
      </c>
      <c r="F2225">
        <v>291</v>
      </c>
      <c r="G2225">
        <v>41</v>
      </c>
      <c r="H2225" t="s">
        <v>123</v>
      </c>
      <c r="I2225" t="s">
        <v>180</v>
      </c>
    </row>
    <row r="2226" spans="1:9" ht="15" customHeight="1" x14ac:dyDescent="0.35">
      <c r="A2226">
        <v>2017</v>
      </c>
      <c r="B2226" t="s">
        <v>152</v>
      </c>
      <c r="C2226">
        <v>5</v>
      </c>
      <c r="D2226" t="s">
        <v>101</v>
      </c>
      <c r="E2226">
        <v>172</v>
      </c>
      <c r="F2226">
        <v>302</v>
      </c>
      <c r="G2226">
        <v>75</v>
      </c>
      <c r="H2226" t="s">
        <v>123</v>
      </c>
      <c r="I2226" t="s">
        <v>180</v>
      </c>
    </row>
    <row r="2227" spans="1:9" ht="15" customHeight="1" x14ac:dyDescent="0.35">
      <c r="A2227">
        <v>2017</v>
      </c>
      <c r="B2227" t="s">
        <v>153</v>
      </c>
      <c r="C2227">
        <v>6</v>
      </c>
      <c r="D2227" t="s">
        <v>101</v>
      </c>
      <c r="E2227">
        <v>174</v>
      </c>
      <c r="F2227">
        <v>264</v>
      </c>
      <c r="G2227">
        <v>103</v>
      </c>
      <c r="H2227" t="s">
        <v>123</v>
      </c>
      <c r="I2227" t="s">
        <v>180</v>
      </c>
    </row>
    <row r="2228" spans="1:9" ht="15" customHeight="1" x14ac:dyDescent="0.35">
      <c r="A2228">
        <v>2017</v>
      </c>
      <c r="B2228" t="s">
        <v>154</v>
      </c>
      <c r="C2228">
        <v>7</v>
      </c>
      <c r="D2228" t="s">
        <v>101</v>
      </c>
      <c r="E2228">
        <v>177</v>
      </c>
      <c r="F2228">
        <v>342</v>
      </c>
      <c r="G2228">
        <v>109</v>
      </c>
      <c r="H2228" t="s">
        <v>123</v>
      </c>
      <c r="I2228" t="s">
        <v>180</v>
      </c>
    </row>
    <row r="2229" spans="1:9" ht="15" customHeight="1" x14ac:dyDescent="0.35">
      <c r="A2229">
        <v>2017</v>
      </c>
      <c r="B2229" t="s">
        <v>155</v>
      </c>
      <c r="C2229">
        <v>8</v>
      </c>
      <c r="D2229" t="s">
        <v>101</v>
      </c>
      <c r="E2229">
        <v>186</v>
      </c>
      <c r="F2229">
        <v>287</v>
      </c>
      <c r="G2229">
        <v>116</v>
      </c>
      <c r="H2229" t="s">
        <v>123</v>
      </c>
      <c r="I2229" t="s">
        <v>180</v>
      </c>
    </row>
    <row r="2230" spans="1:9" ht="15" customHeight="1" x14ac:dyDescent="0.35">
      <c r="A2230">
        <v>2017</v>
      </c>
      <c r="B2230" t="s">
        <v>156</v>
      </c>
      <c r="C2230">
        <v>9</v>
      </c>
      <c r="D2230" t="s">
        <v>101</v>
      </c>
      <c r="E2230">
        <v>197</v>
      </c>
      <c r="F2230">
        <v>323</v>
      </c>
      <c r="G2230">
        <v>77</v>
      </c>
      <c r="H2230" t="s">
        <v>123</v>
      </c>
      <c r="I2230" t="s">
        <v>180</v>
      </c>
    </row>
    <row r="2231" spans="1:9" ht="15" customHeight="1" x14ac:dyDescent="0.35">
      <c r="A2231">
        <v>2017</v>
      </c>
      <c r="B2231" t="s">
        <v>157</v>
      </c>
      <c r="C2231">
        <v>10</v>
      </c>
      <c r="D2231" t="s">
        <v>101</v>
      </c>
      <c r="E2231">
        <v>191</v>
      </c>
      <c r="F2231">
        <v>297</v>
      </c>
      <c r="G2231">
        <v>100</v>
      </c>
      <c r="H2231" t="s">
        <v>123</v>
      </c>
      <c r="I2231" t="s">
        <v>180</v>
      </c>
    </row>
    <row r="2232" spans="1:9" ht="15" customHeight="1" x14ac:dyDescent="0.35">
      <c r="A2232">
        <v>2017</v>
      </c>
      <c r="B2232" t="s">
        <v>158</v>
      </c>
      <c r="C2232">
        <v>11</v>
      </c>
      <c r="D2232" t="s">
        <v>101</v>
      </c>
      <c r="E2232">
        <v>208</v>
      </c>
      <c r="F2232">
        <v>324</v>
      </c>
      <c r="G2232">
        <v>130</v>
      </c>
      <c r="H2232" t="s">
        <v>123</v>
      </c>
      <c r="I2232" t="s">
        <v>180</v>
      </c>
    </row>
    <row r="2233" spans="1:9" ht="15" customHeight="1" x14ac:dyDescent="0.35">
      <c r="A2233">
        <v>2017</v>
      </c>
      <c r="B2233" t="s">
        <v>159</v>
      </c>
      <c r="C2233">
        <v>12</v>
      </c>
      <c r="D2233" t="s">
        <v>101</v>
      </c>
      <c r="E2233">
        <v>212</v>
      </c>
      <c r="F2233">
        <v>338</v>
      </c>
      <c r="G2233">
        <v>126</v>
      </c>
      <c r="H2233" t="s">
        <v>123</v>
      </c>
      <c r="I2233" t="s">
        <v>180</v>
      </c>
    </row>
    <row r="2234" spans="1:9" ht="15" customHeight="1" x14ac:dyDescent="0.35">
      <c r="A2234">
        <v>2018</v>
      </c>
      <c r="B2234" t="s">
        <v>147</v>
      </c>
      <c r="C2234">
        <v>1</v>
      </c>
      <c r="D2234" t="s">
        <v>101</v>
      </c>
      <c r="E2234">
        <v>213</v>
      </c>
      <c r="F2234">
        <v>356</v>
      </c>
      <c r="G2234">
        <v>118</v>
      </c>
      <c r="H2234" t="s">
        <v>123</v>
      </c>
      <c r="I2234" t="s">
        <v>180</v>
      </c>
    </row>
    <row r="2235" spans="1:9" ht="15" customHeight="1" x14ac:dyDescent="0.35">
      <c r="A2235">
        <v>2018</v>
      </c>
      <c r="B2235" t="s">
        <v>149</v>
      </c>
      <c r="C2235">
        <v>2</v>
      </c>
      <c r="D2235" t="s">
        <v>101</v>
      </c>
      <c r="E2235">
        <v>209</v>
      </c>
      <c r="F2235">
        <v>313</v>
      </c>
      <c r="G2235">
        <v>136</v>
      </c>
      <c r="H2235" t="s">
        <v>123</v>
      </c>
      <c r="I2235" t="s">
        <v>180</v>
      </c>
    </row>
    <row r="2236" spans="1:9" ht="15" customHeight="1" x14ac:dyDescent="0.35">
      <c r="A2236">
        <v>2018</v>
      </c>
      <c r="B2236" t="s">
        <v>150</v>
      </c>
      <c r="C2236">
        <v>3</v>
      </c>
      <c r="D2236" t="s">
        <v>101</v>
      </c>
      <c r="E2236">
        <v>195</v>
      </c>
      <c r="F2236">
        <v>294</v>
      </c>
      <c r="G2236">
        <v>110</v>
      </c>
      <c r="H2236" t="s">
        <v>123</v>
      </c>
      <c r="I2236" t="s">
        <v>180</v>
      </c>
    </row>
    <row r="2237" spans="1:9" ht="15" customHeight="1" x14ac:dyDescent="0.35">
      <c r="A2237">
        <v>2018</v>
      </c>
      <c r="B2237" t="s">
        <v>151</v>
      </c>
      <c r="C2237">
        <v>4</v>
      </c>
      <c r="D2237" t="s">
        <v>101</v>
      </c>
      <c r="E2237">
        <v>193</v>
      </c>
      <c r="F2237">
        <v>302</v>
      </c>
      <c r="G2237">
        <v>117</v>
      </c>
      <c r="H2237" t="s">
        <v>124</v>
      </c>
      <c r="I2237" t="s">
        <v>180</v>
      </c>
    </row>
    <row r="2238" spans="1:9" ht="15" customHeight="1" x14ac:dyDescent="0.35">
      <c r="A2238">
        <v>2018</v>
      </c>
      <c r="B2238" t="s">
        <v>152</v>
      </c>
      <c r="C2238">
        <v>5</v>
      </c>
      <c r="D2238" t="s">
        <v>101</v>
      </c>
      <c r="E2238">
        <v>208</v>
      </c>
      <c r="F2238">
        <v>305</v>
      </c>
      <c r="G2238">
        <v>73</v>
      </c>
      <c r="H2238" t="s">
        <v>124</v>
      </c>
      <c r="I2238" t="s">
        <v>180</v>
      </c>
    </row>
    <row r="2239" spans="1:9" ht="15" customHeight="1" x14ac:dyDescent="0.35">
      <c r="A2239">
        <v>2018</v>
      </c>
      <c r="B2239" t="s">
        <v>153</v>
      </c>
      <c r="C2239">
        <v>6</v>
      </c>
      <c r="D2239" t="s">
        <v>101</v>
      </c>
      <c r="E2239">
        <v>214</v>
      </c>
      <c r="F2239">
        <v>312</v>
      </c>
      <c r="G2239">
        <v>90</v>
      </c>
      <c r="H2239" t="s">
        <v>124</v>
      </c>
      <c r="I2239" t="s">
        <v>180</v>
      </c>
    </row>
    <row r="2240" spans="1:9" ht="15" customHeight="1" x14ac:dyDescent="0.35">
      <c r="A2240">
        <v>2018</v>
      </c>
      <c r="B2240" t="s">
        <v>154</v>
      </c>
      <c r="C2240">
        <v>7</v>
      </c>
      <c r="D2240" t="s">
        <v>101</v>
      </c>
      <c r="E2240">
        <v>230</v>
      </c>
      <c r="F2240">
        <v>323</v>
      </c>
      <c r="G2240">
        <v>118</v>
      </c>
      <c r="H2240" t="s">
        <v>124</v>
      </c>
      <c r="I2240" t="s">
        <v>180</v>
      </c>
    </row>
    <row r="2241" spans="1:9" ht="15" customHeight="1" x14ac:dyDescent="0.35">
      <c r="A2241">
        <v>2018</v>
      </c>
      <c r="B2241" t="s">
        <v>155</v>
      </c>
      <c r="C2241">
        <v>8</v>
      </c>
      <c r="D2241" t="s">
        <v>101</v>
      </c>
      <c r="E2241">
        <v>219</v>
      </c>
      <c r="F2241">
        <v>334</v>
      </c>
      <c r="G2241">
        <v>143</v>
      </c>
      <c r="H2241" t="s">
        <v>124</v>
      </c>
      <c r="I2241" t="s">
        <v>180</v>
      </c>
    </row>
    <row r="2242" spans="1:9" ht="15" customHeight="1" x14ac:dyDescent="0.35">
      <c r="A2242">
        <v>2018</v>
      </c>
      <c r="B2242" t="s">
        <v>156</v>
      </c>
      <c r="C2242">
        <v>9</v>
      </c>
      <c r="D2242" t="s">
        <v>101</v>
      </c>
      <c r="E2242">
        <v>208</v>
      </c>
      <c r="F2242">
        <v>311</v>
      </c>
      <c r="G2242">
        <v>87</v>
      </c>
      <c r="H2242" t="s">
        <v>124</v>
      </c>
      <c r="I2242" t="s">
        <v>180</v>
      </c>
    </row>
    <row r="2243" spans="1:9" ht="15" customHeight="1" x14ac:dyDescent="0.35">
      <c r="A2243">
        <v>2018</v>
      </c>
      <c r="B2243" t="s">
        <v>157</v>
      </c>
      <c r="C2243">
        <v>10</v>
      </c>
      <c r="D2243" t="s">
        <v>101</v>
      </c>
      <c r="E2243">
        <v>209</v>
      </c>
      <c r="F2243">
        <v>301</v>
      </c>
      <c r="G2243">
        <v>141</v>
      </c>
      <c r="H2243" t="s">
        <v>124</v>
      </c>
      <c r="I2243" t="s">
        <v>180</v>
      </c>
    </row>
    <row r="2244" spans="1:9" ht="15" customHeight="1" x14ac:dyDescent="0.35">
      <c r="A2244">
        <v>2018</v>
      </c>
      <c r="B2244" t="s">
        <v>158</v>
      </c>
      <c r="C2244">
        <v>11</v>
      </c>
      <c r="D2244" t="s">
        <v>101</v>
      </c>
      <c r="E2244">
        <v>238</v>
      </c>
      <c r="F2244">
        <v>354</v>
      </c>
      <c r="G2244">
        <v>149</v>
      </c>
      <c r="H2244" t="s">
        <v>124</v>
      </c>
      <c r="I2244" t="s">
        <v>180</v>
      </c>
    </row>
    <row r="2245" spans="1:9" ht="15" customHeight="1" x14ac:dyDescent="0.35">
      <c r="A2245">
        <v>2018</v>
      </c>
      <c r="B2245" t="s">
        <v>159</v>
      </c>
      <c r="C2245">
        <v>12</v>
      </c>
      <c r="D2245" t="s">
        <v>101</v>
      </c>
      <c r="E2245">
        <v>256</v>
      </c>
      <c r="F2245">
        <v>357</v>
      </c>
      <c r="G2245">
        <v>162</v>
      </c>
      <c r="H2245" t="s">
        <v>124</v>
      </c>
      <c r="I2245" t="s">
        <v>180</v>
      </c>
    </row>
    <row r="2246" spans="1:9" ht="15" customHeight="1" x14ac:dyDescent="0.35">
      <c r="A2246">
        <v>2019</v>
      </c>
      <c r="B2246" t="s">
        <v>147</v>
      </c>
      <c r="C2246">
        <v>1</v>
      </c>
      <c r="D2246" t="s">
        <v>101</v>
      </c>
      <c r="E2246">
        <v>265</v>
      </c>
      <c r="F2246">
        <v>372</v>
      </c>
      <c r="G2246">
        <v>176</v>
      </c>
      <c r="H2246" t="s">
        <v>124</v>
      </c>
      <c r="I2246" t="s">
        <v>180</v>
      </c>
    </row>
    <row r="2247" spans="1:9" ht="15" customHeight="1" x14ac:dyDescent="0.35">
      <c r="A2247">
        <v>2019</v>
      </c>
      <c r="B2247" t="s">
        <v>149</v>
      </c>
      <c r="C2247">
        <v>2</v>
      </c>
      <c r="D2247" t="s">
        <v>101</v>
      </c>
      <c r="E2247">
        <v>266</v>
      </c>
      <c r="F2247">
        <v>386</v>
      </c>
      <c r="G2247">
        <v>159</v>
      </c>
      <c r="H2247" t="s">
        <v>124</v>
      </c>
      <c r="I2247" t="s">
        <v>180</v>
      </c>
    </row>
    <row r="2248" spans="1:9" ht="15" customHeight="1" x14ac:dyDescent="0.35">
      <c r="A2248">
        <v>2019</v>
      </c>
      <c r="B2248" t="s">
        <v>150</v>
      </c>
      <c r="C2248">
        <v>3</v>
      </c>
      <c r="D2248" t="s">
        <v>101</v>
      </c>
      <c r="E2248">
        <v>254</v>
      </c>
      <c r="F2248">
        <v>364</v>
      </c>
      <c r="G2248">
        <v>155</v>
      </c>
      <c r="H2248" t="s">
        <v>124</v>
      </c>
      <c r="I2248" t="s">
        <v>180</v>
      </c>
    </row>
    <row r="2249" spans="1:9" ht="15" customHeight="1" x14ac:dyDescent="0.35">
      <c r="A2249">
        <v>2019</v>
      </c>
      <c r="B2249" t="s">
        <v>151</v>
      </c>
      <c r="C2249">
        <v>4</v>
      </c>
      <c r="D2249" t="s">
        <v>101</v>
      </c>
      <c r="E2249">
        <v>220</v>
      </c>
      <c r="F2249">
        <v>334</v>
      </c>
      <c r="G2249">
        <v>51</v>
      </c>
      <c r="H2249" t="s">
        <v>71</v>
      </c>
      <c r="I2249" t="s">
        <v>180</v>
      </c>
    </row>
    <row r="2250" spans="1:9" ht="15" customHeight="1" x14ac:dyDescent="0.35">
      <c r="A2250">
        <v>2019</v>
      </c>
      <c r="B2250" t="s">
        <v>152</v>
      </c>
      <c r="C2250">
        <v>5</v>
      </c>
      <c r="D2250" t="s">
        <v>101</v>
      </c>
      <c r="E2250">
        <v>210</v>
      </c>
      <c r="F2250">
        <v>307</v>
      </c>
      <c r="G2250">
        <v>100</v>
      </c>
      <c r="H2250" t="s">
        <v>71</v>
      </c>
      <c r="I2250" t="s">
        <v>180</v>
      </c>
    </row>
    <row r="2251" spans="1:9" ht="15" customHeight="1" x14ac:dyDescent="0.35">
      <c r="A2251">
        <v>2019</v>
      </c>
      <c r="B2251" t="s">
        <v>153</v>
      </c>
      <c r="C2251">
        <v>6</v>
      </c>
      <c r="D2251" t="s">
        <v>101</v>
      </c>
      <c r="E2251">
        <v>239</v>
      </c>
      <c r="F2251">
        <v>333</v>
      </c>
      <c r="G2251">
        <v>141</v>
      </c>
      <c r="H2251" t="s">
        <v>71</v>
      </c>
      <c r="I2251" t="s">
        <v>180</v>
      </c>
    </row>
    <row r="2252" spans="1:9" ht="15" customHeight="1" x14ac:dyDescent="0.35">
      <c r="A2252">
        <v>2019</v>
      </c>
      <c r="B2252" t="s">
        <v>154</v>
      </c>
      <c r="C2252">
        <v>7</v>
      </c>
      <c r="D2252" t="s">
        <v>101</v>
      </c>
      <c r="E2252">
        <v>236</v>
      </c>
      <c r="F2252">
        <v>324</v>
      </c>
      <c r="G2252">
        <v>151</v>
      </c>
      <c r="H2252" t="s">
        <v>71</v>
      </c>
      <c r="I2252" t="s">
        <v>180</v>
      </c>
    </row>
    <row r="2253" spans="1:9" ht="15" customHeight="1" x14ac:dyDescent="0.35">
      <c r="A2253">
        <v>2019</v>
      </c>
      <c r="B2253" t="s">
        <v>155</v>
      </c>
      <c r="C2253">
        <v>8</v>
      </c>
      <c r="D2253" t="s">
        <v>101</v>
      </c>
      <c r="E2253">
        <v>232</v>
      </c>
      <c r="F2253">
        <v>328</v>
      </c>
      <c r="G2253">
        <v>159</v>
      </c>
      <c r="H2253" t="s">
        <v>71</v>
      </c>
      <c r="I2253" t="s">
        <v>180</v>
      </c>
    </row>
    <row r="2254" spans="1:9" ht="15" customHeight="1" x14ac:dyDescent="0.35">
      <c r="A2254">
        <v>2019</v>
      </c>
      <c r="B2254" t="s">
        <v>156</v>
      </c>
      <c r="C2254">
        <v>9</v>
      </c>
      <c r="D2254" t="s">
        <v>101</v>
      </c>
      <c r="E2254">
        <v>236</v>
      </c>
      <c r="F2254">
        <v>344</v>
      </c>
      <c r="G2254">
        <v>150</v>
      </c>
      <c r="H2254" t="s">
        <v>71</v>
      </c>
      <c r="I2254" t="s">
        <v>180</v>
      </c>
    </row>
    <row r="2255" spans="1:9" ht="15" customHeight="1" x14ac:dyDescent="0.35">
      <c r="A2255">
        <v>2019</v>
      </c>
      <c r="B2255" t="s">
        <v>157</v>
      </c>
      <c r="C2255">
        <v>10</v>
      </c>
      <c r="D2255" t="s">
        <v>101</v>
      </c>
      <c r="E2255">
        <v>238</v>
      </c>
      <c r="F2255">
        <v>347</v>
      </c>
      <c r="G2255">
        <v>150</v>
      </c>
      <c r="H2255" t="s">
        <v>71</v>
      </c>
      <c r="I2255" t="s">
        <v>180</v>
      </c>
    </row>
    <row r="2256" spans="1:9" ht="15" customHeight="1" x14ac:dyDescent="0.35">
      <c r="A2256">
        <v>2019</v>
      </c>
      <c r="B2256" t="s">
        <v>158</v>
      </c>
      <c r="C2256">
        <v>11</v>
      </c>
      <c r="D2256" t="s">
        <v>101</v>
      </c>
      <c r="E2256">
        <v>246</v>
      </c>
      <c r="F2256">
        <v>367</v>
      </c>
      <c r="G2256">
        <v>171</v>
      </c>
      <c r="H2256" t="s">
        <v>71</v>
      </c>
      <c r="I2256" t="s">
        <v>180</v>
      </c>
    </row>
    <row r="2257" spans="1:9" ht="15" customHeight="1" x14ac:dyDescent="0.35">
      <c r="A2257">
        <v>2019</v>
      </c>
      <c r="B2257" t="s">
        <v>159</v>
      </c>
      <c r="C2257">
        <v>12</v>
      </c>
      <c r="D2257" t="s">
        <v>101</v>
      </c>
      <c r="E2257">
        <v>254</v>
      </c>
      <c r="F2257">
        <v>359</v>
      </c>
      <c r="G2257">
        <v>154</v>
      </c>
      <c r="H2257" t="s">
        <v>71</v>
      </c>
      <c r="I2257" t="s">
        <v>180</v>
      </c>
    </row>
    <row r="2258" spans="1:9" ht="15" customHeight="1" x14ac:dyDescent="0.35">
      <c r="A2258">
        <v>2020</v>
      </c>
      <c r="B2258" t="s">
        <v>147</v>
      </c>
      <c r="C2258">
        <v>1</v>
      </c>
      <c r="D2258" t="s">
        <v>101</v>
      </c>
      <c r="E2258">
        <v>264</v>
      </c>
      <c r="F2258">
        <v>386</v>
      </c>
      <c r="G2258">
        <v>122</v>
      </c>
      <c r="H2258" t="s">
        <v>71</v>
      </c>
      <c r="I2258" t="s">
        <v>180</v>
      </c>
    </row>
    <row r="2259" spans="1:9" ht="15" customHeight="1" x14ac:dyDescent="0.35">
      <c r="A2259">
        <v>2020</v>
      </c>
      <c r="B2259" t="s">
        <v>149</v>
      </c>
      <c r="C2259">
        <v>2</v>
      </c>
      <c r="D2259" t="s">
        <v>101</v>
      </c>
      <c r="E2259">
        <v>275</v>
      </c>
      <c r="F2259">
        <v>375</v>
      </c>
      <c r="G2259">
        <v>130</v>
      </c>
      <c r="H2259" t="s">
        <v>71</v>
      </c>
      <c r="I2259" t="s">
        <v>180</v>
      </c>
    </row>
    <row r="2260" spans="1:9" ht="15" customHeight="1" x14ac:dyDescent="0.35">
      <c r="A2260">
        <v>2020</v>
      </c>
      <c r="B2260" t="s">
        <v>150</v>
      </c>
      <c r="C2260">
        <v>3</v>
      </c>
      <c r="D2260" t="s">
        <v>101</v>
      </c>
      <c r="E2260">
        <v>218</v>
      </c>
      <c r="F2260">
        <v>341</v>
      </c>
      <c r="G2260">
        <v>59</v>
      </c>
      <c r="H2260" t="s">
        <v>71</v>
      </c>
      <c r="I2260" t="s">
        <v>180</v>
      </c>
    </row>
    <row r="2261" spans="1:9" ht="15" customHeight="1" x14ac:dyDescent="0.35">
      <c r="A2261">
        <v>2020</v>
      </c>
      <c r="B2261" t="s">
        <v>151</v>
      </c>
      <c r="C2261">
        <v>4</v>
      </c>
      <c r="D2261" t="s">
        <v>101</v>
      </c>
      <c r="E2261">
        <v>160</v>
      </c>
      <c r="F2261">
        <v>257</v>
      </c>
      <c r="G2261">
        <v>55</v>
      </c>
      <c r="H2261" t="s">
        <v>72</v>
      </c>
      <c r="I2261" t="s">
        <v>180</v>
      </c>
    </row>
    <row r="2262" spans="1:9" ht="15" customHeight="1" x14ac:dyDescent="0.35">
      <c r="A2262">
        <v>2020</v>
      </c>
      <c r="B2262" t="s">
        <v>152</v>
      </c>
      <c r="C2262">
        <v>5</v>
      </c>
      <c r="D2262" t="s">
        <v>101</v>
      </c>
      <c r="E2262">
        <v>199</v>
      </c>
      <c r="F2262">
        <v>307</v>
      </c>
      <c r="G2262">
        <v>63</v>
      </c>
      <c r="H2262" t="s">
        <v>72</v>
      </c>
      <c r="I2262" t="s">
        <v>180</v>
      </c>
    </row>
    <row r="2263" spans="1:9" ht="15" customHeight="1" x14ac:dyDescent="0.35">
      <c r="A2263">
        <v>2020</v>
      </c>
      <c r="B2263" t="s">
        <v>153</v>
      </c>
      <c r="C2263">
        <v>6</v>
      </c>
      <c r="D2263" t="s">
        <v>101</v>
      </c>
      <c r="E2263">
        <v>226</v>
      </c>
      <c r="F2263">
        <v>327</v>
      </c>
      <c r="G2263">
        <v>143</v>
      </c>
      <c r="H2263" t="s">
        <v>72</v>
      </c>
      <c r="I2263" t="s">
        <v>180</v>
      </c>
    </row>
    <row r="2264" spans="1:9" ht="15" customHeight="1" x14ac:dyDescent="0.35">
      <c r="A2264">
        <v>2020</v>
      </c>
      <c r="B2264" t="s">
        <v>154</v>
      </c>
      <c r="C2264">
        <v>7</v>
      </c>
      <c r="D2264" t="s">
        <v>101</v>
      </c>
      <c r="E2264">
        <v>228</v>
      </c>
      <c r="F2264">
        <v>337</v>
      </c>
      <c r="G2264">
        <v>158</v>
      </c>
      <c r="H2264" t="s">
        <v>72</v>
      </c>
      <c r="I2264" t="s">
        <v>180</v>
      </c>
    </row>
    <row r="2265" spans="1:9" ht="15" customHeight="1" x14ac:dyDescent="0.35">
      <c r="A2265">
        <v>2020</v>
      </c>
      <c r="B2265" t="s">
        <v>155</v>
      </c>
      <c r="C2265">
        <v>8</v>
      </c>
      <c r="D2265" t="s">
        <v>101</v>
      </c>
      <c r="E2265">
        <v>225</v>
      </c>
      <c r="F2265">
        <v>308</v>
      </c>
      <c r="G2265">
        <v>162</v>
      </c>
      <c r="H2265" t="s">
        <v>72</v>
      </c>
      <c r="I2265" t="s">
        <v>180</v>
      </c>
    </row>
    <row r="2266" spans="1:9" ht="15" customHeight="1" x14ac:dyDescent="0.35">
      <c r="A2266">
        <v>2020</v>
      </c>
      <c r="B2266" t="s">
        <v>156</v>
      </c>
      <c r="C2266">
        <v>9</v>
      </c>
      <c r="D2266" t="s">
        <v>101</v>
      </c>
      <c r="E2266">
        <v>235</v>
      </c>
      <c r="F2266">
        <v>332</v>
      </c>
      <c r="G2266">
        <v>145</v>
      </c>
      <c r="H2266" t="s">
        <v>72</v>
      </c>
      <c r="I2266" t="s">
        <v>180</v>
      </c>
    </row>
    <row r="2267" spans="1:9" ht="15" customHeight="1" x14ac:dyDescent="0.35">
      <c r="A2267">
        <v>2020</v>
      </c>
      <c r="B2267" t="s">
        <v>157</v>
      </c>
      <c r="C2267">
        <v>10</v>
      </c>
      <c r="D2267" t="s">
        <v>101</v>
      </c>
      <c r="E2267">
        <v>241</v>
      </c>
      <c r="F2267">
        <v>330</v>
      </c>
      <c r="G2267">
        <v>170</v>
      </c>
      <c r="H2267" t="s">
        <v>72</v>
      </c>
      <c r="I2267" t="s">
        <v>180</v>
      </c>
    </row>
    <row r="2268" spans="1:9" ht="15" customHeight="1" x14ac:dyDescent="0.35">
      <c r="A2268">
        <v>2020</v>
      </c>
      <c r="B2268" t="s">
        <v>158</v>
      </c>
      <c r="C2268">
        <v>11</v>
      </c>
      <c r="D2268" t="s">
        <v>101</v>
      </c>
      <c r="E2268">
        <v>248</v>
      </c>
      <c r="F2268">
        <v>354</v>
      </c>
      <c r="G2268">
        <v>177</v>
      </c>
      <c r="H2268" t="s">
        <v>72</v>
      </c>
      <c r="I2268" t="s">
        <v>180</v>
      </c>
    </row>
    <row r="2269" spans="1:9" ht="15" customHeight="1" x14ac:dyDescent="0.35">
      <c r="A2269">
        <v>2020</v>
      </c>
      <c r="B2269" t="s">
        <v>159</v>
      </c>
      <c r="C2269">
        <v>12</v>
      </c>
      <c r="D2269" t="s">
        <v>101</v>
      </c>
      <c r="E2269">
        <v>272</v>
      </c>
      <c r="F2269">
        <v>378</v>
      </c>
      <c r="G2269">
        <v>104</v>
      </c>
      <c r="H2269" t="s">
        <v>72</v>
      </c>
      <c r="I2269" t="s">
        <v>180</v>
      </c>
    </row>
    <row r="2270" spans="1:9" ht="15" customHeight="1" x14ac:dyDescent="0.35">
      <c r="A2270">
        <v>2021</v>
      </c>
      <c r="B2270" t="s">
        <v>147</v>
      </c>
      <c r="C2270">
        <v>1</v>
      </c>
      <c r="D2270" t="s">
        <v>101</v>
      </c>
      <c r="E2270">
        <v>285</v>
      </c>
      <c r="F2270">
        <v>381</v>
      </c>
      <c r="G2270">
        <v>128</v>
      </c>
      <c r="H2270" t="s">
        <v>72</v>
      </c>
      <c r="I2270" t="s">
        <v>180</v>
      </c>
    </row>
    <row r="2271" spans="1:9" ht="15" customHeight="1" x14ac:dyDescent="0.35">
      <c r="A2271">
        <v>2021</v>
      </c>
      <c r="B2271" t="s">
        <v>149</v>
      </c>
      <c r="C2271">
        <v>2</v>
      </c>
      <c r="D2271" t="s">
        <v>101</v>
      </c>
      <c r="E2271">
        <v>265</v>
      </c>
      <c r="F2271">
        <v>377</v>
      </c>
      <c r="G2271">
        <v>148</v>
      </c>
      <c r="H2271" t="s">
        <v>72</v>
      </c>
      <c r="I2271" t="s">
        <v>180</v>
      </c>
    </row>
    <row r="2272" spans="1:9" ht="15" customHeight="1" x14ac:dyDescent="0.35">
      <c r="A2272">
        <v>2021</v>
      </c>
      <c r="B2272" t="s">
        <v>150</v>
      </c>
      <c r="C2272">
        <v>3</v>
      </c>
      <c r="D2272" t="s">
        <v>101</v>
      </c>
      <c r="E2272">
        <v>235</v>
      </c>
      <c r="F2272">
        <v>348</v>
      </c>
      <c r="G2272">
        <v>133</v>
      </c>
      <c r="H2272" t="s">
        <v>72</v>
      </c>
      <c r="I2272" t="s">
        <v>180</v>
      </c>
    </row>
    <row r="2273" spans="1:9" ht="15" customHeight="1" x14ac:dyDescent="0.35">
      <c r="A2273">
        <v>2021</v>
      </c>
      <c r="B2273" t="s">
        <v>151</v>
      </c>
      <c r="C2273">
        <v>4</v>
      </c>
      <c r="D2273" t="s">
        <v>101</v>
      </c>
      <c r="E2273">
        <v>213</v>
      </c>
      <c r="F2273">
        <v>344</v>
      </c>
      <c r="G2273">
        <v>64</v>
      </c>
      <c r="H2273" t="s">
        <v>73</v>
      </c>
      <c r="I2273" t="s">
        <v>180</v>
      </c>
    </row>
    <row r="2274" spans="1:9" ht="15" customHeight="1" x14ac:dyDescent="0.35">
      <c r="A2274">
        <v>2021</v>
      </c>
      <c r="B2274" t="s">
        <v>152</v>
      </c>
      <c r="C2274">
        <v>5</v>
      </c>
      <c r="D2274" t="s">
        <v>101</v>
      </c>
      <c r="E2274">
        <v>220</v>
      </c>
      <c r="F2274">
        <v>321</v>
      </c>
      <c r="G2274">
        <v>77</v>
      </c>
      <c r="H2274" t="s">
        <v>73</v>
      </c>
      <c r="I2274" t="s">
        <v>180</v>
      </c>
    </row>
    <row r="2275" spans="1:9" ht="15" customHeight="1" x14ac:dyDescent="0.35">
      <c r="A2275">
        <v>2021</v>
      </c>
      <c r="B2275" t="s">
        <v>153</v>
      </c>
      <c r="C2275">
        <v>6</v>
      </c>
      <c r="D2275" t="s">
        <v>101</v>
      </c>
      <c r="E2275">
        <v>224</v>
      </c>
      <c r="F2275">
        <v>313</v>
      </c>
      <c r="G2275">
        <v>163</v>
      </c>
      <c r="H2275" t="s">
        <v>73</v>
      </c>
      <c r="I2275" t="s">
        <v>180</v>
      </c>
    </row>
    <row r="2276" spans="1:9" ht="15" customHeight="1" x14ac:dyDescent="0.35">
      <c r="A2276">
        <v>2021</v>
      </c>
      <c r="B2276" t="s">
        <v>154</v>
      </c>
      <c r="C2276">
        <v>7</v>
      </c>
      <c r="D2276" t="s">
        <v>101</v>
      </c>
      <c r="E2276">
        <v>228</v>
      </c>
      <c r="F2276">
        <v>313</v>
      </c>
      <c r="G2276">
        <v>158</v>
      </c>
      <c r="H2276" t="s">
        <v>73</v>
      </c>
      <c r="I2276" t="s">
        <v>180</v>
      </c>
    </row>
    <row r="2277" spans="1:9" ht="15" customHeight="1" x14ac:dyDescent="0.35">
      <c r="A2277">
        <v>2021</v>
      </c>
      <c r="B2277" t="s">
        <v>155</v>
      </c>
      <c r="C2277">
        <v>8</v>
      </c>
      <c r="D2277" t="s">
        <v>101</v>
      </c>
      <c r="E2277">
        <v>237</v>
      </c>
      <c r="F2277">
        <v>328</v>
      </c>
      <c r="G2277">
        <v>166</v>
      </c>
      <c r="H2277" t="s">
        <v>73</v>
      </c>
      <c r="I2277" t="s">
        <v>180</v>
      </c>
    </row>
    <row r="2278" spans="1:9" ht="15" customHeight="1" x14ac:dyDescent="0.35">
      <c r="A2278">
        <v>2021</v>
      </c>
      <c r="B2278" t="s">
        <v>156</v>
      </c>
      <c r="C2278">
        <v>9</v>
      </c>
      <c r="D2278" t="s">
        <v>101</v>
      </c>
      <c r="E2278">
        <v>228</v>
      </c>
      <c r="F2278">
        <v>320</v>
      </c>
      <c r="G2278">
        <v>155</v>
      </c>
      <c r="H2278" t="s">
        <v>73</v>
      </c>
      <c r="I2278" t="s">
        <v>180</v>
      </c>
    </row>
    <row r="2279" spans="1:9" ht="15" customHeight="1" x14ac:dyDescent="0.35">
      <c r="A2279">
        <v>2021</v>
      </c>
      <c r="B2279" t="s">
        <v>157</v>
      </c>
      <c r="C2279">
        <v>10</v>
      </c>
      <c r="D2279" t="s">
        <v>101</v>
      </c>
      <c r="E2279">
        <v>240</v>
      </c>
      <c r="F2279">
        <v>362</v>
      </c>
      <c r="G2279">
        <v>161</v>
      </c>
      <c r="H2279" t="s">
        <v>73</v>
      </c>
      <c r="I2279" t="s">
        <v>180</v>
      </c>
    </row>
    <row r="2280" spans="1:9" ht="15" customHeight="1" x14ac:dyDescent="0.35">
      <c r="A2280">
        <v>2021</v>
      </c>
      <c r="B2280" t="s">
        <v>158</v>
      </c>
      <c r="C2280">
        <v>11</v>
      </c>
      <c r="D2280" t="s">
        <v>101</v>
      </c>
      <c r="E2280">
        <v>271</v>
      </c>
      <c r="F2280">
        <v>373</v>
      </c>
      <c r="G2280">
        <v>186</v>
      </c>
      <c r="H2280" t="s">
        <v>73</v>
      </c>
      <c r="I2280" t="s">
        <v>180</v>
      </c>
    </row>
    <row r="2281" spans="1:9" ht="15" customHeight="1" x14ac:dyDescent="0.35">
      <c r="A2281">
        <v>2021</v>
      </c>
      <c r="B2281" t="s">
        <v>159</v>
      </c>
      <c r="C2281">
        <v>12</v>
      </c>
      <c r="D2281" t="s">
        <v>101</v>
      </c>
      <c r="E2281">
        <v>298</v>
      </c>
      <c r="F2281">
        <v>392</v>
      </c>
      <c r="G2281">
        <v>207</v>
      </c>
      <c r="H2281" t="s">
        <v>73</v>
      </c>
      <c r="I2281" t="s">
        <v>180</v>
      </c>
    </row>
    <row r="2282" spans="1:9" ht="15" customHeight="1" x14ac:dyDescent="0.35">
      <c r="A2282">
        <v>2022</v>
      </c>
      <c r="B2282" t="s">
        <v>147</v>
      </c>
      <c r="C2282">
        <v>1</v>
      </c>
      <c r="D2282" t="s">
        <v>101</v>
      </c>
      <c r="E2282">
        <v>301</v>
      </c>
      <c r="F2282">
        <v>405</v>
      </c>
      <c r="G2282">
        <v>158</v>
      </c>
      <c r="H2282" t="s">
        <v>73</v>
      </c>
      <c r="I2282" t="s">
        <v>180</v>
      </c>
    </row>
    <row r="2283" spans="1:9" ht="15" customHeight="1" x14ac:dyDescent="0.35">
      <c r="A2283">
        <v>2022</v>
      </c>
      <c r="B2283" t="s">
        <v>149</v>
      </c>
      <c r="C2283">
        <v>2</v>
      </c>
      <c r="D2283" t="s">
        <v>101</v>
      </c>
      <c r="E2283">
        <v>301</v>
      </c>
      <c r="F2283">
        <v>404</v>
      </c>
      <c r="G2283">
        <v>176</v>
      </c>
      <c r="H2283" t="s">
        <v>73</v>
      </c>
      <c r="I2283" t="s">
        <v>180</v>
      </c>
    </row>
    <row r="2284" spans="1:9" ht="15" customHeight="1" x14ac:dyDescent="0.35">
      <c r="A2284">
        <v>2022</v>
      </c>
      <c r="B2284" t="s">
        <v>150</v>
      </c>
      <c r="C2284">
        <v>3</v>
      </c>
      <c r="D2284" t="s">
        <v>101</v>
      </c>
      <c r="E2284">
        <v>274</v>
      </c>
      <c r="F2284">
        <v>404</v>
      </c>
      <c r="G2284">
        <v>167</v>
      </c>
      <c r="H2284" t="s">
        <v>73</v>
      </c>
      <c r="I2284" t="s">
        <v>180</v>
      </c>
    </row>
    <row r="2285" spans="1:9" ht="15" customHeight="1" x14ac:dyDescent="0.35">
      <c r="A2285">
        <v>2022</v>
      </c>
      <c r="B2285" t="s">
        <v>151</v>
      </c>
      <c r="C2285">
        <v>4</v>
      </c>
      <c r="D2285" t="s">
        <v>101</v>
      </c>
      <c r="E2285">
        <v>235</v>
      </c>
      <c r="F2285">
        <v>403</v>
      </c>
      <c r="G2285">
        <v>110</v>
      </c>
      <c r="H2285" t="s">
        <v>74</v>
      </c>
      <c r="I2285" t="s">
        <v>180</v>
      </c>
    </row>
    <row r="2286" spans="1:9" ht="15" customHeight="1" x14ac:dyDescent="0.35">
      <c r="A2286">
        <v>2022</v>
      </c>
      <c r="B2286" t="s">
        <v>152</v>
      </c>
      <c r="C2286">
        <v>5</v>
      </c>
      <c r="D2286" t="s">
        <v>101</v>
      </c>
      <c r="E2286">
        <v>230</v>
      </c>
      <c r="F2286">
        <v>332</v>
      </c>
      <c r="G2286">
        <v>126</v>
      </c>
      <c r="H2286" t="s">
        <v>74</v>
      </c>
      <c r="I2286" t="s">
        <v>180</v>
      </c>
    </row>
    <row r="2287" spans="1:9" ht="15" customHeight="1" x14ac:dyDescent="0.35">
      <c r="A2287">
        <v>2022</v>
      </c>
      <c r="B2287" t="s">
        <v>153</v>
      </c>
      <c r="C2287">
        <v>6</v>
      </c>
      <c r="D2287" t="s">
        <v>101</v>
      </c>
      <c r="E2287">
        <v>222</v>
      </c>
      <c r="F2287">
        <v>344</v>
      </c>
      <c r="G2287">
        <v>140</v>
      </c>
      <c r="H2287" t="s">
        <v>74</v>
      </c>
      <c r="I2287" t="s">
        <v>180</v>
      </c>
    </row>
    <row r="2288" spans="1:9" ht="15" customHeight="1" x14ac:dyDescent="0.35">
      <c r="A2288">
        <v>2022</v>
      </c>
      <c r="B2288" t="s">
        <v>154</v>
      </c>
      <c r="C2288">
        <v>7</v>
      </c>
      <c r="D2288" t="s">
        <v>101</v>
      </c>
      <c r="E2288">
        <v>240</v>
      </c>
      <c r="F2288">
        <v>329</v>
      </c>
      <c r="G2288">
        <v>159</v>
      </c>
      <c r="H2288" t="s">
        <v>74</v>
      </c>
      <c r="I2288" t="s">
        <v>180</v>
      </c>
    </row>
    <row r="2289" spans="1:9" ht="15" customHeight="1" x14ac:dyDescent="0.35">
      <c r="A2289">
        <v>2022</v>
      </c>
      <c r="B2289" t="s">
        <v>155</v>
      </c>
      <c r="C2289">
        <v>8</v>
      </c>
      <c r="D2289" t="s">
        <v>101</v>
      </c>
      <c r="E2289">
        <v>250</v>
      </c>
      <c r="F2289">
        <v>341</v>
      </c>
      <c r="G2289">
        <v>192</v>
      </c>
      <c r="H2289" t="s">
        <v>74</v>
      </c>
      <c r="I2289" t="s">
        <v>180</v>
      </c>
    </row>
    <row r="2290" spans="1:9" ht="15" customHeight="1" x14ac:dyDescent="0.35">
      <c r="A2290">
        <v>2022</v>
      </c>
      <c r="B2290" t="s">
        <v>156</v>
      </c>
      <c r="C2290">
        <v>9</v>
      </c>
      <c r="D2290" t="s">
        <v>101</v>
      </c>
      <c r="E2290">
        <v>247</v>
      </c>
      <c r="F2290">
        <v>350</v>
      </c>
      <c r="G2290">
        <v>180</v>
      </c>
      <c r="H2290" t="s">
        <v>74</v>
      </c>
      <c r="I2290" t="s">
        <v>180</v>
      </c>
    </row>
    <row r="2291" spans="1:9" ht="15" customHeight="1" x14ac:dyDescent="0.35">
      <c r="A2291">
        <v>2022</v>
      </c>
      <c r="B2291" t="s">
        <v>157</v>
      </c>
      <c r="C2291">
        <v>10</v>
      </c>
      <c r="D2291" t="s">
        <v>101</v>
      </c>
      <c r="E2291">
        <v>254</v>
      </c>
      <c r="F2291">
        <v>357</v>
      </c>
      <c r="G2291">
        <v>165</v>
      </c>
      <c r="H2291" t="s">
        <v>74</v>
      </c>
      <c r="I2291" t="s">
        <v>180</v>
      </c>
    </row>
    <row r="2292" spans="1:9" ht="15" customHeight="1" x14ac:dyDescent="0.35">
      <c r="A2292">
        <v>2022</v>
      </c>
      <c r="B2292" t="s">
        <v>158</v>
      </c>
      <c r="C2292">
        <v>11</v>
      </c>
      <c r="D2292" t="s">
        <v>101</v>
      </c>
      <c r="E2292">
        <v>277</v>
      </c>
      <c r="F2292">
        <v>379</v>
      </c>
      <c r="G2292">
        <v>211</v>
      </c>
      <c r="H2292" t="s">
        <v>74</v>
      </c>
      <c r="I2292" t="s">
        <v>180</v>
      </c>
    </row>
    <row r="2293" spans="1:9" ht="15" customHeight="1" x14ac:dyDescent="0.35">
      <c r="A2293">
        <v>2022</v>
      </c>
      <c r="B2293" t="s">
        <v>159</v>
      </c>
      <c r="C2293">
        <v>12</v>
      </c>
      <c r="D2293" t="s">
        <v>101</v>
      </c>
      <c r="E2293">
        <v>291</v>
      </c>
      <c r="F2293">
        <v>391</v>
      </c>
      <c r="G2293">
        <v>199</v>
      </c>
      <c r="H2293" t="s">
        <v>74</v>
      </c>
      <c r="I2293" t="s">
        <v>180</v>
      </c>
    </row>
    <row r="2294" spans="1:9" ht="15" customHeight="1" x14ac:dyDescent="0.35">
      <c r="A2294">
        <v>2023</v>
      </c>
      <c r="B2294" t="s">
        <v>147</v>
      </c>
      <c r="C2294">
        <v>1</v>
      </c>
      <c r="D2294" t="s">
        <v>101</v>
      </c>
      <c r="E2294">
        <v>300</v>
      </c>
      <c r="F2294">
        <v>400</v>
      </c>
      <c r="G2294">
        <v>229</v>
      </c>
      <c r="H2294" t="s">
        <v>74</v>
      </c>
      <c r="I2294" t="s">
        <v>180</v>
      </c>
    </row>
    <row r="2295" spans="1:9" ht="15" customHeight="1" x14ac:dyDescent="0.35">
      <c r="A2295">
        <v>2023</v>
      </c>
      <c r="B2295" t="s">
        <v>149</v>
      </c>
      <c r="C2295">
        <v>2</v>
      </c>
      <c r="D2295" t="s">
        <v>101</v>
      </c>
      <c r="E2295">
        <v>284</v>
      </c>
      <c r="F2295">
        <v>394</v>
      </c>
      <c r="G2295">
        <v>210</v>
      </c>
      <c r="H2295" t="s">
        <v>74</v>
      </c>
      <c r="I2295" t="s">
        <v>180</v>
      </c>
    </row>
    <row r="2296" spans="1:9" ht="15" customHeight="1" x14ac:dyDescent="0.35">
      <c r="A2296">
        <v>2023</v>
      </c>
      <c r="B2296" t="s">
        <v>150</v>
      </c>
      <c r="C2296">
        <v>3</v>
      </c>
      <c r="D2296" t="s">
        <v>101</v>
      </c>
      <c r="E2296">
        <v>292</v>
      </c>
      <c r="F2296">
        <v>371</v>
      </c>
      <c r="G2296">
        <v>150</v>
      </c>
      <c r="H2296" t="s">
        <v>74</v>
      </c>
      <c r="I2296" t="s">
        <v>180</v>
      </c>
    </row>
    <row r="2297" spans="1:9" ht="15" customHeight="1" x14ac:dyDescent="0.35">
      <c r="A2297">
        <v>2023</v>
      </c>
      <c r="B2297" t="s">
        <v>151</v>
      </c>
      <c r="C2297">
        <v>4</v>
      </c>
      <c r="D2297" t="s">
        <v>101</v>
      </c>
      <c r="E2297">
        <v>213</v>
      </c>
      <c r="F2297">
        <v>308</v>
      </c>
      <c r="G2297">
        <v>121</v>
      </c>
      <c r="H2297" t="s">
        <v>75</v>
      </c>
      <c r="I2297" t="s">
        <v>180</v>
      </c>
    </row>
    <row r="2298" spans="1:9" ht="15" customHeight="1" x14ac:dyDescent="0.35">
      <c r="A2298">
        <v>2023</v>
      </c>
      <c r="B2298" t="s">
        <v>152</v>
      </c>
      <c r="C2298">
        <v>5</v>
      </c>
      <c r="D2298" t="s">
        <v>101</v>
      </c>
      <c r="E2298">
        <v>211</v>
      </c>
      <c r="F2298">
        <v>322</v>
      </c>
      <c r="G2298">
        <v>96</v>
      </c>
      <c r="H2298" t="s">
        <v>75</v>
      </c>
      <c r="I2298" t="s">
        <v>180</v>
      </c>
    </row>
    <row r="2299" spans="1:9" ht="15" customHeight="1" x14ac:dyDescent="0.35">
      <c r="A2299">
        <v>2023</v>
      </c>
      <c r="B2299" t="s">
        <v>153</v>
      </c>
      <c r="C2299">
        <v>6</v>
      </c>
      <c r="D2299" t="s">
        <v>101</v>
      </c>
      <c r="E2299">
        <v>185</v>
      </c>
      <c r="F2299">
        <v>314</v>
      </c>
      <c r="G2299">
        <v>74</v>
      </c>
      <c r="H2299" t="s">
        <v>75</v>
      </c>
      <c r="I2299" t="s">
        <v>180</v>
      </c>
    </row>
    <row r="2300" spans="1:9" ht="15" customHeight="1" x14ac:dyDescent="0.35">
      <c r="A2300">
        <v>2023</v>
      </c>
      <c r="B2300" t="s">
        <v>154</v>
      </c>
      <c r="C2300">
        <v>7</v>
      </c>
      <c r="D2300" t="s">
        <v>101</v>
      </c>
      <c r="E2300">
        <v>217</v>
      </c>
      <c r="F2300">
        <v>315</v>
      </c>
      <c r="G2300">
        <v>123</v>
      </c>
      <c r="H2300" t="s">
        <v>75</v>
      </c>
      <c r="I2300" t="s">
        <v>180</v>
      </c>
    </row>
    <row r="2301" spans="1:9" ht="15" customHeight="1" x14ac:dyDescent="0.35">
      <c r="A2301">
        <v>2023</v>
      </c>
      <c r="B2301" t="s">
        <v>155</v>
      </c>
      <c r="C2301">
        <v>8</v>
      </c>
      <c r="D2301" t="s">
        <v>101</v>
      </c>
      <c r="E2301">
        <v>240</v>
      </c>
      <c r="F2301">
        <v>335</v>
      </c>
      <c r="G2301">
        <v>159</v>
      </c>
      <c r="H2301" t="s">
        <v>75</v>
      </c>
      <c r="I2301" t="s">
        <v>180</v>
      </c>
    </row>
    <row r="2302" spans="1:9" ht="15" customHeight="1" x14ac:dyDescent="0.35">
      <c r="A2302">
        <v>2023</v>
      </c>
      <c r="B2302" t="s">
        <v>156</v>
      </c>
      <c r="C2302">
        <v>9</v>
      </c>
      <c r="D2302" t="s">
        <v>101</v>
      </c>
      <c r="E2302">
        <v>230</v>
      </c>
      <c r="F2302">
        <v>325</v>
      </c>
      <c r="G2302">
        <v>154</v>
      </c>
      <c r="H2302" t="s">
        <v>75</v>
      </c>
      <c r="I2302" t="s">
        <v>180</v>
      </c>
    </row>
    <row r="2303" spans="1:9" ht="15" customHeight="1" x14ac:dyDescent="0.35">
      <c r="A2303">
        <v>2023</v>
      </c>
      <c r="B2303" t="s">
        <v>157</v>
      </c>
      <c r="C2303">
        <v>10</v>
      </c>
      <c r="D2303" t="s">
        <v>101</v>
      </c>
      <c r="E2303">
        <v>240</v>
      </c>
      <c r="F2303">
        <v>321</v>
      </c>
      <c r="G2303">
        <v>153</v>
      </c>
      <c r="H2303" t="s">
        <v>75</v>
      </c>
      <c r="I2303" t="s">
        <v>180</v>
      </c>
    </row>
    <row r="2304" spans="1:9" ht="15" customHeight="1" x14ac:dyDescent="0.35">
      <c r="A2304">
        <v>2023</v>
      </c>
      <c r="B2304" t="s">
        <v>158</v>
      </c>
      <c r="C2304">
        <v>11</v>
      </c>
      <c r="D2304" t="s">
        <v>101</v>
      </c>
      <c r="E2304">
        <v>240</v>
      </c>
      <c r="F2304">
        <v>321</v>
      </c>
      <c r="G2304">
        <v>153</v>
      </c>
      <c r="H2304" t="s">
        <v>75</v>
      </c>
      <c r="I2304" t="s">
        <v>180</v>
      </c>
    </row>
    <row r="2305" spans="1:9" ht="15" customHeight="1" x14ac:dyDescent="0.35">
      <c r="A2305">
        <v>2023</v>
      </c>
      <c r="B2305" t="s">
        <v>159</v>
      </c>
      <c r="C2305">
        <v>12</v>
      </c>
      <c r="D2305" t="s">
        <v>101</v>
      </c>
      <c r="E2305">
        <v>259</v>
      </c>
      <c r="F2305">
        <v>353</v>
      </c>
      <c r="G2305">
        <v>153</v>
      </c>
      <c r="H2305" t="s">
        <v>75</v>
      </c>
      <c r="I2305" t="s">
        <v>180</v>
      </c>
    </row>
    <row r="2306" spans="1:9" ht="15" customHeight="1" x14ac:dyDescent="0.35">
      <c r="A2306">
        <v>2024</v>
      </c>
      <c r="B2306" t="s">
        <v>147</v>
      </c>
      <c r="C2306">
        <v>1</v>
      </c>
      <c r="D2306" t="s">
        <v>101</v>
      </c>
      <c r="E2306">
        <v>240</v>
      </c>
      <c r="F2306">
        <v>321</v>
      </c>
      <c r="G2306">
        <v>153</v>
      </c>
      <c r="H2306" t="s">
        <v>75</v>
      </c>
      <c r="I2306" t="s">
        <v>180</v>
      </c>
    </row>
    <row r="2307" spans="1:9" ht="15" customHeight="1" x14ac:dyDescent="0.35">
      <c r="A2307">
        <v>2024</v>
      </c>
      <c r="B2307" t="s">
        <v>149</v>
      </c>
      <c r="C2307">
        <v>2</v>
      </c>
      <c r="D2307" t="s">
        <v>101</v>
      </c>
      <c r="E2307">
        <v>241</v>
      </c>
      <c r="F2307">
        <v>321</v>
      </c>
      <c r="G2307">
        <v>156</v>
      </c>
      <c r="H2307" t="s">
        <v>75</v>
      </c>
      <c r="I2307" t="s">
        <v>180</v>
      </c>
    </row>
    <row r="2308" spans="1:9" ht="15" customHeight="1" x14ac:dyDescent="0.35">
      <c r="A2308">
        <v>2024</v>
      </c>
      <c r="B2308" t="s">
        <v>150</v>
      </c>
      <c r="C2308">
        <v>3</v>
      </c>
      <c r="D2308" t="s">
        <v>101</v>
      </c>
      <c r="E2308">
        <v>240</v>
      </c>
      <c r="F2308">
        <v>321</v>
      </c>
      <c r="G2308">
        <v>153</v>
      </c>
      <c r="H2308" t="s">
        <v>75</v>
      </c>
      <c r="I2308" t="s">
        <v>180</v>
      </c>
    </row>
    <row r="2309" spans="1:9" ht="15" customHeight="1" x14ac:dyDescent="0.35">
      <c r="A2309">
        <v>2024</v>
      </c>
      <c r="B2309" t="s">
        <v>151</v>
      </c>
      <c r="C2309">
        <v>4</v>
      </c>
      <c r="D2309" t="s">
        <v>101</v>
      </c>
      <c r="E2309">
        <v>239</v>
      </c>
      <c r="F2309">
        <v>321</v>
      </c>
      <c r="G2309">
        <v>151</v>
      </c>
      <c r="H2309" t="s">
        <v>77</v>
      </c>
      <c r="I2309" t="s">
        <v>180</v>
      </c>
    </row>
    <row r="2310" spans="1:9" ht="15" customHeight="1" x14ac:dyDescent="0.35">
      <c r="A2310">
        <v>2024</v>
      </c>
      <c r="B2310" t="s">
        <v>152</v>
      </c>
      <c r="C2310">
        <v>5</v>
      </c>
      <c r="D2310" t="s">
        <v>101</v>
      </c>
      <c r="E2310">
        <v>235</v>
      </c>
      <c r="F2310">
        <v>259</v>
      </c>
      <c r="G2310">
        <v>102</v>
      </c>
      <c r="H2310" t="s">
        <v>77</v>
      </c>
      <c r="I2310" t="s">
        <v>180</v>
      </c>
    </row>
    <row r="2311" spans="1:9" ht="15" customHeight="1" x14ac:dyDescent="0.35">
      <c r="A2311">
        <v>2024</v>
      </c>
      <c r="B2311" t="s">
        <v>153</v>
      </c>
      <c r="C2311">
        <v>6</v>
      </c>
      <c r="D2311" t="s">
        <v>101</v>
      </c>
      <c r="E2311">
        <v>231</v>
      </c>
      <c r="F2311">
        <v>418</v>
      </c>
      <c r="G2311">
        <v>116</v>
      </c>
      <c r="H2311" t="s">
        <v>77</v>
      </c>
      <c r="I2311" t="s">
        <v>180</v>
      </c>
    </row>
    <row r="2312" spans="1:9" ht="15" customHeight="1" x14ac:dyDescent="0.35">
      <c r="A2312">
        <v>2024</v>
      </c>
      <c r="B2312" t="s">
        <v>154</v>
      </c>
      <c r="C2312">
        <v>7</v>
      </c>
      <c r="D2312" t="s">
        <v>101</v>
      </c>
      <c r="E2312">
        <v>233</v>
      </c>
      <c r="F2312">
        <v>321</v>
      </c>
      <c r="G2312">
        <v>155</v>
      </c>
      <c r="H2312" t="s">
        <v>77</v>
      </c>
      <c r="I2312" t="s">
        <v>180</v>
      </c>
    </row>
    <row r="2313" spans="1:9" ht="15" customHeight="1" x14ac:dyDescent="0.35">
      <c r="A2313">
        <v>2024</v>
      </c>
      <c r="B2313" t="s">
        <v>155</v>
      </c>
      <c r="C2313">
        <v>8</v>
      </c>
      <c r="D2313" t="s">
        <v>101</v>
      </c>
      <c r="E2313">
        <v>234</v>
      </c>
      <c r="F2313">
        <v>333</v>
      </c>
      <c r="G2313">
        <v>152</v>
      </c>
      <c r="H2313" t="s">
        <v>77</v>
      </c>
      <c r="I2313" t="s">
        <v>180</v>
      </c>
    </row>
    <row r="2314" spans="1:9" ht="15" customHeight="1" x14ac:dyDescent="0.35">
      <c r="A2314">
        <v>2024</v>
      </c>
      <c r="B2314" t="s">
        <v>156</v>
      </c>
      <c r="C2314">
        <v>9</v>
      </c>
      <c r="D2314" t="s">
        <v>101</v>
      </c>
      <c r="E2314">
        <v>194</v>
      </c>
      <c r="F2314">
        <v>304</v>
      </c>
      <c r="G2314">
        <v>78</v>
      </c>
      <c r="H2314" t="s">
        <v>77</v>
      </c>
      <c r="I2314" t="s">
        <v>180</v>
      </c>
    </row>
    <row r="2315" spans="1:9" ht="15" customHeight="1" x14ac:dyDescent="0.35">
      <c r="A2315">
        <v>2024</v>
      </c>
      <c r="B2315" t="s">
        <v>157</v>
      </c>
      <c r="C2315">
        <v>10</v>
      </c>
      <c r="D2315" t="s">
        <v>101</v>
      </c>
      <c r="E2315">
        <v>212</v>
      </c>
      <c r="F2315">
        <v>347</v>
      </c>
      <c r="G2315">
        <v>107</v>
      </c>
      <c r="H2315" t="s">
        <v>77</v>
      </c>
      <c r="I2315" t="s">
        <v>180</v>
      </c>
    </row>
    <row r="2316" spans="1:9" ht="15" customHeight="1" x14ac:dyDescent="0.35">
      <c r="A2316">
        <v>2024</v>
      </c>
      <c r="B2316" t="s">
        <v>158</v>
      </c>
      <c r="C2316">
        <v>11</v>
      </c>
      <c r="D2316" t="s">
        <v>101</v>
      </c>
      <c r="E2316">
        <v>265</v>
      </c>
      <c r="F2316">
        <v>399</v>
      </c>
      <c r="G2316">
        <v>190</v>
      </c>
      <c r="H2316" t="s">
        <v>77</v>
      </c>
      <c r="I2316" t="s">
        <v>180</v>
      </c>
    </row>
    <row r="2317" spans="1:9" ht="15" customHeight="1" x14ac:dyDescent="0.35">
      <c r="A2317">
        <v>2024</v>
      </c>
      <c r="B2317" t="s">
        <v>159</v>
      </c>
      <c r="C2317">
        <v>12</v>
      </c>
      <c r="D2317" t="s">
        <v>101</v>
      </c>
      <c r="E2317">
        <v>277</v>
      </c>
      <c r="F2317">
        <v>383</v>
      </c>
      <c r="G2317">
        <v>190</v>
      </c>
      <c r="H2317" t="s">
        <v>77</v>
      </c>
      <c r="I2317" t="s">
        <v>180</v>
      </c>
    </row>
    <row r="2318" spans="1:9" ht="15" customHeight="1" x14ac:dyDescent="0.35">
      <c r="A2318">
        <v>2025</v>
      </c>
      <c r="B2318" t="s">
        <v>147</v>
      </c>
      <c r="C2318">
        <v>1</v>
      </c>
      <c r="D2318" t="s">
        <v>101</v>
      </c>
      <c r="E2318">
        <v>282</v>
      </c>
      <c r="F2318">
        <v>390</v>
      </c>
      <c r="G2318">
        <v>155</v>
      </c>
      <c r="H2318" t="s">
        <v>77</v>
      </c>
      <c r="I2318" t="s">
        <v>180</v>
      </c>
    </row>
    <row r="2319" spans="1:9" ht="15" customHeight="1" x14ac:dyDescent="0.35">
      <c r="A2319">
        <v>2025</v>
      </c>
      <c r="B2319" t="s">
        <v>149</v>
      </c>
      <c r="C2319">
        <v>2</v>
      </c>
      <c r="D2319" t="s">
        <v>101</v>
      </c>
      <c r="E2319">
        <v>236</v>
      </c>
      <c r="F2319">
        <v>349</v>
      </c>
      <c r="G2319">
        <v>157</v>
      </c>
      <c r="H2319" t="s">
        <v>77</v>
      </c>
      <c r="I2319" t="s">
        <v>180</v>
      </c>
    </row>
    <row r="2320" spans="1:9" ht="15" customHeight="1" x14ac:dyDescent="0.35">
      <c r="A2320">
        <v>2025</v>
      </c>
      <c r="B2320" t="s">
        <v>150</v>
      </c>
      <c r="C2320">
        <v>3</v>
      </c>
      <c r="D2320" t="s">
        <v>101</v>
      </c>
      <c r="E2320">
        <v>157</v>
      </c>
      <c r="F2320">
        <v>251</v>
      </c>
      <c r="G2320">
        <v>157</v>
      </c>
      <c r="H2320" t="s">
        <v>77</v>
      </c>
      <c r="I2320" t="s">
        <v>180</v>
      </c>
    </row>
    <row r="2321" spans="1:9" ht="15" customHeight="1" x14ac:dyDescent="0.35">
      <c r="A2321">
        <v>2025</v>
      </c>
      <c r="B2321" t="s">
        <v>151</v>
      </c>
      <c r="C2321">
        <v>4</v>
      </c>
      <c r="D2321" t="s">
        <v>101</v>
      </c>
      <c r="E2321">
        <v>192</v>
      </c>
      <c r="F2321">
        <v>334</v>
      </c>
      <c r="G2321">
        <v>87</v>
      </c>
      <c r="H2321" t="s">
        <v>78</v>
      </c>
      <c r="I2321" t="s">
        <v>180</v>
      </c>
    </row>
    <row r="2322" spans="1:9" ht="15" customHeight="1" x14ac:dyDescent="0.35">
      <c r="A2322">
        <v>2025</v>
      </c>
      <c r="B2322" t="s">
        <v>152</v>
      </c>
      <c r="C2322">
        <v>5</v>
      </c>
      <c r="D2322" t="s">
        <v>101</v>
      </c>
      <c r="E2322">
        <v>232</v>
      </c>
      <c r="F2322">
        <v>348</v>
      </c>
      <c r="G2322">
        <v>128</v>
      </c>
      <c r="H2322" t="s">
        <v>78</v>
      </c>
      <c r="I2322" t="s">
        <v>180</v>
      </c>
    </row>
    <row r="2323" spans="1:9" ht="15" customHeight="1" x14ac:dyDescent="0.35">
      <c r="A2323">
        <v>2025</v>
      </c>
      <c r="B2323" t="s">
        <v>153</v>
      </c>
      <c r="C2323">
        <v>6</v>
      </c>
      <c r="D2323" t="s">
        <v>101</v>
      </c>
      <c r="E2323">
        <v>235</v>
      </c>
      <c r="F2323">
        <v>337</v>
      </c>
      <c r="G2323">
        <v>133</v>
      </c>
      <c r="H2323" t="s">
        <v>78</v>
      </c>
      <c r="I2323" t="s">
        <v>180</v>
      </c>
    </row>
    <row r="2324" spans="1:9" ht="15" customHeight="1" x14ac:dyDescent="0.35">
      <c r="A2324">
        <v>2025</v>
      </c>
      <c r="B2324" t="s">
        <v>154</v>
      </c>
      <c r="C2324">
        <v>7</v>
      </c>
      <c r="D2324" t="s">
        <v>101</v>
      </c>
      <c r="E2324">
        <v>233</v>
      </c>
      <c r="F2324">
        <v>333</v>
      </c>
      <c r="G2324">
        <v>67</v>
      </c>
      <c r="H2324" t="s">
        <v>78</v>
      </c>
      <c r="I2324" t="s">
        <v>180</v>
      </c>
    </row>
    <row r="2325" spans="1:9" ht="15" customHeight="1" x14ac:dyDescent="0.35">
      <c r="A2325">
        <v>2025</v>
      </c>
      <c r="B2325" t="s">
        <v>155</v>
      </c>
      <c r="C2325">
        <v>8</v>
      </c>
      <c r="D2325" t="s">
        <v>101</v>
      </c>
      <c r="E2325">
        <v>252</v>
      </c>
      <c r="F2325">
        <v>407</v>
      </c>
      <c r="G2325">
        <v>150</v>
      </c>
      <c r="H2325" t="s">
        <v>78</v>
      </c>
      <c r="I2325" t="s">
        <v>180</v>
      </c>
    </row>
    <row r="2326" spans="1:9" ht="15" customHeight="1" x14ac:dyDescent="0.35">
      <c r="A2326">
        <v>2025</v>
      </c>
      <c r="B2326" t="s">
        <v>156</v>
      </c>
      <c r="C2326">
        <v>9</v>
      </c>
      <c r="D2326" t="s">
        <v>101</v>
      </c>
      <c r="E2326">
        <v>238</v>
      </c>
      <c r="F2326">
        <v>353</v>
      </c>
      <c r="G2326">
        <v>157</v>
      </c>
      <c r="H2326" t="s">
        <v>78</v>
      </c>
      <c r="I2326" t="s">
        <v>180</v>
      </c>
    </row>
    <row r="2327" spans="1:9" ht="15" customHeight="1" x14ac:dyDescent="0.35">
      <c r="A2327">
        <v>2025</v>
      </c>
      <c r="B2327" t="s">
        <v>157</v>
      </c>
      <c r="C2327">
        <v>10</v>
      </c>
      <c r="D2327" t="s">
        <v>101</v>
      </c>
      <c r="E2327">
        <v>238</v>
      </c>
      <c r="F2327">
        <v>353</v>
      </c>
      <c r="G2327">
        <v>109</v>
      </c>
      <c r="H2327" t="s">
        <v>78</v>
      </c>
      <c r="I2327" t="s">
        <v>180</v>
      </c>
    </row>
    <row r="2328" spans="1:9" ht="15" customHeight="1" x14ac:dyDescent="0.35">
      <c r="A2328">
        <v>2025</v>
      </c>
      <c r="B2328" t="s">
        <v>158</v>
      </c>
      <c r="C2328">
        <v>11</v>
      </c>
      <c r="D2328" t="s">
        <v>101</v>
      </c>
      <c r="E2328">
        <v>245</v>
      </c>
      <c r="F2328">
        <v>364</v>
      </c>
      <c r="G2328">
        <v>142</v>
      </c>
      <c r="H2328" t="s">
        <v>78</v>
      </c>
      <c r="I2328" t="s">
        <v>180</v>
      </c>
    </row>
    <row r="2329" spans="1:9" ht="15" customHeight="1" x14ac:dyDescent="0.35">
      <c r="A2329">
        <v>2025</v>
      </c>
      <c r="B2329" t="s">
        <v>159</v>
      </c>
      <c r="C2329">
        <v>12</v>
      </c>
      <c r="D2329" t="s">
        <v>101</v>
      </c>
      <c r="E2329">
        <v>263</v>
      </c>
      <c r="F2329">
        <v>350</v>
      </c>
      <c r="G2329">
        <v>175</v>
      </c>
      <c r="H2329" t="s">
        <v>78</v>
      </c>
      <c r="I2329" t="s">
        <v>180</v>
      </c>
    </row>
    <row r="2330" spans="1:9" ht="15" customHeight="1" x14ac:dyDescent="0.35">
      <c r="A2330">
        <v>2026</v>
      </c>
      <c r="B2330" t="s">
        <v>147</v>
      </c>
      <c r="C2330">
        <v>1</v>
      </c>
      <c r="D2330" t="s">
        <v>101</v>
      </c>
      <c r="E2330">
        <v>273</v>
      </c>
      <c r="F2330">
        <v>380</v>
      </c>
      <c r="G2330">
        <v>181</v>
      </c>
      <c r="H2330" t="s">
        <v>78</v>
      </c>
      <c r="I2330" t="s">
        <v>180</v>
      </c>
    </row>
    <row r="2331" spans="1:9" ht="15" customHeight="1" x14ac:dyDescent="0.35">
      <c r="A2331">
        <v>2026</v>
      </c>
      <c r="B2331" t="s">
        <v>149</v>
      </c>
      <c r="C2331">
        <v>2</v>
      </c>
      <c r="D2331" t="s">
        <v>101</v>
      </c>
      <c r="E2331">
        <v>269</v>
      </c>
      <c r="F2331">
        <v>377</v>
      </c>
      <c r="G2331">
        <v>169</v>
      </c>
      <c r="H2331" t="s">
        <v>78</v>
      </c>
      <c r="I2331" t="s">
        <v>180</v>
      </c>
    </row>
    <row r="2332" spans="1:9" ht="15" customHeight="1" x14ac:dyDescent="0.35">
      <c r="A2332">
        <v>2026</v>
      </c>
      <c r="B2332" t="s">
        <v>150</v>
      </c>
      <c r="C2332">
        <v>3</v>
      </c>
      <c r="D2332" t="s">
        <v>101</v>
      </c>
      <c r="E2332">
        <v>254</v>
      </c>
      <c r="F2332">
        <v>364</v>
      </c>
      <c r="G2332">
        <v>168</v>
      </c>
      <c r="H2332" t="s">
        <v>78</v>
      </c>
      <c r="I2332" t="s">
        <v>180</v>
      </c>
    </row>
    <row r="2333" spans="1:9" ht="15" customHeight="1" x14ac:dyDescent="0.35">
      <c r="A2333">
        <v>2017</v>
      </c>
      <c r="B2333" t="s">
        <v>147</v>
      </c>
      <c r="C2333">
        <v>1</v>
      </c>
      <c r="D2333" t="s">
        <v>102</v>
      </c>
      <c r="E2333">
        <v>62</v>
      </c>
      <c r="F2333">
        <v>104</v>
      </c>
      <c r="G2333">
        <v>19</v>
      </c>
      <c r="H2333" t="s">
        <v>122</v>
      </c>
      <c r="I2333" t="s">
        <v>181</v>
      </c>
    </row>
    <row r="2334" spans="1:9" ht="15" customHeight="1" x14ac:dyDescent="0.35">
      <c r="A2334">
        <v>2017</v>
      </c>
      <c r="B2334" t="s">
        <v>149</v>
      </c>
      <c r="C2334">
        <v>2</v>
      </c>
      <c r="D2334" t="s">
        <v>102</v>
      </c>
      <c r="E2334">
        <v>58</v>
      </c>
      <c r="F2334">
        <v>88</v>
      </c>
      <c r="G2334">
        <v>30</v>
      </c>
      <c r="H2334" t="s">
        <v>122</v>
      </c>
      <c r="I2334" t="s">
        <v>181</v>
      </c>
    </row>
    <row r="2335" spans="1:9" ht="15" customHeight="1" x14ac:dyDescent="0.35">
      <c r="A2335">
        <v>2017</v>
      </c>
      <c r="B2335" t="s">
        <v>150</v>
      </c>
      <c r="C2335">
        <v>3</v>
      </c>
      <c r="D2335" t="s">
        <v>102</v>
      </c>
      <c r="E2335">
        <v>57</v>
      </c>
      <c r="F2335">
        <v>86</v>
      </c>
      <c r="G2335">
        <v>20</v>
      </c>
      <c r="H2335" t="s">
        <v>122</v>
      </c>
      <c r="I2335" t="s">
        <v>181</v>
      </c>
    </row>
    <row r="2336" spans="1:9" ht="15" customHeight="1" x14ac:dyDescent="0.35">
      <c r="A2336">
        <v>2017</v>
      </c>
      <c r="B2336" t="s">
        <v>151</v>
      </c>
      <c r="C2336">
        <v>4</v>
      </c>
      <c r="D2336" t="s">
        <v>102</v>
      </c>
      <c r="E2336">
        <v>53</v>
      </c>
      <c r="F2336">
        <v>82</v>
      </c>
      <c r="G2336">
        <v>2</v>
      </c>
      <c r="H2336" t="s">
        <v>123</v>
      </c>
      <c r="I2336" t="s">
        <v>181</v>
      </c>
    </row>
    <row r="2337" spans="1:9" ht="15" customHeight="1" x14ac:dyDescent="0.35">
      <c r="A2337">
        <v>2017</v>
      </c>
      <c r="B2337" t="s">
        <v>152</v>
      </c>
      <c r="C2337">
        <v>5</v>
      </c>
      <c r="D2337" t="s">
        <v>102</v>
      </c>
      <c r="E2337">
        <v>53</v>
      </c>
      <c r="F2337">
        <v>81</v>
      </c>
      <c r="G2337">
        <v>11</v>
      </c>
      <c r="H2337" t="s">
        <v>123</v>
      </c>
      <c r="I2337" t="s">
        <v>181</v>
      </c>
    </row>
    <row r="2338" spans="1:9" ht="15" customHeight="1" x14ac:dyDescent="0.35">
      <c r="A2338">
        <v>2017</v>
      </c>
      <c r="B2338" t="s">
        <v>153</v>
      </c>
      <c r="C2338">
        <v>6</v>
      </c>
      <c r="D2338" t="s">
        <v>102</v>
      </c>
      <c r="E2338">
        <v>46</v>
      </c>
      <c r="F2338">
        <v>76</v>
      </c>
      <c r="G2338">
        <v>1</v>
      </c>
      <c r="H2338" t="s">
        <v>123</v>
      </c>
      <c r="I2338" t="s">
        <v>181</v>
      </c>
    </row>
    <row r="2339" spans="1:9" ht="15" customHeight="1" x14ac:dyDescent="0.35">
      <c r="A2339">
        <v>2017</v>
      </c>
      <c r="B2339" t="s">
        <v>154</v>
      </c>
      <c r="C2339">
        <v>7</v>
      </c>
      <c r="D2339" t="s">
        <v>102</v>
      </c>
      <c r="E2339">
        <v>48</v>
      </c>
      <c r="F2339">
        <v>77</v>
      </c>
      <c r="G2339">
        <v>19</v>
      </c>
      <c r="H2339" t="s">
        <v>123</v>
      </c>
      <c r="I2339" t="s">
        <v>181</v>
      </c>
    </row>
    <row r="2340" spans="1:9" ht="15" customHeight="1" x14ac:dyDescent="0.35">
      <c r="A2340">
        <v>2017</v>
      </c>
      <c r="B2340" t="s">
        <v>155</v>
      </c>
      <c r="C2340">
        <v>8</v>
      </c>
      <c r="D2340" t="s">
        <v>102</v>
      </c>
      <c r="E2340">
        <v>47</v>
      </c>
      <c r="F2340">
        <v>75</v>
      </c>
      <c r="G2340">
        <v>8</v>
      </c>
      <c r="H2340" t="s">
        <v>123</v>
      </c>
      <c r="I2340" t="s">
        <v>181</v>
      </c>
    </row>
    <row r="2341" spans="1:9" ht="15" customHeight="1" x14ac:dyDescent="0.35">
      <c r="A2341">
        <v>2017</v>
      </c>
      <c r="B2341" t="s">
        <v>156</v>
      </c>
      <c r="C2341">
        <v>9</v>
      </c>
      <c r="D2341" t="s">
        <v>102</v>
      </c>
      <c r="E2341">
        <v>51</v>
      </c>
      <c r="F2341">
        <v>109</v>
      </c>
      <c r="G2341">
        <v>0</v>
      </c>
      <c r="H2341" t="s">
        <v>123</v>
      </c>
      <c r="I2341" t="s">
        <v>181</v>
      </c>
    </row>
    <row r="2342" spans="1:9" ht="15" customHeight="1" x14ac:dyDescent="0.35">
      <c r="A2342">
        <v>2017</v>
      </c>
      <c r="B2342" t="s">
        <v>157</v>
      </c>
      <c r="C2342">
        <v>10</v>
      </c>
      <c r="D2342" t="s">
        <v>102</v>
      </c>
      <c r="E2342">
        <v>50</v>
      </c>
      <c r="F2342">
        <v>85</v>
      </c>
      <c r="G2342">
        <v>8</v>
      </c>
      <c r="H2342" t="s">
        <v>123</v>
      </c>
      <c r="I2342" t="s">
        <v>181</v>
      </c>
    </row>
    <row r="2343" spans="1:9" ht="15" customHeight="1" x14ac:dyDescent="0.35">
      <c r="A2343">
        <v>2017</v>
      </c>
      <c r="B2343" t="s">
        <v>158</v>
      </c>
      <c r="C2343">
        <v>11</v>
      </c>
      <c r="D2343" t="s">
        <v>102</v>
      </c>
      <c r="E2343">
        <v>55</v>
      </c>
      <c r="F2343">
        <v>87</v>
      </c>
      <c r="G2343">
        <v>29</v>
      </c>
      <c r="H2343" t="s">
        <v>123</v>
      </c>
      <c r="I2343" t="s">
        <v>181</v>
      </c>
    </row>
    <row r="2344" spans="1:9" ht="15" customHeight="1" x14ac:dyDescent="0.35">
      <c r="A2344">
        <v>2017</v>
      </c>
      <c r="B2344" t="s">
        <v>159</v>
      </c>
      <c r="C2344">
        <v>12</v>
      </c>
      <c r="D2344" t="s">
        <v>102</v>
      </c>
      <c r="E2344">
        <v>61</v>
      </c>
      <c r="F2344">
        <v>96</v>
      </c>
      <c r="G2344">
        <v>22</v>
      </c>
      <c r="H2344" t="s">
        <v>123</v>
      </c>
      <c r="I2344" t="s">
        <v>181</v>
      </c>
    </row>
    <row r="2345" spans="1:9" ht="15" customHeight="1" x14ac:dyDescent="0.35">
      <c r="A2345">
        <v>2018</v>
      </c>
      <c r="B2345" t="s">
        <v>147</v>
      </c>
      <c r="C2345">
        <v>1</v>
      </c>
      <c r="D2345" t="s">
        <v>102</v>
      </c>
      <c r="E2345">
        <v>64</v>
      </c>
      <c r="F2345">
        <v>107</v>
      </c>
      <c r="G2345">
        <v>11</v>
      </c>
      <c r="H2345" t="s">
        <v>123</v>
      </c>
      <c r="I2345" t="s">
        <v>181</v>
      </c>
    </row>
    <row r="2346" spans="1:9" ht="15" customHeight="1" x14ac:dyDescent="0.35">
      <c r="A2346">
        <v>2018</v>
      </c>
      <c r="B2346" t="s">
        <v>149</v>
      </c>
      <c r="C2346">
        <v>2</v>
      </c>
      <c r="D2346" t="s">
        <v>102</v>
      </c>
      <c r="E2346">
        <v>62</v>
      </c>
      <c r="F2346">
        <v>123</v>
      </c>
      <c r="G2346">
        <v>24</v>
      </c>
      <c r="H2346" t="s">
        <v>123</v>
      </c>
      <c r="I2346" t="s">
        <v>181</v>
      </c>
    </row>
    <row r="2347" spans="1:9" ht="15" customHeight="1" x14ac:dyDescent="0.35">
      <c r="A2347">
        <v>2018</v>
      </c>
      <c r="B2347" t="s">
        <v>150</v>
      </c>
      <c r="C2347">
        <v>3</v>
      </c>
      <c r="D2347" t="s">
        <v>102</v>
      </c>
      <c r="E2347">
        <v>58</v>
      </c>
      <c r="F2347">
        <v>94</v>
      </c>
      <c r="G2347">
        <v>24</v>
      </c>
      <c r="H2347" t="s">
        <v>123</v>
      </c>
      <c r="I2347" t="s">
        <v>181</v>
      </c>
    </row>
    <row r="2348" spans="1:9" ht="15" customHeight="1" x14ac:dyDescent="0.35">
      <c r="A2348">
        <v>2018</v>
      </c>
      <c r="B2348" t="s">
        <v>151</v>
      </c>
      <c r="C2348">
        <v>4</v>
      </c>
      <c r="D2348" t="s">
        <v>102</v>
      </c>
      <c r="E2348">
        <v>57</v>
      </c>
      <c r="F2348">
        <v>93</v>
      </c>
      <c r="G2348">
        <v>8</v>
      </c>
      <c r="H2348" t="s">
        <v>124</v>
      </c>
      <c r="I2348" t="s">
        <v>181</v>
      </c>
    </row>
    <row r="2349" spans="1:9" ht="15" customHeight="1" x14ac:dyDescent="0.35">
      <c r="A2349">
        <v>2018</v>
      </c>
      <c r="B2349" t="s">
        <v>152</v>
      </c>
      <c r="C2349">
        <v>5</v>
      </c>
      <c r="D2349" t="s">
        <v>102</v>
      </c>
      <c r="E2349">
        <v>55</v>
      </c>
      <c r="F2349">
        <v>90</v>
      </c>
      <c r="G2349">
        <v>15</v>
      </c>
      <c r="H2349" t="s">
        <v>124</v>
      </c>
      <c r="I2349" t="s">
        <v>181</v>
      </c>
    </row>
    <row r="2350" spans="1:9" ht="15" customHeight="1" x14ac:dyDescent="0.35">
      <c r="A2350">
        <v>2018</v>
      </c>
      <c r="B2350" t="s">
        <v>153</v>
      </c>
      <c r="C2350">
        <v>6</v>
      </c>
      <c r="D2350" t="s">
        <v>102</v>
      </c>
      <c r="E2350">
        <v>55</v>
      </c>
      <c r="F2350">
        <v>89</v>
      </c>
      <c r="G2350">
        <v>19</v>
      </c>
      <c r="H2350" t="s">
        <v>124</v>
      </c>
      <c r="I2350" t="s">
        <v>181</v>
      </c>
    </row>
    <row r="2351" spans="1:9" ht="15" customHeight="1" x14ac:dyDescent="0.35">
      <c r="A2351">
        <v>2018</v>
      </c>
      <c r="B2351" t="s">
        <v>154</v>
      </c>
      <c r="C2351">
        <v>7</v>
      </c>
      <c r="D2351" t="s">
        <v>102</v>
      </c>
      <c r="E2351">
        <v>57</v>
      </c>
      <c r="F2351">
        <v>96</v>
      </c>
      <c r="G2351">
        <v>2</v>
      </c>
      <c r="H2351" t="s">
        <v>124</v>
      </c>
      <c r="I2351" t="s">
        <v>181</v>
      </c>
    </row>
    <row r="2352" spans="1:9" ht="15" customHeight="1" x14ac:dyDescent="0.35">
      <c r="A2352">
        <v>2018</v>
      </c>
      <c r="B2352" t="s">
        <v>155</v>
      </c>
      <c r="C2352">
        <v>8</v>
      </c>
      <c r="D2352" t="s">
        <v>102</v>
      </c>
      <c r="E2352">
        <v>53</v>
      </c>
      <c r="F2352">
        <v>89</v>
      </c>
      <c r="G2352">
        <v>22</v>
      </c>
      <c r="H2352" t="s">
        <v>124</v>
      </c>
      <c r="I2352" t="s">
        <v>181</v>
      </c>
    </row>
    <row r="2353" spans="1:9" ht="15" customHeight="1" x14ac:dyDescent="0.35">
      <c r="A2353">
        <v>2018</v>
      </c>
      <c r="B2353" t="s">
        <v>156</v>
      </c>
      <c r="C2353">
        <v>9</v>
      </c>
      <c r="D2353" t="s">
        <v>102</v>
      </c>
      <c r="E2353">
        <v>55</v>
      </c>
      <c r="F2353">
        <v>86</v>
      </c>
      <c r="G2353">
        <v>26</v>
      </c>
      <c r="H2353" t="s">
        <v>124</v>
      </c>
      <c r="I2353" t="s">
        <v>181</v>
      </c>
    </row>
    <row r="2354" spans="1:9" ht="15" customHeight="1" x14ac:dyDescent="0.35">
      <c r="A2354">
        <v>2018</v>
      </c>
      <c r="B2354" t="s">
        <v>157</v>
      </c>
      <c r="C2354">
        <v>10</v>
      </c>
      <c r="D2354" t="s">
        <v>102</v>
      </c>
      <c r="E2354">
        <v>58</v>
      </c>
      <c r="F2354">
        <v>89</v>
      </c>
      <c r="G2354">
        <v>24</v>
      </c>
      <c r="H2354" t="s">
        <v>124</v>
      </c>
      <c r="I2354" t="s">
        <v>181</v>
      </c>
    </row>
    <row r="2355" spans="1:9" ht="15" customHeight="1" x14ac:dyDescent="0.35">
      <c r="A2355">
        <v>2018</v>
      </c>
      <c r="B2355" t="s">
        <v>158</v>
      </c>
      <c r="C2355">
        <v>11</v>
      </c>
      <c r="D2355" t="s">
        <v>102</v>
      </c>
      <c r="E2355">
        <v>61</v>
      </c>
      <c r="F2355">
        <v>92</v>
      </c>
      <c r="G2355">
        <v>26</v>
      </c>
      <c r="H2355" t="s">
        <v>124</v>
      </c>
      <c r="I2355" t="s">
        <v>181</v>
      </c>
    </row>
    <row r="2356" spans="1:9" ht="15" customHeight="1" x14ac:dyDescent="0.35">
      <c r="A2356">
        <v>2018</v>
      </c>
      <c r="B2356" t="s">
        <v>159</v>
      </c>
      <c r="C2356">
        <v>12</v>
      </c>
      <c r="D2356" t="s">
        <v>102</v>
      </c>
      <c r="E2356">
        <v>65</v>
      </c>
      <c r="F2356">
        <v>106</v>
      </c>
      <c r="G2356">
        <v>21</v>
      </c>
      <c r="H2356" t="s">
        <v>124</v>
      </c>
      <c r="I2356" t="s">
        <v>181</v>
      </c>
    </row>
    <row r="2357" spans="1:9" ht="15" customHeight="1" x14ac:dyDescent="0.35">
      <c r="A2357">
        <v>2019</v>
      </c>
      <c r="B2357" t="s">
        <v>147</v>
      </c>
      <c r="C2357">
        <v>1</v>
      </c>
      <c r="D2357" t="s">
        <v>102</v>
      </c>
      <c r="E2357">
        <v>67</v>
      </c>
      <c r="F2357">
        <v>109</v>
      </c>
      <c r="G2357">
        <v>5</v>
      </c>
      <c r="H2357" t="s">
        <v>124</v>
      </c>
      <c r="I2357" t="s">
        <v>181</v>
      </c>
    </row>
    <row r="2358" spans="1:9" ht="15" customHeight="1" x14ac:dyDescent="0.35">
      <c r="A2358">
        <v>2019</v>
      </c>
      <c r="B2358" t="s">
        <v>149</v>
      </c>
      <c r="C2358">
        <v>2</v>
      </c>
      <c r="D2358" t="s">
        <v>102</v>
      </c>
      <c r="E2358">
        <v>65</v>
      </c>
      <c r="F2358">
        <v>104</v>
      </c>
      <c r="G2358">
        <v>23</v>
      </c>
      <c r="H2358" t="s">
        <v>124</v>
      </c>
      <c r="I2358" t="s">
        <v>181</v>
      </c>
    </row>
    <row r="2359" spans="1:9" ht="15" customHeight="1" x14ac:dyDescent="0.35">
      <c r="A2359">
        <v>2019</v>
      </c>
      <c r="B2359" t="s">
        <v>150</v>
      </c>
      <c r="C2359">
        <v>3</v>
      </c>
      <c r="D2359" t="s">
        <v>102</v>
      </c>
      <c r="E2359">
        <v>62</v>
      </c>
      <c r="F2359">
        <v>101</v>
      </c>
      <c r="G2359">
        <v>3</v>
      </c>
      <c r="H2359" t="s">
        <v>124</v>
      </c>
      <c r="I2359" t="s">
        <v>181</v>
      </c>
    </row>
    <row r="2360" spans="1:9" ht="15" customHeight="1" x14ac:dyDescent="0.35">
      <c r="A2360">
        <v>2019</v>
      </c>
      <c r="B2360" t="s">
        <v>151</v>
      </c>
      <c r="C2360">
        <v>4</v>
      </c>
      <c r="D2360" t="s">
        <v>102</v>
      </c>
      <c r="E2360">
        <v>59</v>
      </c>
      <c r="F2360">
        <v>97</v>
      </c>
      <c r="G2360">
        <v>5</v>
      </c>
      <c r="H2360" t="s">
        <v>71</v>
      </c>
      <c r="I2360" t="s">
        <v>181</v>
      </c>
    </row>
    <row r="2361" spans="1:9" ht="15" customHeight="1" x14ac:dyDescent="0.35">
      <c r="A2361">
        <v>2019</v>
      </c>
      <c r="B2361" t="s">
        <v>152</v>
      </c>
      <c r="C2361">
        <v>5</v>
      </c>
      <c r="D2361" t="s">
        <v>102</v>
      </c>
      <c r="E2361">
        <v>59</v>
      </c>
      <c r="F2361">
        <v>92</v>
      </c>
      <c r="G2361">
        <v>6</v>
      </c>
      <c r="H2361" t="s">
        <v>71</v>
      </c>
      <c r="I2361" t="s">
        <v>181</v>
      </c>
    </row>
    <row r="2362" spans="1:9" ht="15" customHeight="1" x14ac:dyDescent="0.35">
      <c r="A2362">
        <v>2019</v>
      </c>
      <c r="B2362" t="s">
        <v>153</v>
      </c>
      <c r="C2362">
        <v>6</v>
      </c>
      <c r="D2362" t="s">
        <v>102</v>
      </c>
      <c r="E2362">
        <v>60</v>
      </c>
      <c r="F2362">
        <v>95</v>
      </c>
      <c r="G2362">
        <v>7</v>
      </c>
      <c r="H2362" t="s">
        <v>71</v>
      </c>
      <c r="I2362" t="s">
        <v>181</v>
      </c>
    </row>
    <row r="2363" spans="1:9" ht="15" customHeight="1" x14ac:dyDescent="0.35">
      <c r="A2363">
        <v>2019</v>
      </c>
      <c r="B2363" t="s">
        <v>154</v>
      </c>
      <c r="C2363">
        <v>7</v>
      </c>
      <c r="D2363" t="s">
        <v>102</v>
      </c>
      <c r="E2363">
        <v>58</v>
      </c>
      <c r="F2363">
        <v>95</v>
      </c>
      <c r="G2363">
        <v>20</v>
      </c>
      <c r="H2363" t="s">
        <v>71</v>
      </c>
      <c r="I2363" t="s">
        <v>181</v>
      </c>
    </row>
    <row r="2364" spans="1:9" ht="15" customHeight="1" x14ac:dyDescent="0.35">
      <c r="A2364">
        <v>2019</v>
      </c>
      <c r="B2364" t="s">
        <v>155</v>
      </c>
      <c r="C2364">
        <v>8</v>
      </c>
      <c r="D2364" t="s">
        <v>102</v>
      </c>
      <c r="E2364">
        <v>59</v>
      </c>
      <c r="F2364">
        <v>96</v>
      </c>
      <c r="G2364">
        <v>21</v>
      </c>
      <c r="H2364" t="s">
        <v>71</v>
      </c>
      <c r="I2364" t="s">
        <v>181</v>
      </c>
    </row>
    <row r="2365" spans="1:9" ht="15" customHeight="1" x14ac:dyDescent="0.35">
      <c r="A2365">
        <v>2019</v>
      </c>
      <c r="B2365" t="s">
        <v>156</v>
      </c>
      <c r="C2365">
        <v>9</v>
      </c>
      <c r="D2365" t="s">
        <v>102</v>
      </c>
      <c r="E2365">
        <v>58</v>
      </c>
      <c r="F2365">
        <v>116</v>
      </c>
      <c r="G2365">
        <v>6</v>
      </c>
      <c r="H2365" t="s">
        <v>71</v>
      </c>
      <c r="I2365" t="s">
        <v>181</v>
      </c>
    </row>
    <row r="2366" spans="1:9" ht="15" customHeight="1" x14ac:dyDescent="0.35">
      <c r="A2366">
        <v>2019</v>
      </c>
      <c r="B2366" t="s">
        <v>157</v>
      </c>
      <c r="C2366">
        <v>10</v>
      </c>
      <c r="D2366" t="s">
        <v>102</v>
      </c>
      <c r="E2366">
        <v>61</v>
      </c>
      <c r="F2366">
        <v>105</v>
      </c>
      <c r="G2366">
        <v>17</v>
      </c>
      <c r="H2366" t="s">
        <v>71</v>
      </c>
      <c r="I2366" t="s">
        <v>181</v>
      </c>
    </row>
    <row r="2367" spans="1:9" ht="15" customHeight="1" x14ac:dyDescent="0.35">
      <c r="A2367">
        <v>2019</v>
      </c>
      <c r="B2367" t="s">
        <v>158</v>
      </c>
      <c r="C2367">
        <v>11</v>
      </c>
      <c r="D2367" t="s">
        <v>102</v>
      </c>
      <c r="E2367">
        <v>67</v>
      </c>
      <c r="F2367">
        <v>133</v>
      </c>
      <c r="G2367">
        <v>25</v>
      </c>
      <c r="H2367" t="s">
        <v>71</v>
      </c>
      <c r="I2367" t="s">
        <v>181</v>
      </c>
    </row>
    <row r="2368" spans="1:9" ht="15" customHeight="1" x14ac:dyDescent="0.35">
      <c r="A2368">
        <v>2019</v>
      </c>
      <c r="B2368" t="s">
        <v>159</v>
      </c>
      <c r="C2368">
        <v>12</v>
      </c>
      <c r="D2368" t="s">
        <v>102</v>
      </c>
      <c r="E2368">
        <v>77</v>
      </c>
      <c r="F2368">
        <v>135</v>
      </c>
      <c r="G2368">
        <v>15</v>
      </c>
      <c r="H2368" t="s">
        <v>71</v>
      </c>
      <c r="I2368" t="s">
        <v>181</v>
      </c>
    </row>
    <row r="2369" spans="1:9" ht="15" customHeight="1" x14ac:dyDescent="0.35">
      <c r="A2369">
        <v>2020</v>
      </c>
      <c r="B2369" t="s">
        <v>147</v>
      </c>
      <c r="C2369">
        <v>1</v>
      </c>
      <c r="D2369" t="s">
        <v>102</v>
      </c>
      <c r="E2369">
        <v>79</v>
      </c>
      <c r="F2369">
        <v>129</v>
      </c>
      <c r="G2369">
        <v>33</v>
      </c>
      <c r="H2369" t="s">
        <v>71</v>
      </c>
      <c r="I2369" t="s">
        <v>181</v>
      </c>
    </row>
    <row r="2370" spans="1:9" ht="15" customHeight="1" x14ac:dyDescent="0.35">
      <c r="A2370">
        <v>2020</v>
      </c>
      <c r="B2370" t="s">
        <v>149</v>
      </c>
      <c r="C2370">
        <v>2</v>
      </c>
      <c r="D2370" t="s">
        <v>102</v>
      </c>
      <c r="E2370">
        <v>74</v>
      </c>
      <c r="F2370">
        <v>128</v>
      </c>
      <c r="G2370">
        <v>37</v>
      </c>
      <c r="H2370" t="s">
        <v>71</v>
      </c>
      <c r="I2370" t="s">
        <v>181</v>
      </c>
    </row>
    <row r="2371" spans="1:9" ht="15" customHeight="1" x14ac:dyDescent="0.35">
      <c r="A2371">
        <v>2020</v>
      </c>
      <c r="B2371" t="s">
        <v>150</v>
      </c>
      <c r="C2371">
        <v>3</v>
      </c>
      <c r="D2371" t="s">
        <v>102</v>
      </c>
      <c r="E2371">
        <v>65</v>
      </c>
      <c r="F2371">
        <v>107</v>
      </c>
      <c r="G2371">
        <v>36</v>
      </c>
      <c r="H2371" t="s">
        <v>71</v>
      </c>
      <c r="I2371" t="s">
        <v>181</v>
      </c>
    </row>
    <row r="2372" spans="1:9" ht="15" customHeight="1" x14ac:dyDescent="0.35">
      <c r="A2372">
        <v>2020</v>
      </c>
      <c r="B2372" t="s">
        <v>151</v>
      </c>
      <c r="C2372">
        <v>4</v>
      </c>
      <c r="D2372" t="s">
        <v>102</v>
      </c>
      <c r="E2372">
        <v>57</v>
      </c>
      <c r="F2372">
        <v>97</v>
      </c>
      <c r="G2372">
        <v>10</v>
      </c>
      <c r="H2372" t="s">
        <v>72</v>
      </c>
      <c r="I2372" t="s">
        <v>181</v>
      </c>
    </row>
    <row r="2373" spans="1:9" ht="15" customHeight="1" x14ac:dyDescent="0.35">
      <c r="A2373">
        <v>2020</v>
      </c>
      <c r="B2373" t="s">
        <v>152</v>
      </c>
      <c r="C2373">
        <v>5</v>
      </c>
      <c r="D2373" t="s">
        <v>102</v>
      </c>
      <c r="E2373">
        <v>62</v>
      </c>
      <c r="F2373">
        <v>94</v>
      </c>
      <c r="G2373">
        <v>11</v>
      </c>
      <c r="H2373" t="s">
        <v>72</v>
      </c>
      <c r="I2373" t="s">
        <v>181</v>
      </c>
    </row>
    <row r="2374" spans="1:9" ht="15" customHeight="1" x14ac:dyDescent="0.35">
      <c r="A2374">
        <v>2020</v>
      </c>
      <c r="B2374" t="s">
        <v>153</v>
      </c>
      <c r="C2374">
        <v>6</v>
      </c>
      <c r="D2374" t="s">
        <v>102</v>
      </c>
      <c r="E2374">
        <v>61</v>
      </c>
      <c r="F2374">
        <v>94</v>
      </c>
      <c r="G2374">
        <v>9</v>
      </c>
      <c r="H2374" t="s">
        <v>72</v>
      </c>
      <c r="I2374" t="s">
        <v>181</v>
      </c>
    </row>
    <row r="2375" spans="1:9" ht="15" customHeight="1" x14ac:dyDescent="0.35">
      <c r="A2375">
        <v>2020</v>
      </c>
      <c r="B2375" t="s">
        <v>154</v>
      </c>
      <c r="C2375">
        <v>7</v>
      </c>
      <c r="D2375" t="s">
        <v>102</v>
      </c>
      <c r="E2375">
        <v>59</v>
      </c>
      <c r="F2375">
        <v>95</v>
      </c>
      <c r="G2375">
        <v>6</v>
      </c>
      <c r="H2375" t="s">
        <v>72</v>
      </c>
      <c r="I2375" t="s">
        <v>181</v>
      </c>
    </row>
    <row r="2376" spans="1:9" ht="15" customHeight="1" x14ac:dyDescent="0.35">
      <c r="A2376">
        <v>2020</v>
      </c>
      <c r="B2376" t="s">
        <v>155</v>
      </c>
      <c r="C2376">
        <v>8</v>
      </c>
      <c r="D2376" t="s">
        <v>102</v>
      </c>
      <c r="E2376">
        <v>62</v>
      </c>
      <c r="F2376">
        <v>96</v>
      </c>
      <c r="G2376">
        <v>29</v>
      </c>
      <c r="H2376" t="s">
        <v>72</v>
      </c>
      <c r="I2376" t="s">
        <v>181</v>
      </c>
    </row>
    <row r="2377" spans="1:9" ht="15" customHeight="1" x14ac:dyDescent="0.35">
      <c r="A2377">
        <v>2020</v>
      </c>
      <c r="B2377" t="s">
        <v>156</v>
      </c>
      <c r="C2377">
        <v>9</v>
      </c>
      <c r="D2377" t="s">
        <v>102</v>
      </c>
      <c r="E2377">
        <v>62</v>
      </c>
      <c r="F2377">
        <v>96</v>
      </c>
      <c r="G2377">
        <v>31</v>
      </c>
      <c r="H2377" t="s">
        <v>72</v>
      </c>
      <c r="I2377" t="s">
        <v>181</v>
      </c>
    </row>
    <row r="2378" spans="1:9" ht="15" customHeight="1" x14ac:dyDescent="0.35">
      <c r="A2378">
        <v>2020</v>
      </c>
      <c r="B2378" t="s">
        <v>157</v>
      </c>
      <c r="C2378">
        <v>10</v>
      </c>
      <c r="D2378" t="s">
        <v>102</v>
      </c>
      <c r="E2378">
        <v>61</v>
      </c>
      <c r="F2378">
        <v>99</v>
      </c>
      <c r="G2378">
        <v>23</v>
      </c>
      <c r="H2378" t="s">
        <v>72</v>
      </c>
      <c r="I2378" t="s">
        <v>181</v>
      </c>
    </row>
    <row r="2379" spans="1:9" ht="15" customHeight="1" x14ac:dyDescent="0.35">
      <c r="A2379">
        <v>2020</v>
      </c>
      <c r="B2379" t="s">
        <v>158</v>
      </c>
      <c r="C2379">
        <v>11</v>
      </c>
      <c r="D2379" t="s">
        <v>102</v>
      </c>
      <c r="E2379">
        <v>66</v>
      </c>
      <c r="F2379">
        <v>110</v>
      </c>
      <c r="G2379">
        <v>32</v>
      </c>
      <c r="H2379" t="s">
        <v>72</v>
      </c>
      <c r="I2379" t="s">
        <v>181</v>
      </c>
    </row>
    <row r="2380" spans="1:9" ht="15" customHeight="1" x14ac:dyDescent="0.35">
      <c r="A2380">
        <v>2020</v>
      </c>
      <c r="B2380" t="s">
        <v>159</v>
      </c>
      <c r="C2380">
        <v>12</v>
      </c>
      <c r="D2380" t="s">
        <v>102</v>
      </c>
      <c r="E2380">
        <v>77</v>
      </c>
      <c r="F2380">
        <v>121</v>
      </c>
      <c r="G2380">
        <v>38</v>
      </c>
      <c r="H2380" t="s">
        <v>72</v>
      </c>
      <c r="I2380" t="s">
        <v>181</v>
      </c>
    </row>
    <row r="2381" spans="1:9" ht="15" customHeight="1" x14ac:dyDescent="0.35">
      <c r="A2381">
        <v>2021</v>
      </c>
      <c r="B2381" t="s">
        <v>147</v>
      </c>
      <c r="C2381">
        <v>1</v>
      </c>
      <c r="D2381" t="s">
        <v>102</v>
      </c>
      <c r="E2381">
        <v>79</v>
      </c>
      <c r="F2381">
        <v>125</v>
      </c>
      <c r="G2381">
        <v>36</v>
      </c>
      <c r="H2381" t="s">
        <v>72</v>
      </c>
      <c r="I2381" t="s">
        <v>181</v>
      </c>
    </row>
    <row r="2382" spans="1:9" ht="15" customHeight="1" x14ac:dyDescent="0.35">
      <c r="A2382">
        <v>2021</v>
      </c>
      <c r="B2382" t="s">
        <v>149</v>
      </c>
      <c r="C2382">
        <v>2</v>
      </c>
      <c r="D2382" t="s">
        <v>102</v>
      </c>
      <c r="E2382">
        <v>75</v>
      </c>
      <c r="F2382">
        <v>126</v>
      </c>
      <c r="G2382">
        <v>24</v>
      </c>
      <c r="H2382" t="s">
        <v>72</v>
      </c>
      <c r="I2382" t="s">
        <v>181</v>
      </c>
    </row>
    <row r="2383" spans="1:9" ht="15" customHeight="1" x14ac:dyDescent="0.35">
      <c r="A2383">
        <v>2021</v>
      </c>
      <c r="B2383" t="s">
        <v>150</v>
      </c>
      <c r="C2383">
        <v>3</v>
      </c>
      <c r="D2383" t="s">
        <v>102</v>
      </c>
      <c r="E2383">
        <v>68</v>
      </c>
      <c r="F2383">
        <v>108</v>
      </c>
      <c r="G2383">
        <v>20</v>
      </c>
      <c r="H2383" t="s">
        <v>72</v>
      </c>
      <c r="I2383" t="s">
        <v>181</v>
      </c>
    </row>
    <row r="2384" spans="1:9" ht="15" customHeight="1" x14ac:dyDescent="0.35">
      <c r="A2384">
        <v>2021</v>
      </c>
      <c r="B2384" t="s">
        <v>151</v>
      </c>
      <c r="C2384">
        <v>4</v>
      </c>
      <c r="D2384" t="s">
        <v>102</v>
      </c>
      <c r="E2384">
        <v>68</v>
      </c>
      <c r="F2384">
        <v>118</v>
      </c>
      <c r="G2384">
        <v>11</v>
      </c>
      <c r="H2384" t="s">
        <v>73</v>
      </c>
      <c r="I2384" t="s">
        <v>181</v>
      </c>
    </row>
    <row r="2385" spans="1:9" ht="15" customHeight="1" x14ac:dyDescent="0.35">
      <c r="A2385">
        <v>2021</v>
      </c>
      <c r="B2385" t="s">
        <v>152</v>
      </c>
      <c r="C2385">
        <v>5</v>
      </c>
      <c r="D2385" t="s">
        <v>102</v>
      </c>
      <c r="E2385">
        <v>69</v>
      </c>
      <c r="F2385">
        <v>107</v>
      </c>
      <c r="G2385">
        <v>31</v>
      </c>
      <c r="H2385" t="s">
        <v>73</v>
      </c>
      <c r="I2385" t="s">
        <v>181</v>
      </c>
    </row>
    <row r="2386" spans="1:9" ht="15" customHeight="1" x14ac:dyDescent="0.35">
      <c r="A2386">
        <v>2021</v>
      </c>
      <c r="B2386" t="s">
        <v>153</v>
      </c>
      <c r="C2386">
        <v>6</v>
      </c>
      <c r="D2386" t="s">
        <v>102</v>
      </c>
      <c r="E2386">
        <v>70</v>
      </c>
      <c r="F2386">
        <v>105</v>
      </c>
      <c r="G2386">
        <v>38</v>
      </c>
      <c r="H2386" t="s">
        <v>73</v>
      </c>
      <c r="I2386" t="s">
        <v>181</v>
      </c>
    </row>
    <row r="2387" spans="1:9" ht="15" customHeight="1" x14ac:dyDescent="0.35">
      <c r="A2387">
        <v>2021</v>
      </c>
      <c r="B2387" t="s">
        <v>154</v>
      </c>
      <c r="C2387">
        <v>7</v>
      </c>
      <c r="D2387" t="s">
        <v>102</v>
      </c>
      <c r="E2387">
        <v>67</v>
      </c>
      <c r="F2387">
        <v>106</v>
      </c>
      <c r="G2387">
        <v>20</v>
      </c>
      <c r="H2387" t="s">
        <v>73</v>
      </c>
      <c r="I2387" t="s">
        <v>181</v>
      </c>
    </row>
    <row r="2388" spans="1:9" ht="15" customHeight="1" x14ac:dyDescent="0.35">
      <c r="A2388">
        <v>2021</v>
      </c>
      <c r="B2388" t="s">
        <v>155</v>
      </c>
      <c r="C2388">
        <v>8</v>
      </c>
      <c r="D2388" t="s">
        <v>102</v>
      </c>
      <c r="E2388">
        <v>66</v>
      </c>
      <c r="F2388">
        <v>106</v>
      </c>
      <c r="G2388">
        <v>29</v>
      </c>
      <c r="H2388" t="s">
        <v>73</v>
      </c>
      <c r="I2388" t="s">
        <v>181</v>
      </c>
    </row>
    <row r="2389" spans="1:9" ht="15" customHeight="1" x14ac:dyDescent="0.35">
      <c r="A2389">
        <v>2021</v>
      </c>
      <c r="B2389" t="s">
        <v>156</v>
      </c>
      <c r="C2389">
        <v>9</v>
      </c>
      <c r="D2389" t="s">
        <v>102</v>
      </c>
      <c r="E2389">
        <v>65</v>
      </c>
      <c r="F2389">
        <v>106</v>
      </c>
      <c r="G2389">
        <v>14</v>
      </c>
      <c r="H2389" t="s">
        <v>73</v>
      </c>
      <c r="I2389" t="s">
        <v>181</v>
      </c>
    </row>
    <row r="2390" spans="1:9" ht="15" customHeight="1" x14ac:dyDescent="0.35">
      <c r="A2390">
        <v>2021</v>
      </c>
      <c r="B2390" t="s">
        <v>157</v>
      </c>
      <c r="C2390">
        <v>10</v>
      </c>
      <c r="D2390" t="s">
        <v>102</v>
      </c>
      <c r="E2390">
        <v>68</v>
      </c>
      <c r="F2390">
        <v>129</v>
      </c>
      <c r="G2390">
        <v>31</v>
      </c>
      <c r="H2390" t="s">
        <v>73</v>
      </c>
      <c r="I2390" t="s">
        <v>181</v>
      </c>
    </row>
    <row r="2391" spans="1:9" ht="15" customHeight="1" x14ac:dyDescent="0.35">
      <c r="A2391">
        <v>2021</v>
      </c>
      <c r="B2391" t="s">
        <v>158</v>
      </c>
      <c r="C2391">
        <v>11</v>
      </c>
      <c r="D2391" t="s">
        <v>102</v>
      </c>
      <c r="E2391">
        <v>71</v>
      </c>
      <c r="F2391">
        <v>119</v>
      </c>
      <c r="G2391">
        <v>29</v>
      </c>
      <c r="H2391" t="s">
        <v>73</v>
      </c>
      <c r="I2391" t="s">
        <v>181</v>
      </c>
    </row>
    <row r="2392" spans="1:9" ht="15" customHeight="1" x14ac:dyDescent="0.35">
      <c r="A2392">
        <v>2021</v>
      </c>
      <c r="B2392" t="s">
        <v>159</v>
      </c>
      <c r="C2392">
        <v>12</v>
      </c>
      <c r="D2392" t="s">
        <v>102</v>
      </c>
      <c r="E2392">
        <v>78</v>
      </c>
      <c r="F2392">
        <v>135</v>
      </c>
      <c r="G2392">
        <v>31</v>
      </c>
      <c r="H2392" t="s">
        <v>73</v>
      </c>
      <c r="I2392" t="s">
        <v>181</v>
      </c>
    </row>
    <row r="2393" spans="1:9" ht="15" customHeight="1" x14ac:dyDescent="0.35">
      <c r="A2393">
        <v>2022</v>
      </c>
      <c r="B2393" t="s">
        <v>147</v>
      </c>
      <c r="C2393">
        <v>1</v>
      </c>
      <c r="D2393" t="s">
        <v>102</v>
      </c>
      <c r="E2393">
        <v>85</v>
      </c>
      <c r="F2393">
        <v>146</v>
      </c>
      <c r="G2393">
        <v>21</v>
      </c>
      <c r="H2393" t="s">
        <v>73</v>
      </c>
      <c r="I2393" t="s">
        <v>181</v>
      </c>
    </row>
    <row r="2394" spans="1:9" ht="15" customHeight="1" x14ac:dyDescent="0.35">
      <c r="A2394">
        <v>2022</v>
      </c>
      <c r="B2394" t="s">
        <v>149</v>
      </c>
      <c r="C2394">
        <v>2</v>
      </c>
      <c r="D2394" t="s">
        <v>102</v>
      </c>
      <c r="E2394">
        <v>82</v>
      </c>
      <c r="F2394">
        <v>141</v>
      </c>
      <c r="G2394">
        <v>10</v>
      </c>
      <c r="H2394" t="s">
        <v>73</v>
      </c>
      <c r="I2394" t="s">
        <v>181</v>
      </c>
    </row>
    <row r="2395" spans="1:9" ht="15" customHeight="1" x14ac:dyDescent="0.35">
      <c r="A2395">
        <v>2022</v>
      </c>
      <c r="B2395" t="s">
        <v>150</v>
      </c>
      <c r="C2395">
        <v>3</v>
      </c>
      <c r="D2395" t="s">
        <v>102</v>
      </c>
      <c r="E2395">
        <v>68</v>
      </c>
      <c r="F2395">
        <v>117</v>
      </c>
      <c r="G2395">
        <v>15</v>
      </c>
      <c r="H2395" t="s">
        <v>73</v>
      </c>
      <c r="I2395" t="s">
        <v>181</v>
      </c>
    </row>
    <row r="2396" spans="1:9" ht="15" customHeight="1" x14ac:dyDescent="0.35">
      <c r="A2396">
        <v>2022</v>
      </c>
      <c r="B2396" t="s">
        <v>151</v>
      </c>
      <c r="C2396">
        <v>4</v>
      </c>
      <c r="D2396" t="s">
        <v>102</v>
      </c>
      <c r="E2396">
        <v>74</v>
      </c>
      <c r="F2396">
        <v>116</v>
      </c>
      <c r="G2396">
        <v>20</v>
      </c>
      <c r="H2396" t="s">
        <v>74</v>
      </c>
      <c r="I2396" t="s">
        <v>181</v>
      </c>
    </row>
    <row r="2397" spans="1:9" ht="15" customHeight="1" x14ac:dyDescent="0.35">
      <c r="A2397">
        <v>2022</v>
      </c>
      <c r="B2397" t="s">
        <v>152</v>
      </c>
      <c r="C2397">
        <v>5</v>
      </c>
      <c r="D2397" t="s">
        <v>102</v>
      </c>
      <c r="E2397">
        <v>76</v>
      </c>
      <c r="F2397">
        <v>111</v>
      </c>
      <c r="G2397">
        <v>39</v>
      </c>
      <c r="H2397" t="s">
        <v>74</v>
      </c>
      <c r="I2397" t="s">
        <v>181</v>
      </c>
    </row>
    <row r="2398" spans="1:9" ht="15" customHeight="1" x14ac:dyDescent="0.35">
      <c r="A2398">
        <v>2022</v>
      </c>
      <c r="B2398" t="s">
        <v>153</v>
      </c>
      <c r="C2398">
        <v>6</v>
      </c>
      <c r="D2398" t="s">
        <v>102</v>
      </c>
      <c r="E2398">
        <v>72</v>
      </c>
      <c r="F2398">
        <v>107</v>
      </c>
      <c r="G2398">
        <v>31</v>
      </c>
      <c r="H2398" t="s">
        <v>74</v>
      </c>
      <c r="I2398" t="s">
        <v>181</v>
      </c>
    </row>
    <row r="2399" spans="1:9" ht="15" customHeight="1" x14ac:dyDescent="0.35">
      <c r="A2399">
        <v>2022</v>
      </c>
      <c r="B2399" t="s">
        <v>154</v>
      </c>
      <c r="C2399">
        <v>7</v>
      </c>
      <c r="D2399" t="s">
        <v>102</v>
      </c>
      <c r="E2399">
        <v>65</v>
      </c>
      <c r="F2399">
        <v>108</v>
      </c>
      <c r="G2399">
        <v>30</v>
      </c>
      <c r="H2399" t="s">
        <v>74</v>
      </c>
      <c r="I2399" t="s">
        <v>181</v>
      </c>
    </row>
    <row r="2400" spans="1:9" ht="15" customHeight="1" x14ac:dyDescent="0.35">
      <c r="A2400">
        <v>2022</v>
      </c>
      <c r="B2400" t="s">
        <v>155</v>
      </c>
      <c r="C2400">
        <v>8</v>
      </c>
      <c r="D2400" t="s">
        <v>102</v>
      </c>
      <c r="E2400">
        <v>69</v>
      </c>
      <c r="F2400">
        <v>109</v>
      </c>
      <c r="G2400">
        <v>25</v>
      </c>
      <c r="H2400" t="s">
        <v>74</v>
      </c>
      <c r="I2400" t="s">
        <v>181</v>
      </c>
    </row>
    <row r="2401" spans="1:9" ht="15" customHeight="1" x14ac:dyDescent="0.35">
      <c r="A2401">
        <v>2022</v>
      </c>
      <c r="B2401" t="s">
        <v>156</v>
      </c>
      <c r="C2401">
        <v>9</v>
      </c>
      <c r="D2401" t="s">
        <v>102</v>
      </c>
      <c r="E2401">
        <v>65</v>
      </c>
      <c r="F2401">
        <v>123</v>
      </c>
      <c r="G2401">
        <v>26</v>
      </c>
      <c r="H2401" t="s">
        <v>74</v>
      </c>
      <c r="I2401" t="s">
        <v>181</v>
      </c>
    </row>
    <row r="2402" spans="1:9" ht="15" customHeight="1" x14ac:dyDescent="0.35">
      <c r="A2402">
        <v>2022</v>
      </c>
      <c r="B2402" t="s">
        <v>157</v>
      </c>
      <c r="C2402">
        <v>10</v>
      </c>
      <c r="D2402" t="s">
        <v>102</v>
      </c>
      <c r="E2402">
        <v>64</v>
      </c>
      <c r="F2402">
        <v>115</v>
      </c>
      <c r="G2402">
        <v>20</v>
      </c>
      <c r="H2402" t="s">
        <v>74</v>
      </c>
      <c r="I2402" t="s">
        <v>181</v>
      </c>
    </row>
    <row r="2403" spans="1:9" ht="15" customHeight="1" x14ac:dyDescent="0.35">
      <c r="A2403">
        <v>2022</v>
      </c>
      <c r="B2403" t="s">
        <v>158</v>
      </c>
      <c r="C2403">
        <v>11</v>
      </c>
      <c r="D2403" t="s">
        <v>102</v>
      </c>
      <c r="E2403">
        <v>77</v>
      </c>
      <c r="F2403">
        <v>128</v>
      </c>
      <c r="G2403">
        <v>30</v>
      </c>
      <c r="H2403" t="s">
        <v>74</v>
      </c>
      <c r="I2403" t="s">
        <v>181</v>
      </c>
    </row>
    <row r="2404" spans="1:9" ht="15" customHeight="1" x14ac:dyDescent="0.35">
      <c r="A2404">
        <v>2022</v>
      </c>
      <c r="B2404" t="s">
        <v>159</v>
      </c>
      <c r="C2404">
        <v>12</v>
      </c>
      <c r="D2404" t="s">
        <v>102</v>
      </c>
      <c r="E2404">
        <v>85</v>
      </c>
      <c r="F2404">
        <v>144</v>
      </c>
      <c r="G2404">
        <v>38</v>
      </c>
      <c r="H2404" t="s">
        <v>74</v>
      </c>
      <c r="I2404" t="s">
        <v>181</v>
      </c>
    </row>
    <row r="2405" spans="1:9" ht="15" customHeight="1" x14ac:dyDescent="0.35">
      <c r="A2405">
        <v>2023</v>
      </c>
      <c r="B2405" t="s">
        <v>147</v>
      </c>
      <c r="C2405">
        <v>1</v>
      </c>
      <c r="D2405" t="s">
        <v>102</v>
      </c>
      <c r="E2405">
        <v>87</v>
      </c>
      <c r="F2405">
        <v>152</v>
      </c>
      <c r="G2405">
        <v>39</v>
      </c>
      <c r="H2405" t="s">
        <v>74</v>
      </c>
      <c r="I2405" t="s">
        <v>181</v>
      </c>
    </row>
    <row r="2406" spans="1:9" ht="15" customHeight="1" x14ac:dyDescent="0.35">
      <c r="A2406">
        <v>2023</v>
      </c>
      <c r="B2406" t="s">
        <v>149</v>
      </c>
      <c r="C2406">
        <v>2</v>
      </c>
      <c r="D2406" t="s">
        <v>102</v>
      </c>
      <c r="E2406">
        <v>77</v>
      </c>
      <c r="F2406">
        <v>133</v>
      </c>
      <c r="G2406">
        <v>28</v>
      </c>
      <c r="H2406" t="s">
        <v>74</v>
      </c>
      <c r="I2406" t="s">
        <v>181</v>
      </c>
    </row>
    <row r="2407" spans="1:9" ht="15" customHeight="1" x14ac:dyDescent="0.35">
      <c r="A2407">
        <v>2023</v>
      </c>
      <c r="B2407" t="s">
        <v>150</v>
      </c>
      <c r="C2407">
        <v>3</v>
      </c>
      <c r="D2407" t="s">
        <v>102</v>
      </c>
      <c r="E2407">
        <v>40</v>
      </c>
      <c r="F2407">
        <v>118</v>
      </c>
      <c r="G2407">
        <v>12</v>
      </c>
      <c r="H2407" t="s">
        <v>74</v>
      </c>
      <c r="I2407" t="s">
        <v>181</v>
      </c>
    </row>
    <row r="2408" spans="1:9" ht="15" customHeight="1" x14ac:dyDescent="0.35">
      <c r="A2408">
        <v>2023</v>
      </c>
      <c r="B2408" t="s">
        <v>151</v>
      </c>
      <c r="C2408">
        <v>4</v>
      </c>
      <c r="D2408" t="s">
        <v>102</v>
      </c>
      <c r="E2408">
        <v>53</v>
      </c>
      <c r="F2408">
        <v>121</v>
      </c>
      <c r="G2408">
        <v>14</v>
      </c>
      <c r="H2408" t="s">
        <v>75</v>
      </c>
      <c r="I2408" t="s">
        <v>181</v>
      </c>
    </row>
    <row r="2409" spans="1:9" ht="15" customHeight="1" x14ac:dyDescent="0.35">
      <c r="A2409">
        <v>2023</v>
      </c>
      <c r="B2409" t="s">
        <v>152</v>
      </c>
      <c r="C2409">
        <v>5</v>
      </c>
      <c r="D2409" t="s">
        <v>102</v>
      </c>
      <c r="E2409">
        <v>46</v>
      </c>
      <c r="F2409">
        <v>116</v>
      </c>
      <c r="G2409">
        <v>8</v>
      </c>
      <c r="H2409" t="s">
        <v>75</v>
      </c>
      <c r="I2409" t="s">
        <v>181</v>
      </c>
    </row>
    <row r="2410" spans="1:9" ht="15" customHeight="1" x14ac:dyDescent="0.35">
      <c r="A2410">
        <v>2023</v>
      </c>
      <c r="B2410" t="s">
        <v>153</v>
      </c>
      <c r="C2410">
        <v>6</v>
      </c>
      <c r="D2410" t="s">
        <v>102</v>
      </c>
      <c r="E2410">
        <v>70</v>
      </c>
      <c r="F2410">
        <v>116</v>
      </c>
      <c r="G2410">
        <v>16</v>
      </c>
      <c r="H2410" t="s">
        <v>75</v>
      </c>
      <c r="I2410" t="s">
        <v>181</v>
      </c>
    </row>
    <row r="2411" spans="1:9" ht="15" customHeight="1" x14ac:dyDescent="0.35">
      <c r="A2411">
        <v>2023</v>
      </c>
      <c r="B2411" t="s">
        <v>154</v>
      </c>
      <c r="C2411">
        <v>7</v>
      </c>
      <c r="D2411" t="s">
        <v>102</v>
      </c>
      <c r="E2411">
        <v>72</v>
      </c>
      <c r="F2411">
        <v>114</v>
      </c>
      <c r="G2411">
        <v>29</v>
      </c>
      <c r="H2411" t="s">
        <v>75</v>
      </c>
      <c r="I2411" t="s">
        <v>181</v>
      </c>
    </row>
    <row r="2412" spans="1:9" ht="15" customHeight="1" x14ac:dyDescent="0.35">
      <c r="A2412">
        <v>2023</v>
      </c>
      <c r="B2412" t="s">
        <v>155</v>
      </c>
      <c r="C2412">
        <v>8</v>
      </c>
      <c r="D2412" t="s">
        <v>102</v>
      </c>
      <c r="E2412">
        <v>71</v>
      </c>
      <c r="F2412">
        <v>114</v>
      </c>
      <c r="G2412">
        <v>32</v>
      </c>
      <c r="H2412" t="s">
        <v>75</v>
      </c>
      <c r="I2412" t="s">
        <v>181</v>
      </c>
    </row>
    <row r="2413" spans="1:9" ht="15" customHeight="1" x14ac:dyDescent="0.35">
      <c r="A2413">
        <v>2023</v>
      </c>
      <c r="B2413" t="s">
        <v>156</v>
      </c>
      <c r="C2413">
        <v>9</v>
      </c>
      <c r="D2413" t="s">
        <v>102</v>
      </c>
      <c r="E2413">
        <v>71</v>
      </c>
      <c r="F2413">
        <v>124</v>
      </c>
      <c r="G2413">
        <v>29</v>
      </c>
      <c r="H2413" t="s">
        <v>75</v>
      </c>
      <c r="I2413" t="s">
        <v>181</v>
      </c>
    </row>
    <row r="2414" spans="1:9" ht="15" customHeight="1" x14ac:dyDescent="0.35">
      <c r="A2414">
        <v>2023</v>
      </c>
      <c r="B2414" t="s">
        <v>157</v>
      </c>
      <c r="C2414">
        <v>10</v>
      </c>
      <c r="D2414" t="s">
        <v>102</v>
      </c>
      <c r="E2414">
        <v>40</v>
      </c>
      <c r="F2414">
        <v>131</v>
      </c>
      <c r="G2414">
        <v>1</v>
      </c>
      <c r="H2414" t="s">
        <v>75</v>
      </c>
      <c r="I2414" t="s">
        <v>181</v>
      </c>
    </row>
    <row r="2415" spans="1:9" ht="15" customHeight="1" x14ac:dyDescent="0.35">
      <c r="A2415">
        <v>2023</v>
      </c>
      <c r="B2415" t="s">
        <v>158</v>
      </c>
      <c r="C2415">
        <v>11</v>
      </c>
      <c r="D2415" t="s">
        <v>102</v>
      </c>
      <c r="E2415">
        <v>78</v>
      </c>
      <c r="F2415">
        <v>131</v>
      </c>
      <c r="G2415">
        <v>23</v>
      </c>
      <c r="H2415" t="s">
        <v>75</v>
      </c>
      <c r="I2415" t="s">
        <v>181</v>
      </c>
    </row>
    <row r="2416" spans="1:9" ht="15" customHeight="1" x14ac:dyDescent="0.35">
      <c r="A2416">
        <v>2023</v>
      </c>
      <c r="B2416" t="s">
        <v>159</v>
      </c>
      <c r="C2416">
        <v>12</v>
      </c>
      <c r="D2416" t="s">
        <v>102</v>
      </c>
      <c r="E2416">
        <v>83</v>
      </c>
      <c r="F2416">
        <v>137</v>
      </c>
      <c r="G2416">
        <v>35</v>
      </c>
      <c r="H2416" t="s">
        <v>75</v>
      </c>
      <c r="I2416" t="s">
        <v>181</v>
      </c>
    </row>
    <row r="2417" spans="1:9" ht="15" customHeight="1" x14ac:dyDescent="0.35">
      <c r="A2417">
        <v>2024</v>
      </c>
      <c r="B2417" t="s">
        <v>147</v>
      </c>
      <c r="C2417">
        <v>1</v>
      </c>
      <c r="D2417" t="s">
        <v>102</v>
      </c>
      <c r="E2417">
        <v>92</v>
      </c>
      <c r="F2417">
        <v>155</v>
      </c>
      <c r="G2417">
        <v>34</v>
      </c>
      <c r="H2417" t="s">
        <v>75</v>
      </c>
      <c r="I2417" t="s">
        <v>181</v>
      </c>
    </row>
    <row r="2418" spans="1:9" ht="15" customHeight="1" x14ac:dyDescent="0.35">
      <c r="A2418">
        <v>2024</v>
      </c>
      <c r="B2418" t="s">
        <v>149</v>
      </c>
      <c r="C2418">
        <v>2</v>
      </c>
      <c r="D2418" t="s">
        <v>102</v>
      </c>
      <c r="E2418">
        <v>89</v>
      </c>
      <c r="F2418">
        <v>150</v>
      </c>
      <c r="G2418">
        <v>40</v>
      </c>
      <c r="H2418" t="s">
        <v>75</v>
      </c>
      <c r="I2418" t="s">
        <v>181</v>
      </c>
    </row>
    <row r="2419" spans="1:9" ht="15" customHeight="1" x14ac:dyDescent="0.35">
      <c r="A2419">
        <v>2024</v>
      </c>
      <c r="B2419" t="s">
        <v>150</v>
      </c>
      <c r="C2419">
        <v>3</v>
      </c>
      <c r="D2419" t="s">
        <v>102</v>
      </c>
      <c r="E2419">
        <v>78</v>
      </c>
      <c r="F2419">
        <v>129</v>
      </c>
      <c r="G2419">
        <v>27</v>
      </c>
      <c r="H2419" t="s">
        <v>75</v>
      </c>
      <c r="I2419" t="s">
        <v>181</v>
      </c>
    </row>
    <row r="2420" spans="1:9" ht="15" customHeight="1" x14ac:dyDescent="0.35">
      <c r="A2420">
        <v>2024</v>
      </c>
      <c r="B2420" t="s">
        <v>151</v>
      </c>
      <c r="C2420">
        <v>4</v>
      </c>
      <c r="D2420" t="s">
        <v>102</v>
      </c>
      <c r="E2420">
        <v>79</v>
      </c>
      <c r="F2420">
        <v>129</v>
      </c>
      <c r="G2420">
        <v>35</v>
      </c>
      <c r="H2420" t="s">
        <v>77</v>
      </c>
      <c r="I2420" t="s">
        <v>181</v>
      </c>
    </row>
    <row r="2421" spans="1:9" ht="15" customHeight="1" x14ac:dyDescent="0.35">
      <c r="A2421">
        <v>2024</v>
      </c>
      <c r="B2421" t="s">
        <v>152</v>
      </c>
      <c r="C2421">
        <v>5</v>
      </c>
      <c r="D2421" t="s">
        <v>102</v>
      </c>
      <c r="E2421">
        <v>73</v>
      </c>
      <c r="F2421">
        <v>124</v>
      </c>
      <c r="G2421">
        <v>8</v>
      </c>
      <c r="H2421" t="s">
        <v>77</v>
      </c>
      <c r="I2421" t="s">
        <v>181</v>
      </c>
    </row>
    <row r="2422" spans="1:9" ht="15" customHeight="1" x14ac:dyDescent="0.35">
      <c r="A2422">
        <v>2024</v>
      </c>
      <c r="B2422" t="s">
        <v>153</v>
      </c>
      <c r="C2422">
        <v>6</v>
      </c>
      <c r="D2422" t="s">
        <v>102</v>
      </c>
      <c r="E2422">
        <v>72</v>
      </c>
      <c r="F2422">
        <v>118</v>
      </c>
      <c r="G2422">
        <v>7</v>
      </c>
      <c r="H2422" t="s">
        <v>77</v>
      </c>
      <c r="I2422" t="s">
        <v>181</v>
      </c>
    </row>
    <row r="2423" spans="1:9" ht="15" customHeight="1" x14ac:dyDescent="0.35">
      <c r="A2423">
        <v>2024</v>
      </c>
      <c r="B2423" t="s">
        <v>154</v>
      </c>
      <c r="C2423">
        <v>7</v>
      </c>
      <c r="D2423" t="s">
        <v>102</v>
      </c>
      <c r="E2423">
        <v>77</v>
      </c>
      <c r="F2423">
        <v>122</v>
      </c>
      <c r="G2423">
        <v>31</v>
      </c>
      <c r="H2423" t="s">
        <v>77</v>
      </c>
      <c r="I2423" t="s">
        <v>181</v>
      </c>
    </row>
    <row r="2424" spans="1:9" ht="15" customHeight="1" x14ac:dyDescent="0.35">
      <c r="A2424">
        <v>2024</v>
      </c>
      <c r="B2424" t="s">
        <v>155</v>
      </c>
      <c r="C2424">
        <v>8</v>
      </c>
      <c r="D2424" t="s">
        <v>102</v>
      </c>
      <c r="E2424">
        <v>71</v>
      </c>
      <c r="F2424">
        <v>161</v>
      </c>
      <c r="G2424">
        <v>25</v>
      </c>
      <c r="H2424" t="s">
        <v>77</v>
      </c>
      <c r="I2424" t="s">
        <v>181</v>
      </c>
    </row>
    <row r="2425" spans="1:9" ht="15" customHeight="1" x14ac:dyDescent="0.35">
      <c r="A2425">
        <v>2024</v>
      </c>
      <c r="B2425" t="s">
        <v>156</v>
      </c>
      <c r="C2425">
        <v>9</v>
      </c>
      <c r="D2425" t="s">
        <v>102</v>
      </c>
      <c r="E2425">
        <v>76</v>
      </c>
      <c r="F2425">
        <v>158</v>
      </c>
      <c r="G2425">
        <v>37</v>
      </c>
      <c r="H2425" t="s">
        <v>77</v>
      </c>
      <c r="I2425" t="s">
        <v>181</v>
      </c>
    </row>
    <row r="2426" spans="1:9" ht="15" customHeight="1" x14ac:dyDescent="0.35">
      <c r="A2426">
        <v>2024</v>
      </c>
      <c r="B2426" t="s">
        <v>157</v>
      </c>
      <c r="C2426">
        <v>10</v>
      </c>
      <c r="D2426" t="s">
        <v>102</v>
      </c>
      <c r="E2426">
        <v>72</v>
      </c>
      <c r="F2426">
        <v>131</v>
      </c>
      <c r="G2426">
        <v>16</v>
      </c>
      <c r="H2426" t="s">
        <v>77</v>
      </c>
      <c r="I2426" t="s">
        <v>181</v>
      </c>
    </row>
    <row r="2427" spans="1:9" ht="15" customHeight="1" x14ac:dyDescent="0.35">
      <c r="A2427">
        <v>2024</v>
      </c>
      <c r="B2427" t="s">
        <v>158</v>
      </c>
      <c r="C2427">
        <v>11</v>
      </c>
      <c r="D2427" t="s">
        <v>102</v>
      </c>
      <c r="E2427">
        <v>77</v>
      </c>
      <c r="F2427">
        <v>137</v>
      </c>
      <c r="G2427">
        <v>39</v>
      </c>
      <c r="H2427" t="s">
        <v>77</v>
      </c>
      <c r="I2427" t="s">
        <v>181</v>
      </c>
    </row>
    <row r="2428" spans="1:9" ht="15" customHeight="1" x14ac:dyDescent="0.35">
      <c r="A2428">
        <v>2024</v>
      </c>
      <c r="B2428" t="s">
        <v>159</v>
      </c>
      <c r="C2428">
        <v>12</v>
      </c>
      <c r="D2428" t="s">
        <v>102</v>
      </c>
      <c r="E2428">
        <v>90</v>
      </c>
      <c r="F2428">
        <v>151</v>
      </c>
      <c r="G2428">
        <v>34</v>
      </c>
      <c r="H2428" t="s">
        <v>77</v>
      </c>
      <c r="I2428" t="s">
        <v>181</v>
      </c>
    </row>
    <row r="2429" spans="1:9" ht="15" customHeight="1" x14ac:dyDescent="0.35">
      <c r="A2429">
        <v>2025</v>
      </c>
      <c r="B2429" t="s">
        <v>147</v>
      </c>
      <c r="C2429">
        <v>1</v>
      </c>
      <c r="D2429" t="s">
        <v>102</v>
      </c>
      <c r="E2429">
        <v>91</v>
      </c>
      <c r="F2429">
        <v>164</v>
      </c>
      <c r="G2429">
        <v>37</v>
      </c>
      <c r="H2429" t="s">
        <v>77</v>
      </c>
      <c r="I2429" t="s">
        <v>181</v>
      </c>
    </row>
    <row r="2430" spans="1:9" ht="15" customHeight="1" x14ac:dyDescent="0.35">
      <c r="A2430">
        <v>2025</v>
      </c>
      <c r="B2430" t="s">
        <v>149</v>
      </c>
      <c r="C2430">
        <v>2</v>
      </c>
      <c r="D2430" t="s">
        <v>102</v>
      </c>
      <c r="E2430">
        <v>87</v>
      </c>
      <c r="F2430">
        <v>155</v>
      </c>
      <c r="G2430">
        <v>37</v>
      </c>
      <c r="H2430" t="s">
        <v>77</v>
      </c>
      <c r="I2430" t="s">
        <v>181</v>
      </c>
    </row>
    <row r="2431" spans="1:9" ht="15" customHeight="1" x14ac:dyDescent="0.35">
      <c r="A2431">
        <v>2025</v>
      </c>
      <c r="B2431" t="s">
        <v>150</v>
      </c>
      <c r="C2431">
        <v>3</v>
      </c>
      <c r="D2431" t="s">
        <v>102</v>
      </c>
      <c r="E2431">
        <v>81</v>
      </c>
      <c r="F2431">
        <v>145</v>
      </c>
      <c r="G2431">
        <v>23</v>
      </c>
      <c r="H2431" t="s">
        <v>77</v>
      </c>
      <c r="I2431" t="s">
        <v>181</v>
      </c>
    </row>
    <row r="2432" spans="1:9" ht="15" customHeight="1" x14ac:dyDescent="0.35">
      <c r="A2432">
        <v>2025</v>
      </c>
      <c r="B2432" t="s">
        <v>151</v>
      </c>
      <c r="C2432">
        <v>4</v>
      </c>
      <c r="D2432" t="s">
        <v>102</v>
      </c>
      <c r="E2432">
        <v>81</v>
      </c>
      <c r="F2432">
        <v>135</v>
      </c>
      <c r="G2432">
        <v>34</v>
      </c>
      <c r="H2432" t="s">
        <v>78</v>
      </c>
      <c r="I2432" t="s">
        <v>181</v>
      </c>
    </row>
    <row r="2433" spans="1:9" ht="15" customHeight="1" x14ac:dyDescent="0.35">
      <c r="A2433">
        <v>2025</v>
      </c>
      <c r="B2433" t="s">
        <v>152</v>
      </c>
      <c r="C2433">
        <v>5</v>
      </c>
      <c r="D2433" t="s">
        <v>102</v>
      </c>
      <c r="E2433">
        <v>79</v>
      </c>
      <c r="F2433">
        <v>130</v>
      </c>
      <c r="G2433">
        <v>14</v>
      </c>
      <c r="H2433" t="s">
        <v>78</v>
      </c>
      <c r="I2433" t="s">
        <v>181</v>
      </c>
    </row>
    <row r="2434" spans="1:9" ht="15" customHeight="1" x14ac:dyDescent="0.35">
      <c r="A2434">
        <v>2025</v>
      </c>
      <c r="B2434" t="s">
        <v>153</v>
      </c>
      <c r="C2434">
        <v>6</v>
      </c>
      <c r="D2434" t="s">
        <v>102</v>
      </c>
      <c r="E2434">
        <v>81</v>
      </c>
      <c r="F2434">
        <v>142</v>
      </c>
      <c r="G2434">
        <v>29</v>
      </c>
      <c r="H2434" t="s">
        <v>78</v>
      </c>
      <c r="I2434" t="s">
        <v>181</v>
      </c>
    </row>
    <row r="2435" spans="1:9" ht="15" customHeight="1" x14ac:dyDescent="0.35">
      <c r="A2435">
        <v>2025</v>
      </c>
      <c r="B2435" t="s">
        <v>154</v>
      </c>
      <c r="C2435">
        <v>7</v>
      </c>
      <c r="D2435" t="s">
        <v>102</v>
      </c>
      <c r="E2435">
        <v>83</v>
      </c>
      <c r="F2435">
        <v>162</v>
      </c>
      <c r="G2435">
        <v>29</v>
      </c>
      <c r="H2435" t="s">
        <v>78</v>
      </c>
      <c r="I2435" t="s">
        <v>181</v>
      </c>
    </row>
    <row r="2436" spans="1:9" ht="15" customHeight="1" x14ac:dyDescent="0.35">
      <c r="A2436">
        <v>2025</v>
      </c>
      <c r="B2436" t="s">
        <v>155</v>
      </c>
      <c r="C2436">
        <v>8</v>
      </c>
      <c r="D2436" t="s">
        <v>102</v>
      </c>
      <c r="E2436">
        <v>78</v>
      </c>
      <c r="F2436">
        <v>166</v>
      </c>
      <c r="G2436">
        <v>30</v>
      </c>
      <c r="H2436" t="s">
        <v>78</v>
      </c>
      <c r="I2436" t="s">
        <v>181</v>
      </c>
    </row>
    <row r="2437" spans="1:9" ht="15" customHeight="1" x14ac:dyDescent="0.35">
      <c r="A2437">
        <v>2025</v>
      </c>
      <c r="B2437" t="s">
        <v>156</v>
      </c>
      <c r="C2437">
        <v>9</v>
      </c>
      <c r="D2437" t="s">
        <v>102</v>
      </c>
      <c r="E2437">
        <v>80</v>
      </c>
      <c r="F2437">
        <v>156</v>
      </c>
      <c r="G2437">
        <v>36</v>
      </c>
      <c r="H2437" t="s">
        <v>78</v>
      </c>
      <c r="I2437" t="s">
        <v>181</v>
      </c>
    </row>
    <row r="2438" spans="1:9" ht="15" customHeight="1" x14ac:dyDescent="0.35">
      <c r="A2438">
        <v>2025</v>
      </c>
      <c r="B2438" t="s">
        <v>157</v>
      </c>
      <c r="C2438">
        <v>10</v>
      </c>
      <c r="D2438" t="s">
        <v>102</v>
      </c>
      <c r="E2438">
        <v>85</v>
      </c>
      <c r="F2438">
        <v>145</v>
      </c>
      <c r="G2438">
        <v>45</v>
      </c>
      <c r="H2438" t="s">
        <v>78</v>
      </c>
      <c r="I2438" t="s">
        <v>181</v>
      </c>
    </row>
    <row r="2439" spans="1:9" ht="15" customHeight="1" x14ac:dyDescent="0.35">
      <c r="A2439">
        <v>2025</v>
      </c>
      <c r="B2439" t="s">
        <v>158</v>
      </c>
      <c r="C2439">
        <v>11</v>
      </c>
      <c r="D2439" t="s">
        <v>102</v>
      </c>
      <c r="E2439">
        <v>89</v>
      </c>
      <c r="F2439">
        <v>160</v>
      </c>
      <c r="G2439">
        <v>40</v>
      </c>
      <c r="H2439" t="s">
        <v>78</v>
      </c>
      <c r="I2439" t="s">
        <v>181</v>
      </c>
    </row>
    <row r="2440" spans="1:9" ht="15" customHeight="1" x14ac:dyDescent="0.35">
      <c r="A2440">
        <v>2025</v>
      </c>
      <c r="B2440" t="s">
        <v>159</v>
      </c>
      <c r="C2440">
        <v>12</v>
      </c>
      <c r="D2440" t="s">
        <v>102</v>
      </c>
      <c r="E2440">
        <v>97</v>
      </c>
      <c r="F2440">
        <v>165</v>
      </c>
      <c r="G2440">
        <v>32</v>
      </c>
      <c r="H2440" t="s">
        <v>78</v>
      </c>
      <c r="I2440" t="s">
        <v>181</v>
      </c>
    </row>
    <row r="2441" spans="1:9" ht="15" customHeight="1" x14ac:dyDescent="0.35">
      <c r="A2441">
        <v>2026</v>
      </c>
      <c r="B2441" t="s">
        <v>147</v>
      </c>
      <c r="C2441">
        <v>1</v>
      </c>
      <c r="D2441" t="s">
        <v>102</v>
      </c>
      <c r="E2441">
        <v>86</v>
      </c>
      <c r="F2441">
        <v>159</v>
      </c>
      <c r="G2441">
        <v>40</v>
      </c>
      <c r="H2441" t="s">
        <v>78</v>
      </c>
      <c r="I2441" t="s">
        <v>181</v>
      </c>
    </row>
    <row r="2442" spans="1:9" ht="15" customHeight="1" x14ac:dyDescent="0.35">
      <c r="A2442">
        <v>2026</v>
      </c>
      <c r="B2442" t="s">
        <v>149</v>
      </c>
      <c r="C2442">
        <v>2</v>
      </c>
      <c r="D2442" t="s">
        <v>102</v>
      </c>
      <c r="E2442">
        <v>78</v>
      </c>
      <c r="F2442">
        <v>142</v>
      </c>
      <c r="G2442">
        <v>25</v>
      </c>
      <c r="H2442" t="s">
        <v>78</v>
      </c>
      <c r="I2442" t="s">
        <v>181</v>
      </c>
    </row>
    <row r="2443" spans="1:9" ht="15" customHeight="1" x14ac:dyDescent="0.35">
      <c r="A2443">
        <v>2026</v>
      </c>
      <c r="B2443" t="s">
        <v>150</v>
      </c>
      <c r="C2443">
        <v>3</v>
      </c>
      <c r="D2443" t="s">
        <v>102</v>
      </c>
      <c r="E2443">
        <v>95</v>
      </c>
      <c r="F2443">
        <v>164</v>
      </c>
      <c r="G2443">
        <v>18</v>
      </c>
      <c r="H2443" t="s">
        <v>78</v>
      </c>
      <c r="I2443" t="s">
        <v>181</v>
      </c>
    </row>
    <row r="2444" spans="1:9" ht="15" customHeight="1" x14ac:dyDescent="0.35">
      <c r="A2444">
        <v>2017</v>
      </c>
      <c r="B2444" t="s">
        <v>147</v>
      </c>
      <c r="C2444">
        <v>1</v>
      </c>
      <c r="D2444" t="s">
        <v>103</v>
      </c>
      <c r="E2444">
        <v>80</v>
      </c>
      <c r="F2444">
        <v>110</v>
      </c>
      <c r="G2444">
        <v>36</v>
      </c>
      <c r="H2444" t="s">
        <v>122</v>
      </c>
      <c r="I2444" t="s">
        <v>182</v>
      </c>
    </row>
    <row r="2445" spans="1:9" ht="15" customHeight="1" x14ac:dyDescent="0.35">
      <c r="A2445">
        <v>2017</v>
      </c>
      <c r="B2445" t="s">
        <v>149</v>
      </c>
      <c r="C2445">
        <v>2</v>
      </c>
      <c r="D2445" t="s">
        <v>103</v>
      </c>
      <c r="E2445">
        <v>81</v>
      </c>
      <c r="F2445">
        <v>133</v>
      </c>
      <c r="G2445">
        <v>37</v>
      </c>
      <c r="H2445" t="s">
        <v>122</v>
      </c>
      <c r="I2445" t="s">
        <v>182</v>
      </c>
    </row>
    <row r="2446" spans="1:9" ht="15" customHeight="1" x14ac:dyDescent="0.35">
      <c r="A2446">
        <v>2017</v>
      </c>
      <c r="B2446" t="s">
        <v>150</v>
      </c>
      <c r="C2446">
        <v>3</v>
      </c>
      <c r="D2446" t="s">
        <v>103</v>
      </c>
      <c r="E2446">
        <v>68</v>
      </c>
      <c r="F2446">
        <v>139</v>
      </c>
      <c r="G2446">
        <v>4</v>
      </c>
      <c r="H2446" t="s">
        <v>122</v>
      </c>
      <c r="I2446" t="s">
        <v>182</v>
      </c>
    </row>
    <row r="2447" spans="1:9" ht="15" customHeight="1" x14ac:dyDescent="0.35">
      <c r="A2447">
        <v>2017</v>
      </c>
      <c r="B2447" t="s">
        <v>151</v>
      </c>
      <c r="C2447">
        <v>4</v>
      </c>
      <c r="D2447" t="s">
        <v>103</v>
      </c>
      <c r="E2447">
        <v>71</v>
      </c>
      <c r="F2447">
        <v>135</v>
      </c>
      <c r="G2447">
        <v>6</v>
      </c>
      <c r="H2447" t="s">
        <v>123</v>
      </c>
      <c r="I2447" t="s">
        <v>182</v>
      </c>
    </row>
    <row r="2448" spans="1:9" ht="15" customHeight="1" x14ac:dyDescent="0.35">
      <c r="A2448">
        <v>2017</v>
      </c>
      <c r="B2448" t="s">
        <v>152</v>
      </c>
      <c r="C2448">
        <v>5</v>
      </c>
      <c r="D2448" t="s">
        <v>103</v>
      </c>
      <c r="E2448">
        <v>84</v>
      </c>
      <c r="F2448">
        <v>135</v>
      </c>
      <c r="G2448">
        <v>29</v>
      </c>
      <c r="H2448" t="s">
        <v>123</v>
      </c>
      <c r="I2448" t="s">
        <v>182</v>
      </c>
    </row>
    <row r="2449" spans="1:9" ht="15" customHeight="1" x14ac:dyDescent="0.35">
      <c r="A2449">
        <v>2017</v>
      </c>
      <c r="B2449" t="s">
        <v>153</v>
      </c>
      <c r="C2449">
        <v>6</v>
      </c>
      <c r="D2449" t="s">
        <v>103</v>
      </c>
      <c r="E2449">
        <v>92</v>
      </c>
      <c r="F2449">
        <v>138</v>
      </c>
      <c r="G2449">
        <v>25</v>
      </c>
      <c r="H2449" t="s">
        <v>123</v>
      </c>
      <c r="I2449" t="s">
        <v>182</v>
      </c>
    </row>
    <row r="2450" spans="1:9" ht="15" customHeight="1" x14ac:dyDescent="0.35">
      <c r="A2450">
        <v>2017</v>
      </c>
      <c r="B2450" t="s">
        <v>154</v>
      </c>
      <c r="C2450">
        <v>7</v>
      </c>
      <c r="D2450" t="s">
        <v>103</v>
      </c>
      <c r="E2450">
        <v>81</v>
      </c>
      <c r="F2450">
        <v>131</v>
      </c>
      <c r="G2450">
        <v>38</v>
      </c>
      <c r="H2450" t="s">
        <v>123</v>
      </c>
      <c r="I2450" t="s">
        <v>182</v>
      </c>
    </row>
    <row r="2451" spans="1:9" ht="15" customHeight="1" x14ac:dyDescent="0.35">
      <c r="A2451">
        <v>2017</v>
      </c>
      <c r="B2451" t="s">
        <v>155</v>
      </c>
      <c r="C2451">
        <v>8</v>
      </c>
      <c r="D2451" t="s">
        <v>103</v>
      </c>
      <c r="E2451">
        <v>74</v>
      </c>
      <c r="F2451">
        <v>120</v>
      </c>
      <c r="G2451">
        <v>35</v>
      </c>
      <c r="H2451" t="s">
        <v>123</v>
      </c>
      <c r="I2451" t="s">
        <v>182</v>
      </c>
    </row>
    <row r="2452" spans="1:9" ht="15" customHeight="1" x14ac:dyDescent="0.35">
      <c r="A2452">
        <v>2017</v>
      </c>
      <c r="B2452" t="s">
        <v>156</v>
      </c>
      <c r="C2452">
        <v>9</v>
      </c>
      <c r="D2452" t="s">
        <v>103</v>
      </c>
      <c r="E2452">
        <v>77</v>
      </c>
      <c r="F2452">
        <v>119</v>
      </c>
      <c r="G2452">
        <v>13</v>
      </c>
      <c r="H2452" t="s">
        <v>123</v>
      </c>
      <c r="I2452" t="s">
        <v>182</v>
      </c>
    </row>
    <row r="2453" spans="1:9" ht="15" customHeight="1" x14ac:dyDescent="0.35">
      <c r="A2453">
        <v>2017</v>
      </c>
      <c r="B2453" t="s">
        <v>157</v>
      </c>
      <c r="C2453">
        <v>10</v>
      </c>
      <c r="D2453" t="s">
        <v>103</v>
      </c>
      <c r="E2453">
        <v>76</v>
      </c>
      <c r="F2453">
        <v>121</v>
      </c>
      <c r="G2453">
        <v>12</v>
      </c>
      <c r="H2453" t="s">
        <v>123</v>
      </c>
      <c r="I2453" t="s">
        <v>182</v>
      </c>
    </row>
    <row r="2454" spans="1:9" ht="15" customHeight="1" x14ac:dyDescent="0.35">
      <c r="A2454">
        <v>2017</v>
      </c>
      <c r="B2454" t="s">
        <v>158</v>
      </c>
      <c r="C2454">
        <v>11</v>
      </c>
      <c r="D2454" t="s">
        <v>103</v>
      </c>
      <c r="E2454">
        <v>81</v>
      </c>
      <c r="F2454">
        <v>120</v>
      </c>
      <c r="G2454">
        <v>41</v>
      </c>
      <c r="H2454" t="s">
        <v>123</v>
      </c>
      <c r="I2454" t="s">
        <v>182</v>
      </c>
    </row>
    <row r="2455" spans="1:9" ht="15" customHeight="1" x14ac:dyDescent="0.35">
      <c r="A2455">
        <v>2017</v>
      </c>
      <c r="B2455" t="s">
        <v>159</v>
      </c>
      <c r="C2455">
        <v>12</v>
      </c>
      <c r="D2455" t="s">
        <v>103</v>
      </c>
      <c r="E2455">
        <v>93</v>
      </c>
      <c r="F2455">
        <v>147</v>
      </c>
      <c r="G2455">
        <v>59</v>
      </c>
      <c r="H2455" t="s">
        <v>123</v>
      </c>
      <c r="I2455" t="s">
        <v>182</v>
      </c>
    </row>
    <row r="2456" spans="1:9" ht="15" customHeight="1" x14ac:dyDescent="0.35">
      <c r="A2456">
        <v>2018</v>
      </c>
      <c r="B2456" t="s">
        <v>147</v>
      </c>
      <c r="C2456">
        <v>1</v>
      </c>
      <c r="D2456" t="s">
        <v>103</v>
      </c>
      <c r="E2456">
        <v>87</v>
      </c>
      <c r="F2456">
        <v>147</v>
      </c>
      <c r="G2456">
        <v>3</v>
      </c>
      <c r="H2456" t="s">
        <v>123</v>
      </c>
      <c r="I2456" t="s">
        <v>182</v>
      </c>
    </row>
    <row r="2457" spans="1:9" ht="15" customHeight="1" x14ac:dyDescent="0.35">
      <c r="A2457">
        <v>2018</v>
      </c>
      <c r="B2457" t="s">
        <v>149</v>
      </c>
      <c r="C2457">
        <v>2</v>
      </c>
      <c r="D2457" t="s">
        <v>103</v>
      </c>
      <c r="E2457">
        <v>97</v>
      </c>
      <c r="F2457">
        <v>164</v>
      </c>
      <c r="G2457">
        <v>51</v>
      </c>
      <c r="H2457" t="s">
        <v>123</v>
      </c>
      <c r="I2457" t="s">
        <v>182</v>
      </c>
    </row>
    <row r="2458" spans="1:9" ht="15" customHeight="1" x14ac:dyDescent="0.35">
      <c r="A2458">
        <v>2018</v>
      </c>
      <c r="B2458" t="s">
        <v>150</v>
      </c>
      <c r="C2458">
        <v>3</v>
      </c>
      <c r="D2458" t="s">
        <v>103</v>
      </c>
      <c r="E2458">
        <v>98</v>
      </c>
      <c r="F2458">
        <v>148</v>
      </c>
      <c r="G2458">
        <v>51</v>
      </c>
      <c r="H2458" t="s">
        <v>123</v>
      </c>
      <c r="I2458" t="s">
        <v>182</v>
      </c>
    </row>
    <row r="2459" spans="1:9" ht="15" customHeight="1" x14ac:dyDescent="0.35">
      <c r="A2459">
        <v>2018</v>
      </c>
      <c r="B2459" t="s">
        <v>151</v>
      </c>
      <c r="C2459">
        <v>4</v>
      </c>
      <c r="D2459" t="s">
        <v>103</v>
      </c>
      <c r="E2459">
        <v>102</v>
      </c>
      <c r="F2459">
        <v>147</v>
      </c>
      <c r="G2459">
        <v>56</v>
      </c>
      <c r="H2459" t="s">
        <v>124</v>
      </c>
      <c r="I2459" t="s">
        <v>182</v>
      </c>
    </row>
    <row r="2460" spans="1:9" ht="15" customHeight="1" x14ac:dyDescent="0.35">
      <c r="A2460">
        <v>2018</v>
      </c>
      <c r="B2460" t="s">
        <v>152</v>
      </c>
      <c r="C2460">
        <v>5</v>
      </c>
      <c r="D2460" t="s">
        <v>103</v>
      </c>
      <c r="E2460">
        <v>101</v>
      </c>
      <c r="F2460">
        <v>148</v>
      </c>
      <c r="G2460">
        <v>34</v>
      </c>
      <c r="H2460" t="s">
        <v>124</v>
      </c>
      <c r="I2460" t="s">
        <v>182</v>
      </c>
    </row>
    <row r="2461" spans="1:9" ht="15" customHeight="1" x14ac:dyDescent="0.35">
      <c r="A2461">
        <v>2018</v>
      </c>
      <c r="B2461" t="s">
        <v>153</v>
      </c>
      <c r="C2461">
        <v>6</v>
      </c>
      <c r="D2461" t="s">
        <v>103</v>
      </c>
      <c r="E2461">
        <v>106</v>
      </c>
      <c r="F2461">
        <v>152</v>
      </c>
      <c r="G2461">
        <v>53</v>
      </c>
      <c r="H2461" t="s">
        <v>124</v>
      </c>
      <c r="I2461" t="s">
        <v>182</v>
      </c>
    </row>
    <row r="2462" spans="1:9" ht="15" customHeight="1" x14ac:dyDescent="0.35">
      <c r="A2462">
        <v>2018</v>
      </c>
      <c r="B2462" t="s">
        <v>154</v>
      </c>
      <c r="C2462">
        <v>7</v>
      </c>
      <c r="D2462" t="s">
        <v>103</v>
      </c>
      <c r="E2462">
        <v>94</v>
      </c>
      <c r="F2462">
        <v>138</v>
      </c>
      <c r="G2462">
        <v>54</v>
      </c>
      <c r="H2462" t="s">
        <v>124</v>
      </c>
      <c r="I2462" t="s">
        <v>182</v>
      </c>
    </row>
    <row r="2463" spans="1:9" ht="15" customHeight="1" x14ac:dyDescent="0.35">
      <c r="A2463">
        <v>2018</v>
      </c>
      <c r="B2463" t="s">
        <v>155</v>
      </c>
      <c r="C2463">
        <v>8</v>
      </c>
      <c r="D2463" t="s">
        <v>103</v>
      </c>
      <c r="E2463">
        <v>97</v>
      </c>
      <c r="F2463">
        <v>141</v>
      </c>
      <c r="G2463">
        <v>67</v>
      </c>
      <c r="H2463" t="s">
        <v>124</v>
      </c>
      <c r="I2463" t="s">
        <v>182</v>
      </c>
    </row>
    <row r="2464" spans="1:9" ht="15" customHeight="1" x14ac:dyDescent="0.35">
      <c r="A2464">
        <v>2018</v>
      </c>
      <c r="B2464" t="s">
        <v>156</v>
      </c>
      <c r="C2464">
        <v>9</v>
      </c>
      <c r="D2464" t="s">
        <v>103</v>
      </c>
      <c r="E2464">
        <v>97</v>
      </c>
      <c r="F2464">
        <v>134</v>
      </c>
      <c r="G2464">
        <v>55</v>
      </c>
      <c r="H2464" t="s">
        <v>124</v>
      </c>
      <c r="I2464" t="s">
        <v>182</v>
      </c>
    </row>
    <row r="2465" spans="1:9" ht="15" customHeight="1" x14ac:dyDescent="0.35">
      <c r="A2465">
        <v>2018</v>
      </c>
      <c r="B2465" t="s">
        <v>157</v>
      </c>
      <c r="C2465">
        <v>10</v>
      </c>
      <c r="D2465" t="s">
        <v>103</v>
      </c>
      <c r="E2465">
        <v>90</v>
      </c>
      <c r="F2465">
        <v>129</v>
      </c>
      <c r="G2465">
        <v>50</v>
      </c>
      <c r="H2465" t="s">
        <v>124</v>
      </c>
      <c r="I2465" t="s">
        <v>182</v>
      </c>
    </row>
    <row r="2466" spans="1:9" ht="15" customHeight="1" x14ac:dyDescent="0.35">
      <c r="A2466">
        <v>2018</v>
      </c>
      <c r="B2466" t="s">
        <v>158</v>
      </c>
      <c r="C2466">
        <v>11</v>
      </c>
      <c r="D2466" t="s">
        <v>103</v>
      </c>
      <c r="E2466">
        <v>93</v>
      </c>
      <c r="F2466">
        <v>139</v>
      </c>
      <c r="G2466">
        <v>55</v>
      </c>
      <c r="H2466" t="s">
        <v>124</v>
      </c>
      <c r="I2466" t="s">
        <v>182</v>
      </c>
    </row>
    <row r="2467" spans="1:9" ht="15" customHeight="1" x14ac:dyDescent="0.35">
      <c r="A2467">
        <v>2018</v>
      </c>
      <c r="B2467" t="s">
        <v>159</v>
      </c>
      <c r="C2467">
        <v>12</v>
      </c>
      <c r="D2467" t="s">
        <v>103</v>
      </c>
      <c r="E2467">
        <v>98</v>
      </c>
      <c r="F2467">
        <v>155</v>
      </c>
      <c r="G2467">
        <v>51</v>
      </c>
      <c r="H2467" t="s">
        <v>124</v>
      </c>
      <c r="I2467" t="s">
        <v>182</v>
      </c>
    </row>
    <row r="2468" spans="1:9" ht="15" customHeight="1" x14ac:dyDescent="0.35">
      <c r="A2468">
        <v>2019</v>
      </c>
      <c r="B2468" t="s">
        <v>147</v>
      </c>
      <c r="C2468">
        <v>1</v>
      </c>
      <c r="D2468" t="s">
        <v>103</v>
      </c>
      <c r="E2468">
        <v>100</v>
      </c>
      <c r="F2468">
        <v>159</v>
      </c>
      <c r="G2468">
        <v>68</v>
      </c>
      <c r="H2468" t="s">
        <v>124</v>
      </c>
      <c r="I2468" t="s">
        <v>182</v>
      </c>
    </row>
    <row r="2469" spans="1:9" ht="15" customHeight="1" x14ac:dyDescent="0.35">
      <c r="A2469">
        <v>2019</v>
      </c>
      <c r="B2469" t="s">
        <v>149</v>
      </c>
      <c r="C2469">
        <v>2</v>
      </c>
      <c r="D2469" t="s">
        <v>103</v>
      </c>
      <c r="E2469">
        <v>96</v>
      </c>
      <c r="F2469">
        <v>156</v>
      </c>
      <c r="G2469">
        <v>54</v>
      </c>
      <c r="H2469" t="s">
        <v>124</v>
      </c>
      <c r="I2469" t="s">
        <v>182</v>
      </c>
    </row>
    <row r="2470" spans="1:9" ht="15" customHeight="1" x14ac:dyDescent="0.35">
      <c r="A2470">
        <v>2019</v>
      </c>
      <c r="B2470" t="s">
        <v>150</v>
      </c>
      <c r="C2470">
        <v>3</v>
      </c>
      <c r="D2470" t="s">
        <v>103</v>
      </c>
      <c r="E2470">
        <v>95</v>
      </c>
      <c r="F2470">
        <v>140</v>
      </c>
      <c r="G2470">
        <v>53</v>
      </c>
      <c r="H2470" t="s">
        <v>124</v>
      </c>
      <c r="I2470" t="s">
        <v>182</v>
      </c>
    </row>
    <row r="2471" spans="1:9" ht="15" customHeight="1" x14ac:dyDescent="0.35">
      <c r="A2471">
        <v>2019</v>
      </c>
      <c r="B2471" t="s">
        <v>151</v>
      </c>
      <c r="C2471">
        <v>4</v>
      </c>
      <c r="D2471" t="s">
        <v>103</v>
      </c>
      <c r="E2471">
        <v>96</v>
      </c>
      <c r="F2471">
        <v>153</v>
      </c>
      <c r="G2471">
        <v>28</v>
      </c>
      <c r="H2471" t="s">
        <v>71</v>
      </c>
      <c r="I2471" t="s">
        <v>182</v>
      </c>
    </row>
    <row r="2472" spans="1:9" ht="15" customHeight="1" x14ac:dyDescent="0.35">
      <c r="A2472">
        <v>2019</v>
      </c>
      <c r="B2472" t="s">
        <v>152</v>
      </c>
      <c r="C2472">
        <v>5</v>
      </c>
      <c r="D2472" t="s">
        <v>103</v>
      </c>
      <c r="E2472">
        <v>84</v>
      </c>
      <c r="F2472">
        <v>126</v>
      </c>
      <c r="G2472">
        <v>13</v>
      </c>
      <c r="H2472" t="s">
        <v>71</v>
      </c>
      <c r="I2472" t="s">
        <v>182</v>
      </c>
    </row>
    <row r="2473" spans="1:9" ht="15" customHeight="1" x14ac:dyDescent="0.35">
      <c r="A2473">
        <v>2019</v>
      </c>
      <c r="B2473" t="s">
        <v>153</v>
      </c>
      <c r="C2473">
        <v>6</v>
      </c>
      <c r="D2473" t="s">
        <v>103</v>
      </c>
      <c r="E2473">
        <v>101</v>
      </c>
      <c r="F2473">
        <v>156</v>
      </c>
      <c r="G2473">
        <v>51</v>
      </c>
      <c r="H2473" t="s">
        <v>71</v>
      </c>
      <c r="I2473" t="s">
        <v>182</v>
      </c>
    </row>
    <row r="2474" spans="1:9" ht="15" customHeight="1" x14ac:dyDescent="0.35">
      <c r="A2474">
        <v>2019</v>
      </c>
      <c r="B2474" t="s">
        <v>154</v>
      </c>
      <c r="C2474">
        <v>7</v>
      </c>
      <c r="D2474" t="s">
        <v>103</v>
      </c>
      <c r="E2474">
        <v>99</v>
      </c>
      <c r="F2474">
        <v>165</v>
      </c>
      <c r="G2474">
        <v>32</v>
      </c>
      <c r="H2474" t="s">
        <v>71</v>
      </c>
      <c r="I2474" t="s">
        <v>182</v>
      </c>
    </row>
    <row r="2475" spans="1:9" ht="15" customHeight="1" x14ac:dyDescent="0.35">
      <c r="A2475">
        <v>2019</v>
      </c>
      <c r="B2475" t="s">
        <v>155</v>
      </c>
      <c r="C2475">
        <v>8</v>
      </c>
      <c r="D2475" t="s">
        <v>103</v>
      </c>
      <c r="E2475">
        <v>108</v>
      </c>
      <c r="F2475">
        <v>169</v>
      </c>
      <c r="G2475">
        <v>32</v>
      </c>
      <c r="H2475" t="s">
        <v>71</v>
      </c>
      <c r="I2475" t="s">
        <v>182</v>
      </c>
    </row>
    <row r="2476" spans="1:9" ht="15" customHeight="1" x14ac:dyDescent="0.35">
      <c r="A2476">
        <v>2019</v>
      </c>
      <c r="B2476" t="s">
        <v>156</v>
      </c>
      <c r="C2476">
        <v>9</v>
      </c>
      <c r="D2476" t="s">
        <v>103</v>
      </c>
      <c r="E2476">
        <v>112</v>
      </c>
      <c r="F2476">
        <v>169</v>
      </c>
      <c r="G2476">
        <v>64</v>
      </c>
      <c r="H2476" t="s">
        <v>71</v>
      </c>
      <c r="I2476" t="s">
        <v>182</v>
      </c>
    </row>
    <row r="2477" spans="1:9" ht="15" customHeight="1" x14ac:dyDescent="0.35">
      <c r="A2477">
        <v>2019</v>
      </c>
      <c r="B2477" t="s">
        <v>157</v>
      </c>
      <c r="C2477">
        <v>10</v>
      </c>
      <c r="D2477" t="s">
        <v>103</v>
      </c>
      <c r="E2477">
        <v>94</v>
      </c>
      <c r="F2477">
        <v>162</v>
      </c>
      <c r="G2477">
        <v>40</v>
      </c>
      <c r="H2477" t="s">
        <v>71</v>
      </c>
      <c r="I2477" t="s">
        <v>182</v>
      </c>
    </row>
    <row r="2478" spans="1:9" ht="15" customHeight="1" x14ac:dyDescent="0.35">
      <c r="A2478">
        <v>2019</v>
      </c>
      <c r="B2478" t="s">
        <v>158</v>
      </c>
      <c r="C2478">
        <v>11</v>
      </c>
      <c r="D2478" t="s">
        <v>103</v>
      </c>
      <c r="E2478">
        <v>90</v>
      </c>
      <c r="F2478">
        <v>154</v>
      </c>
      <c r="G2478">
        <v>17</v>
      </c>
      <c r="H2478" t="s">
        <v>71</v>
      </c>
      <c r="I2478" t="s">
        <v>182</v>
      </c>
    </row>
    <row r="2479" spans="1:9" ht="15" customHeight="1" x14ac:dyDescent="0.35">
      <c r="A2479">
        <v>2019</v>
      </c>
      <c r="B2479" t="s">
        <v>159</v>
      </c>
      <c r="C2479">
        <v>12</v>
      </c>
      <c r="D2479" t="s">
        <v>103</v>
      </c>
      <c r="E2479">
        <v>97</v>
      </c>
      <c r="F2479">
        <v>141</v>
      </c>
      <c r="G2479">
        <v>52</v>
      </c>
      <c r="H2479" t="s">
        <v>71</v>
      </c>
      <c r="I2479" t="s">
        <v>182</v>
      </c>
    </row>
    <row r="2480" spans="1:9" ht="15" customHeight="1" x14ac:dyDescent="0.35">
      <c r="A2480">
        <v>2020</v>
      </c>
      <c r="B2480" t="s">
        <v>147</v>
      </c>
      <c r="C2480">
        <v>1</v>
      </c>
      <c r="D2480" t="s">
        <v>103</v>
      </c>
      <c r="E2480">
        <v>94</v>
      </c>
      <c r="F2480">
        <v>144</v>
      </c>
      <c r="G2480">
        <v>44</v>
      </c>
      <c r="H2480" t="s">
        <v>71</v>
      </c>
      <c r="I2480" t="s">
        <v>182</v>
      </c>
    </row>
    <row r="2481" spans="1:9" ht="15" customHeight="1" x14ac:dyDescent="0.35">
      <c r="A2481">
        <v>2020</v>
      </c>
      <c r="B2481" t="s">
        <v>149</v>
      </c>
      <c r="C2481">
        <v>2</v>
      </c>
      <c r="D2481" t="s">
        <v>103</v>
      </c>
      <c r="E2481">
        <v>94</v>
      </c>
      <c r="F2481">
        <v>149</v>
      </c>
      <c r="G2481">
        <v>42</v>
      </c>
      <c r="H2481" t="s">
        <v>71</v>
      </c>
      <c r="I2481" t="s">
        <v>182</v>
      </c>
    </row>
    <row r="2482" spans="1:9" ht="15" customHeight="1" x14ac:dyDescent="0.35">
      <c r="A2482">
        <v>2020</v>
      </c>
      <c r="B2482" t="s">
        <v>150</v>
      </c>
      <c r="C2482">
        <v>3</v>
      </c>
      <c r="D2482" t="s">
        <v>103</v>
      </c>
      <c r="E2482">
        <v>82</v>
      </c>
      <c r="F2482">
        <v>148</v>
      </c>
      <c r="G2482">
        <v>39</v>
      </c>
      <c r="H2482" t="s">
        <v>71</v>
      </c>
      <c r="I2482" t="s">
        <v>182</v>
      </c>
    </row>
    <row r="2483" spans="1:9" ht="15" customHeight="1" x14ac:dyDescent="0.35">
      <c r="A2483">
        <v>2020</v>
      </c>
      <c r="B2483" t="s">
        <v>151</v>
      </c>
      <c r="C2483">
        <v>4</v>
      </c>
      <c r="D2483" t="s">
        <v>103</v>
      </c>
      <c r="E2483">
        <v>80</v>
      </c>
      <c r="F2483">
        <v>146</v>
      </c>
      <c r="G2483">
        <v>19</v>
      </c>
      <c r="H2483" t="s">
        <v>72</v>
      </c>
      <c r="I2483" t="s">
        <v>182</v>
      </c>
    </row>
    <row r="2484" spans="1:9" ht="15" customHeight="1" x14ac:dyDescent="0.35">
      <c r="A2484">
        <v>2020</v>
      </c>
      <c r="B2484" t="s">
        <v>152</v>
      </c>
      <c r="C2484">
        <v>5</v>
      </c>
      <c r="D2484" t="s">
        <v>103</v>
      </c>
      <c r="E2484">
        <v>88</v>
      </c>
      <c r="F2484">
        <v>141</v>
      </c>
      <c r="G2484">
        <v>19</v>
      </c>
      <c r="H2484" t="s">
        <v>72</v>
      </c>
      <c r="I2484" t="s">
        <v>182</v>
      </c>
    </row>
    <row r="2485" spans="1:9" ht="15" customHeight="1" x14ac:dyDescent="0.35">
      <c r="A2485">
        <v>2020</v>
      </c>
      <c r="B2485" t="s">
        <v>153</v>
      </c>
      <c r="C2485">
        <v>6</v>
      </c>
      <c r="D2485" t="s">
        <v>103</v>
      </c>
      <c r="E2485">
        <v>92</v>
      </c>
      <c r="F2485">
        <v>138</v>
      </c>
      <c r="G2485">
        <v>49</v>
      </c>
      <c r="H2485" t="s">
        <v>72</v>
      </c>
      <c r="I2485" t="s">
        <v>182</v>
      </c>
    </row>
    <row r="2486" spans="1:9" ht="15" customHeight="1" x14ac:dyDescent="0.35">
      <c r="A2486">
        <v>2020</v>
      </c>
      <c r="B2486" t="s">
        <v>154</v>
      </c>
      <c r="C2486">
        <v>7</v>
      </c>
      <c r="D2486" t="s">
        <v>103</v>
      </c>
      <c r="E2486">
        <v>96</v>
      </c>
      <c r="F2486">
        <v>151</v>
      </c>
      <c r="G2486">
        <v>21</v>
      </c>
      <c r="H2486" t="s">
        <v>72</v>
      </c>
      <c r="I2486" t="s">
        <v>182</v>
      </c>
    </row>
    <row r="2487" spans="1:9" ht="15" customHeight="1" x14ac:dyDescent="0.35">
      <c r="A2487">
        <v>2020</v>
      </c>
      <c r="B2487" t="s">
        <v>155</v>
      </c>
      <c r="C2487">
        <v>8</v>
      </c>
      <c r="D2487" t="s">
        <v>103</v>
      </c>
      <c r="E2487">
        <v>100</v>
      </c>
      <c r="F2487">
        <v>138</v>
      </c>
      <c r="G2487">
        <v>63</v>
      </c>
      <c r="H2487" t="s">
        <v>72</v>
      </c>
      <c r="I2487" t="s">
        <v>182</v>
      </c>
    </row>
    <row r="2488" spans="1:9" ht="15" customHeight="1" x14ac:dyDescent="0.35">
      <c r="A2488">
        <v>2020</v>
      </c>
      <c r="B2488" t="s">
        <v>156</v>
      </c>
      <c r="C2488">
        <v>9</v>
      </c>
      <c r="D2488" t="s">
        <v>103</v>
      </c>
      <c r="E2488">
        <v>105</v>
      </c>
      <c r="F2488">
        <v>151</v>
      </c>
      <c r="G2488">
        <v>41</v>
      </c>
      <c r="H2488" t="s">
        <v>72</v>
      </c>
      <c r="I2488" t="s">
        <v>182</v>
      </c>
    </row>
    <row r="2489" spans="1:9" ht="15" customHeight="1" x14ac:dyDescent="0.35">
      <c r="A2489">
        <v>2020</v>
      </c>
      <c r="B2489" t="s">
        <v>157</v>
      </c>
      <c r="C2489">
        <v>10</v>
      </c>
      <c r="D2489" t="s">
        <v>103</v>
      </c>
      <c r="E2489">
        <v>103</v>
      </c>
      <c r="F2489">
        <v>145</v>
      </c>
      <c r="G2489">
        <v>53</v>
      </c>
      <c r="H2489" t="s">
        <v>72</v>
      </c>
      <c r="I2489" t="s">
        <v>182</v>
      </c>
    </row>
    <row r="2490" spans="1:9" ht="15" customHeight="1" x14ac:dyDescent="0.35">
      <c r="A2490">
        <v>2020</v>
      </c>
      <c r="B2490" t="s">
        <v>158</v>
      </c>
      <c r="C2490">
        <v>11</v>
      </c>
      <c r="D2490" t="s">
        <v>103</v>
      </c>
      <c r="E2490">
        <v>90</v>
      </c>
      <c r="F2490">
        <v>137</v>
      </c>
      <c r="G2490">
        <v>50</v>
      </c>
      <c r="H2490" t="s">
        <v>72</v>
      </c>
      <c r="I2490" t="s">
        <v>182</v>
      </c>
    </row>
    <row r="2491" spans="1:9" ht="15" customHeight="1" x14ac:dyDescent="0.35">
      <c r="A2491">
        <v>2020</v>
      </c>
      <c r="B2491" t="s">
        <v>159</v>
      </c>
      <c r="C2491">
        <v>12</v>
      </c>
      <c r="D2491" t="s">
        <v>103</v>
      </c>
      <c r="E2491">
        <v>95</v>
      </c>
      <c r="F2491">
        <v>143</v>
      </c>
      <c r="G2491">
        <v>65</v>
      </c>
      <c r="H2491" t="s">
        <v>72</v>
      </c>
      <c r="I2491" t="s">
        <v>182</v>
      </c>
    </row>
    <row r="2492" spans="1:9" ht="15" customHeight="1" x14ac:dyDescent="0.35">
      <c r="A2492">
        <v>2021</v>
      </c>
      <c r="B2492" t="s">
        <v>147</v>
      </c>
      <c r="C2492">
        <v>1</v>
      </c>
      <c r="D2492" t="s">
        <v>103</v>
      </c>
      <c r="E2492">
        <v>93</v>
      </c>
      <c r="F2492">
        <v>125</v>
      </c>
      <c r="G2492">
        <v>67</v>
      </c>
      <c r="H2492" t="s">
        <v>72</v>
      </c>
      <c r="I2492" t="s">
        <v>182</v>
      </c>
    </row>
    <row r="2493" spans="1:9" ht="15" customHeight="1" x14ac:dyDescent="0.35">
      <c r="A2493">
        <v>2021</v>
      </c>
      <c r="B2493" t="s">
        <v>149</v>
      </c>
      <c r="C2493">
        <v>2</v>
      </c>
      <c r="D2493" t="s">
        <v>103</v>
      </c>
      <c r="E2493">
        <v>94</v>
      </c>
      <c r="F2493">
        <v>138</v>
      </c>
      <c r="G2493">
        <v>46</v>
      </c>
      <c r="H2493" t="s">
        <v>72</v>
      </c>
      <c r="I2493" t="s">
        <v>182</v>
      </c>
    </row>
    <row r="2494" spans="1:9" ht="15" customHeight="1" x14ac:dyDescent="0.35">
      <c r="A2494">
        <v>2021</v>
      </c>
      <c r="B2494" t="s">
        <v>150</v>
      </c>
      <c r="C2494">
        <v>3</v>
      </c>
      <c r="D2494" t="s">
        <v>103</v>
      </c>
      <c r="E2494">
        <v>88</v>
      </c>
      <c r="F2494">
        <v>138</v>
      </c>
      <c r="G2494">
        <v>31</v>
      </c>
      <c r="H2494" t="s">
        <v>72</v>
      </c>
      <c r="I2494" t="s">
        <v>182</v>
      </c>
    </row>
    <row r="2495" spans="1:9" ht="15" customHeight="1" x14ac:dyDescent="0.35">
      <c r="A2495">
        <v>2021</v>
      </c>
      <c r="B2495" t="s">
        <v>151</v>
      </c>
      <c r="C2495">
        <v>4</v>
      </c>
      <c r="D2495" t="s">
        <v>103</v>
      </c>
      <c r="E2495">
        <v>84</v>
      </c>
      <c r="F2495">
        <v>143</v>
      </c>
      <c r="G2495">
        <v>27</v>
      </c>
      <c r="H2495" t="s">
        <v>73</v>
      </c>
      <c r="I2495" t="s">
        <v>182</v>
      </c>
    </row>
    <row r="2496" spans="1:9" ht="15" customHeight="1" x14ac:dyDescent="0.35">
      <c r="A2496">
        <v>2021</v>
      </c>
      <c r="B2496" t="s">
        <v>152</v>
      </c>
      <c r="C2496">
        <v>5</v>
      </c>
      <c r="D2496" t="s">
        <v>103</v>
      </c>
      <c r="E2496">
        <v>91</v>
      </c>
      <c r="F2496">
        <v>136</v>
      </c>
      <c r="G2496">
        <v>48</v>
      </c>
      <c r="H2496" t="s">
        <v>73</v>
      </c>
      <c r="I2496" t="s">
        <v>182</v>
      </c>
    </row>
    <row r="2497" spans="1:9" ht="15" customHeight="1" x14ac:dyDescent="0.35">
      <c r="A2497">
        <v>2021</v>
      </c>
      <c r="B2497" t="s">
        <v>153</v>
      </c>
      <c r="C2497">
        <v>6</v>
      </c>
      <c r="D2497" t="s">
        <v>103</v>
      </c>
      <c r="E2497">
        <v>101</v>
      </c>
      <c r="F2497">
        <v>139</v>
      </c>
      <c r="G2497">
        <v>54</v>
      </c>
      <c r="H2497" t="s">
        <v>73</v>
      </c>
      <c r="I2497" t="s">
        <v>182</v>
      </c>
    </row>
    <row r="2498" spans="1:9" ht="15" customHeight="1" x14ac:dyDescent="0.35">
      <c r="A2498">
        <v>2021</v>
      </c>
      <c r="B2498" t="s">
        <v>154</v>
      </c>
      <c r="C2498">
        <v>7</v>
      </c>
      <c r="D2498" t="s">
        <v>103</v>
      </c>
      <c r="E2498">
        <v>103</v>
      </c>
      <c r="F2498">
        <v>139</v>
      </c>
      <c r="G2498">
        <v>65</v>
      </c>
      <c r="H2498" t="s">
        <v>73</v>
      </c>
      <c r="I2498" t="s">
        <v>182</v>
      </c>
    </row>
    <row r="2499" spans="1:9" ht="15" customHeight="1" x14ac:dyDescent="0.35">
      <c r="A2499">
        <v>2021</v>
      </c>
      <c r="B2499" t="s">
        <v>155</v>
      </c>
      <c r="C2499">
        <v>8</v>
      </c>
      <c r="D2499" t="s">
        <v>103</v>
      </c>
      <c r="E2499">
        <v>101</v>
      </c>
      <c r="F2499">
        <v>152</v>
      </c>
      <c r="G2499">
        <v>45</v>
      </c>
      <c r="H2499" t="s">
        <v>73</v>
      </c>
      <c r="I2499" t="s">
        <v>182</v>
      </c>
    </row>
    <row r="2500" spans="1:9" ht="15" customHeight="1" x14ac:dyDescent="0.35">
      <c r="A2500">
        <v>2021</v>
      </c>
      <c r="B2500" t="s">
        <v>156</v>
      </c>
      <c r="C2500">
        <v>9</v>
      </c>
      <c r="D2500" t="s">
        <v>103</v>
      </c>
      <c r="E2500">
        <v>97</v>
      </c>
      <c r="F2500">
        <v>138</v>
      </c>
      <c r="G2500">
        <v>38</v>
      </c>
      <c r="H2500" t="s">
        <v>73</v>
      </c>
      <c r="I2500" t="s">
        <v>182</v>
      </c>
    </row>
    <row r="2501" spans="1:9" ht="15" customHeight="1" x14ac:dyDescent="0.35">
      <c r="A2501">
        <v>2021</v>
      </c>
      <c r="B2501" t="s">
        <v>157</v>
      </c>
      <c r="C2501">
        <v>10</v>
      </c>
      <c r="D2501" t="s">
        <v>103</v>
      </c>
      <c r="E2501">
        <v>94</v>
      </c>
      <c r="F2501">
        <v>135</v>
      </c>
      <c r="G2501">
        <v>50</v>
      </c>
      <c r="H2501" t="s">
        <v>73</v>
      </c>
      <c r="I2501" t="s">
        <v>182</v>
      </c>
    </row>
    <row r="2502" spans="1:9" ht="15" customHeight="1" x14ac:dyDescent="0.35">
      <c r="A2502">
        <v>2021</v>
      </c>
      <c r="B2502" t="s">
        <v>158</v>
      </c>
      <c r="C2502">
        <v>11</v>
      </c>
      <c r="D2502" t="s">
        <v>103</v>
      </c>
      <c r="E2502">
        <v>93</v>
      </c>
      <c r="F2502">
        <v>143</v>
      </c>
      <c r="G2502">
        <v>49</v>
      </c>
      <c r="H2502" t="s">
        <v>73</v>
      </c>
      <c r="I2502" t="s">
        <v>182</v>
      </c>
    </row>
    <row r="2503" spans="1:9" ht="15" customHeight="1" x14ac:dyDescent="0.35">
      <c r="A2503">
        <v>2021</v>
      </c>
      <c r="B2503" t="s">
        <v>159</v>
      </c>
      <c r="C2503">
        <v>12</v>
      </c>
      <c r="D2503" t="s">
        <v>103</v>
      </c>
      <c r="E2503">
        <v>100</v>
      </c>
      <c r="F2503">
        <v>144</v>
      </c>
      <c r="G2503">
        <v>51</v>
      </c>
      <c r="H2503" t="s">
        <v>73</v>
      </c>
      <c r="I2503" t="s">
        <v>182</v>
      </c>
    </row>
    <row r="2504" spans="1:9" ht="15" customHeight="1" x14ac:dyDescent="0.35">
      <c r="A2504">
        <v>2022</v>
      </c>
      <c r="B2504" t="s">
        <v>147</v>
      </c>
      <c r="C2504">
        <v>1</v>
      </c>
      <c r="D2504" t="s">
        <v>103</v>
      </c>
      <c r="E2504">
        <v>95</v>
      </c>
      <c r="F2504">
        <v>151</v>
      </c>
      <c r="G2504">
        <v>43</v>
      </c>
      <c r="H2504" t="s">
        <v>73</v>
      </c>
      <c r="I2504" t="s">
        <v>182</v>
      </c>
    </row>
    <row r="2505" spans="1:9" ht="15" customHeight="1" x14ac:dyDescent="0.35">
      <c r="A2505">
        <v>2022</v>
      </c>
      <c r="B2505" t="s">
        <v>149</v>
      </c>
      <c r="C2505">
        <v>2</v>
      </c>
      <c r="D2505" t="s">
        <v>103</v>
      </c>
      <c r="E2505">
        <v>101</v>
      </c>
      <c r="F2505">
        <v>152</v>
      </c>
      <c r="G2505">
        <v>47</v>
      </c>
      <c r="H2505" t="s">
        <v>73</v>
      </c>
      <c r="I2505" t="s">
        <v>182</v>
      </c>
    </row>
    <row r="2506" spans="1:9" ht="15" customHeight="1" x14ac:dyDescent="0.35">
      <c r="A2506">
        <v>2022</v>
      </c>
      <c r="B2506" t="s">
        <v>150</v>
      </c>
      <c r="C2506">
        <v>3</v>
      </c>
      <c r="D2506" t="s">
        <v>103</v>
      </c>
      <c r="E2506">
        <v>100</v>
      </c>
      <c r="F2506">
        <v>145</v>
      </c>
      <c r="G2506">
        <v>53</v>
      </c>
      <c r="H2506" t="s">
        <v>73</v>
      </c>
      <c r="I2506" t="s">
        <v>182</v>
      </c>
    </row>
    <row r="2507" spans="1:9" ht="15" customHeight="1" x14ac:dyDescent="0.35">
      <c r="A2507">
        <v>2022</v>
      </c>
      <c r="B2507" t="s">
        <v>151</v>
      </c>
      <c r="C2507">
        <v>4</v>
      </c>
      <c r="D2507" t="s">
        <v>103</v>
      </c>
      <c r="E2507">
        <v>92</v>
      </c>
      <c r="F2507">
        <v>141</v>
      </c>
      <c r="G2507">
        <v>30</v>
      </c>
      <c r="H2507" t="s">
        <v>74</v>
      </c>
      <c r="I2507" t="s">
        <v>182</v>
      </c>
    </row>
    <row r="2508" spans="1:9" ht="15" customHeight="1" x14ac:dyDescent="0.35">
      <c r="A2508">
        <v>2022</v>
      </c>
      <c r="B2508" t="s">
        <v>152</v>
      </c>
      <c r="C2508">
        <v>5</v>
      </c>
      <c r="D2508" t="s">
        <v>103</v>
      </c>
      <c r="E2508">
        <v>96</v>
      </c>
      <c r="F2508">
        <v>142</v>
      </c>
      <c r="G2508">
        <v>45</v>
      </c>
      <c r="H2508" t="s">
        <v>74</v>
      </c>
      <c r="I2508" t="s">
        <v>182</v>
      </c>
    </row>
    <row r="2509" spans="1:9" ht="15" customHeight="1" x14ac:dyDescent="0.35">
      <c r="A2509">
        <v>2022</v>
      </c>
      <c r="B2509" t="s">
        <v>153</v>
      </c>
      <c r="C2509">
        <v>6</v>
      </c>
      <c r="D2509" t="s">
        <v>103</v>
      </c>
      <c r="E2509">
        <v>104</v>
      </c>
      <c r="F2509">
        <v>144</v>
      </c>
      <c r="G2509">
        <v>51</v>
      </c>
      <c r="H2509" t="s">
        <v>74</v>
      </c>
      <c r="I2509" t="s">
        <v>182</v>
      </c>
    </row>
    <row r="2510" spans="1:9" ht="15" customHeight="1" x14ac:dyDescent="0.35">
      <c r="A2510">
        <v>2022</v>
      </c>
      <c r="B2510" t="s">
        <v>154</v>
      </c>
      <c r="C2510">
        <v>7</v>
      </c>
      <c r="D2510" t="s">
        <v>103</v>
      </c>
      <c r="E2510">
        <v>112</v>
      </c>
      <c r="F2510">
        <v>152</v>
      </c>
      <c r="G2510">
        <v>67</v>
      </c>
      <c r="H2510" t="s">
        <v>74</v>
      </c>
      <c r="I2510" t="s">
        <v>182</v>
      </c>
    </row>
    <row r="2511" spans="1:9" ht="15" customHeight="1" x14ac:dyDescent="0.35">
      <c r="A2511">
        <v>2022</v>
      </c>
      <c r="B2511" t="s">
        <v>155</v>
      </c>
      <c r="C2511">
        <v>8</v>
      </c>
      <c r="D2511" t="s">
        <v>103</v>
      </c>
      <c r="E2511">
        <v>114</v>
      </c>
      <c r="F2511">
        <v>161</v>
      </c>
      <c r="G2511">
        <v>67</v>
      </c>
      <c r="H2511" t="s">
        <v>74</v>
      </c>
      <c r="I2511" t="s">
        <v>182</v>
      </c>
    </row>
    <row r="2512" spans="1:9" ht="15" customHeight="1" x14ac:dyDescent="0.35">
      <c r="A2512">
        <v>2022</v>
      </c>
      <c r="B2512" t="s">
        <v>156</v>
      </c>
      <c r="C2512">
        <v>9</v>
      </c>
      <c r="D2512" t="s">
        <v>103</v>
      </c>
      <c r="E2512">
        <v>111</v>
      </c>
      <c r="F2512">
        <v>160</v>
      </c>
      <c r="G2512">
        <v>63</v>
      </c>
      <c r="H2512" t="s">
        <v>74</v>
      </c>
      <c r="I2512" t="s">
        <v>182</v>
      </c>
    </row>
    <row r="2513" spans="1:9" ht="15" customHeight="1" x14ac:dyDescent="0.35">
      <c r="A2513">
        <v>2022</v>
      </c>
      <c r="B2513" t="s">
        <v>157</v>
      </c>
      <c r="C2513">
        <v>10</v>
      </c>
      <c r="D2513" t="s">
        <v>103</v>
      </c>
      <c r="E2513">
        <v>95</v>
      </c>
      <c r="F2513">
        <v>150</v>
      </c>
      <c r="G2513">
        <v>23</v>
      </c>
      <c r="H2513" t="s">
        <v>74</v>
      </c>
      <c r="I2513" t="s">
        <v>182</v>
      </c>
    </row>
    <row r="2514" spans="1:9" ht="15" customHeight="1" x14ac:dyDescent="0.35">
      <c r="A2514">
        <v>2022</v>
      </c>
      <c r="B2514" t="s">
        <v>158</v>
      </c>
      <c r="C2514">
        <v>11</v>
      </c>
      <c r="D2514" t="s">
        <v>103</v>
      </c>
      <c r="E2514">
        <v>91</v>
      </c>
      <c r="F2514">
        <v>145</v>
      </c>
      <c r="G2514">
        <v>57</v>
      </c>
      <c r="H2514" t="s">
        <v>74</v>
      </c>
      <c r="I2514" t="s">
        <v>182</v>
      </c>
    </row>
    <row r="2515" spans="1:9" ht="15" customHeight="1" x14ac:dyDescent="0.35">
      <c r="A2515">
        <v>2022</v>
      </c>
      <c r="B2515" t="s">
        <v>159</v>
      </c>
      <c r="C2515">
        <v>12</v>
      </c>
      <c r="D2515" t="s">
        <v>103</v>
      </c>
      <c r="E2515">
        <v>96</v>
      </c>
      <c r="F2515">
        <v>146</v>
      </c>
      <c r="G2515">
        <v>44</v>
      </c>
      <c r="H2515" t="s">
        <v>74</v>
      </c>
      <c r="I2515" t="s">
        <v>182</v>
      </c>
    </row>
    <row r="2516" spans="1:9" ht="15" customHeight="1" x14ac:dyDescent="0.35">
      <c r="A2516">
        <v>2023</v>
      </c>
      <c r="B2516" t="s">
        <v>147</v>
      </c>
      <c r="C2516">
        <v>1</v>
      </c>
      <c r="D2516" t="s">
        <v>103</v>
      </c>
      <c r="E2516">
        <v>87</v>
      </c>
      <c r="F2516">
        <v>133</v>
      </c>
      <c r="G2516">
        <v>53</v>
      </c>
      <c r="H2516" t="s">
        <v>74</v>
      </c>
      <c r="I2516" t="s">
        <v>182</v>
      </c>
    </row>
    <row r="2517" spans="1:9" ht="15" customHeight="1" x14ac:dyDescent="0.35">
      <c r="A2517">
        <v>2023</v>
      </c>
      <c r="B2517" t="s">
        <v>149</v>
      </c>
      <c r="C2517">
        <v>2</v>
      </c>
      <c r="D2517" t="s">
        <v>103</v>
      </c>
      <c r="E2517">
        <v>85</v>
      </c>
      <c r="F2517">
        <v>141</v>
      </c>
      <c r="G2517">
        <v>41</v>
      </c>
      <c r="H2517" t="s">
        <v>74</v>
      </c>
      <c r="I2517" t="s">
        <v>182</v>
      </c>
    </row>
    <row r="2518" spans="1:9" ht="15" customHeight="1" x14ac:dyDescent="0.35">
      <c r="A2518">
        <v>2023</v>
      </c>
      <c r="B2518" t="s">
        <v>150</v>
      </c>
      <c r="C2518">
        <v>3</v>
      </c>
      <c r="D2518" t="s">
        <v>103</v>
      </c>
      <c r="E2518">
        <v>95</v>
      </c>
      <c r="F2518">
        <v>150</v>
      </c>
      <c r="G2518">
        <v>45</v>
      </c>
      <c r="H2518" t="s">
        <v>74</v>
      </c>
      <c r="I2518" t="s">
        <v>182</v>
      </c>
    </row>
    <row r="2519" spans="1:9" ht="15" customHeight="1" x14ac:dyDescent="0.35">
      <c r="A2519">
        <v>2023</v>
      </c>
      <c r="B2519" t="s">
        <v>151</v>
      </c>
      <c r="C2519">
        <v>4</v>
      </c>
      <c r="D2519" t="s">
        <v>103</v>
      </c>
      <c r="E2519">
        <v>88</v>
      </c>
      <c r="F2519">
        <v>144</v>
      </c>
      <c r="G2519">
        <v>27</v>
      </c>
      <c r="H2519" t="s">
        <v>75</v>
      </c>
      <c r="I2519" t="s">
        <v>182</v>
      </c>
    </row>
    <row r="2520" spans="1:9" ht="15" customHeight="1" x14ac:dyDescent="0.35">
      <c r="A2520">
        <v>2023</v>
      </c>
      <c r="B2520" t="s">
        <v>152</v>
      </c>
      <c r="C2520">
        <v>5</v>
      </c>
      <c r="D2520" t="s">
        <v>103</v>
      </c>
      <c r="E2520">
        <v>98</v>
      </c>
      <c r="F2520">
        <v>142</v>
      </c>
      <c r="G2520">
        <v>64</v>
      </c>
      <c r="H2520" t="s">
        <v>75</v>
      </c>
      <c r="I2520" t="s">
        <v>182</v>
      </c>
    </row>
    <row r="2521" spans="1:9" ht="15" customHeight="1" x14ac:dyDescent="0.35">
      <c r="A2521">
        <v>2023</v>
      </c>
      <c r="B2521" t="s">
        <v>153</v>
      </c>
      <c r="C2521">
        <v>6</v>
      </c>
      <c r="D2521" t="s">
        <v>103</v>
      </c>
      <c r="E2521">
        <v>103</v>
      </c>
      <c r="F2521">
        <v>153</v>
      </c>
      <c r="G2521">
        <v>74</v>
      </c>
      <c r="H2521" t="s">
        <v>75</v>
      </c>
      <c r="I2521" t="s">
        <v>182</v>
      </c>
    </row>
    <row r="2522" spans="1:9" ht="15" customHeight="1" x14ac:dyDescent="0.35">
      <c r="A2522">
        <v>2023</v>
      </c>
      <c r="B2522" t="s">
        <v>154</v>
      </c>
      <c r="C2522">
        <v>7</v>
      </c>
      <c r="D2522" t="s">
        <v>103</v>
      </c>
      <c r="E2522">
        <v>119</v>
      </c>
      <c r="F2522">
        <v>157</v>
      </c>
      <c r="G2522">
        <v>44</v>
      </c>
      <c r="H2522" t="s">
        <v>75</v>
      </c>
      <c r="I2522" t="s">
        <v>182</v>
      </c>
    </row>
    <row r="2523" spans="1:9" ht="15" customHeight="1" x14ac:dyDescent="0.35">
      <c r="A2523">
        <v>2023</v>
      </c>
      <c r="B2523" t="s">
        <v>155</v>
      </c>
      <c r="C2523">
        <v>8</v>
      </c>
      <c r="D2523" t="s">
        <v>103</v>
      </c>
      <c r="E2523">
        <v>121</v>
      </c>
      <c r="F2523">
        <v>166</v>
      </c>
      <c r="G2523">
        <v>61</v>
      </c>
      <c r="H2523" t="s">
        <v>75</v>
      </c>
      <c r="I2523" t="s">
        <v>182</v>
      </c>
    </row>
    <row r="2524" spans="1:9" ht="15" customHeight="1" x14ac:dyDescent="0.35">
      <c r="A2524">
        <v>2023</v>
      </c>
      <c r="B2524" t="s">
        <v>156</v>
      </c>
      <c r="C2524">
        <v>9</v>
      </c>
      <c r="D2524" t="s">
        <v>103</v>
      </c>
      <c r="E2524">
        <v>124</v>
      </c>
      <c r="F2524">
        <v>176</v>
      </c>
      <c r="G2524">
        <v>39</v>
      </c>
      <c r="H2524" t="s">
        <v>75</v>
      </c>
      <c r="I2524" t="s">
        <v>182</v>
      </c>
    </row>
    <row r="2525" spans="1:9" ht="15" customHeight="1" x14ac:dyDescent="0.35">
      <c r="A2525">
        <v>2023</v>
      </c>
      <c r="B2525" t="s">
        <v>157</v>
      </c>
      <c r="C2525">
        <v>10</v>
      </c>
      <c r="D2525" t="s">
        <v>103</v>
      </c>
      <c r="E2525">
        <v>109</v>
      </c>
      <c r="F2525">
        <v>151</v>
      </c>
      <c r="G2525">
        <v>65</v>
      </c>
      <c r="H2525" t="s">
        <v>75</v>
      </c>
      <c r="I2525" t="s">
        <v>182</v>
      </c>
    </row>
    <row r="2526" spans="1:9" ht="15" customHeight="1" x14ac:dyDescent="0.35">
      <c r="A2526">
        <v>2023</v>
      </c>
      <c r="B2526" t="s">
        <v>158</v>
      </c>
      <c r="C2526">
        <v>11</v>
      </c>
      <c r="D2526" t="s">
        <v>103</v>
      </c>
      <c r="E2526">
        <v>94</v>
      </c>
      <c r="F2526">
        <v>139</v>
      </c>
      <c r="G2526">
        <v>32</v>
      </c>
      <c r="H2526" t="s">
        <v>75</v>
      </c>
      <c r="I2526" t="s">
        <v>182</v>
      </c>
    </row>
    <row r="2527" spans="1:9" ht="15" customHeight="1" x14ac:dyDescent="0.35">
      <c r="A2527">
        <v>2023</v>
      </c>
      <c r="B2527" t="s">
        <v>159</v>
      </c>
      <c r="C2527">
        <v>12</v>
      </c>
      <c r="D2527" t="s">
        <v>103</v>
      </c>
      <c r="E2527">
        <v>97</v>
      </c>
      <c r="F2527">
        <v>149</v>
      </c>
      <c r="G2527">
        <v>49</v>
      </c>
      <c r="H2527" t="s">
        <v>75</v>
      </c>
      <c r="I2527" t="s">
        <v>182</v>
      </c>
    </row>
    <row r="2528" spans="1:9" ht="15" customHeight="1" x14ac:dyDescent="0.35">
      <c r="A2528">
        <v>2024</v>
      </c>
      <c r="B2528" t="s">
        <v>147</v>
      </c>
      <c r="C2528">
        <v>1</v>
      </c>
      <c r="D2528" t="s">
        <v>103</v>
      </c>
      <c r="E2528">
        <v>89</v>
      </c>
      <c r="F2528">
        <v>146</v>
      </c>
      <c r="G2528">
        <v>59</v>
      </c>
      <c r="H2528" t="s">
        <v>75</v>
      </c>
      <c r="I2528" t="s">
        <v>182</v>
      </c>
    </row>
    <row r="2529" spans="1:9" ht="15" customHeight="1" x14ac:dyDescent="0.35">
      <c r="A2529">
        <v>2024</v>
      </c>
      <c r="B2529" t="s">
        <v>149</v>
      </c>
      <c r="C2529">
        <v>2</v>
      </c>
      <c r="D2529" t="s">
        <v>103</v>
      </c>
      <c r="E2529">
        <v>100</v>
      </c>
      <c r="F2529">
        <v>149</v>
      </c>
      <c r="G2529">
        <v>48</v>
      </c>
      <c r="H2529" t="s">
        <v>75</v>
      </c>
      <c r="I2529" t="s">
        <v>182</v>
      </c>
    </row>
    <row r="2530" spans="1:9" ht="15" customHeight="1" x14ac:dyDescent="0.35">
      <c r="A2530">
        <v>2024</v>
      </c>
      <c r="B2530" t="s">
        <v>150</v>
      </c>
      <c r="C2530">
        <v>3</v>
      </c>
      <c r="D2530" t="s">
        <v>103</v>
      </c>
      <c r="E2530">
        <v>96</v>
      </c>
      <c r="F2530">
        <v>150</v>
      </c>
      <c r="G2530">
        <v>46</v>
      </c>
      <c r="H2530" t="s">
        <v>75</v>
      </c>
      <c r="I2530" t="s">
        <v>182</v>
      </c>
    </row>
    <row r="2531" spans="1:9" ht="15" customHeight="1" x14ac:dyDescent="0.35">
      <c r="A2531">
        <v>2024</v>
      </c>
      <c r="B2531" t="s">
        <v>151</v>
      </c>
      <c r="C2531">
        <v>4</v>
      </c>
      <c r="D2531" t="s">
        <v>103</v>
      </c>
      <c r="E2531">
        <v>96</v>
      </c>
      <c r="F2531">
        <v>150</v>
      </c>
      <c r="G2531">
        <v>46</v>
      </c>
      <c r="H2531" t="s">
        <v>77</v>
      </c>
      <c r="I2531" t="s">
        <v>182</v>
      </c>
    </row>
    <row r="2532" spans="1:9" ht="15" customHeight="1" x14ac:dyDescent="0.35">
      <c r="A2532">
        <v>2024</v>
      </c>
      <c r="B2532" t="s">
        <v>152</v>
      </c>
      <c r="C2532">
        <v>5</v>
      </c>
      <c r="D2532" t="s">
        <v>103</v>
      </c>
      <c r="E2532">
        <v>109</v>
      </c>
      <c r="F2532">
        <v>175</v>
      </c>
      <c r="G2532">
        <v>47</v>
      </c>
      <c r="H2532" t="s">
        <v>77</v>
      </c>
      <c r="I2532" t="s">
        <v>182</v>
      </c>
    </row>
    <row r="2533" spans="1:9" ht="15" customHeight="1" x14ac:dyDescent="0.35">
      <c r="A2533">
        <v>2024</v>
      </c>
      <c r="B2533" t="s">
        <v>153</v>
      </c>
      <c r="C2533">
        <v>6</v>
      </c>
      <c r="D2533" t="s">
        <v>103</v>
      </c>
      <c r="E2533">
        <v>116</v>
      </c>
      <c r="F2533">
        <v>178</v>
      </c>
      <c r="G2533">
        <v>61</v>
      </c>
      <c r="H2533" t="s">
        <v>77</v>
      </c>
      <c r="I2533" t="s">
        <v>182</v>
      </c>
    </row>
    <row r="2534" spans="1:9" ht="15" customHeight="1" x14ac:dyDescent="0.35">
      <c r="A2534">
        <v>2024</v>
      </c>
      <c r="B2534" t="s">
        <v>154</v>
      </c>
      <c r="C2534">
        <v>7</v>
      </c>
      <c r="D2534" t="s">
        <v>103</v>
      </c>
      <c r="E2534">
        <v>127</v>
      </c>
      <c r="F2534">
        <v>185</v>
      </c>
      <c r="G2534">
        <v>62</v>
      </c>
      <c r="H2534" t="s">
        <v>77</v>
      </c>
      <c r="I2534" t="s">
        <v>182</v>
      </c>
    </row>
    <row r="2535" spans="1:9" ht="15" customHeight="1" x14ac:dyDescent="0.35">
      <c r="A2535">
        <v>2024</v>
      </c>
      <c r="B2535" t="s">
        <v>155</v>
      </c>
      <c r="C2535">
        <v>8</v>
      </c>
      <c r="D2535" t="s">
        <v>103</v>
      </c>
      <c r="E2535">
        <v>127</v>
      </c>
      <c r="F2535">
        <v>176</v>
      </c>
      <c r="G2535">
        <v>69</v>
      </c>
      <c r="H2535" t="s">
        <v>77</v>
      </c>
      <c r="I2535" t="s">
        <v>182</v>
      </c>
    </row>
    <row r="2536" spans="1:9" ht="15" customHeight="1" x14ac:dyDescent="0.35">
      <c r="A2536">
        <v>2024</v>
      </c>
      <c r="B2536" t="s">
        <v>156</v>
      </c>
      <c r="C2536">
        <v>9</v>
      </c>
      <c r="D2536" t="s">
        <v>103</v>
      </c>
      <c r="E2536">
        <v>125</v>
      </c>
      <c r="F2536">
        <v>193</v>
      </c>
      <c r="G2536">
        <v>51</v>
      </c>
      <c r="H2536" t="s">
        <v>77</v>
      </c>
      <c r="I2536" t="s">
        <v>182</v>
      </c>
    </row>
    <row r="2537" spans="1:9" ht="15" customHeight="1" x14ac:dyDescent="0.35">
      <c r="A2537">
        <v>2024</v>
      </c>
      <c r="B2537" t="s">
        <v>157</v>
      </c>
      <c r="C2537">
        <v>10</v>
      </c>
      <c r="D2537" t="s">
        <v>103</v>
      </c>
      <c r="E2537">
        <v>107</v>
      </c>
      <c r="F2537">
        <v>168</v>
      </c>
      <c r="G2537">
        <v>49</v>
      </c>
      <c r="H2537" t="s">
        <v>77</v>
      </c>
      <c r="I2537" t="s">
        <v>182</v>
      </c>
    </row>
    <row r="2538" spans="1:9" ht="15" customHeight="1" x14ac:dyDescent="0.35">
      <c r="A2538">
        <v>2024</v>
      </c>
      <c r="B2538" t="s">
        <v>158</v>
      </c>
      <c r="C2538">
        <v>11</v>
      </c>
      <c r="D2538" t="s">
        <v>103</v>
      </c>
      <c r="E2538">
        <v>99</v>
      </c>
      <c r="F2538">
        <v>159</v>
      </c>
      <c r="G2538">
        <v>50</v>
      </c>
      <c r="H2538" t="s">
        <v>77</v>
      </c>
      <c r="I2538" t="s">
        <v>182</v>
      </c>
    </row>
    <row r="2539" spans="1:9" ht="15" customHeight="1" x14ac:dyDescent="0.35">
      <c r="A2539">
        <v>2024</v>
      </c>
      <c r="B2539" t="s">
        <v>159</v>
      </c>
      <c r="C2539">
        <v>12</v>
      </c>
      <c r="D2539" t="s">
        <v>103</v>
      </c>
      <c r="E2539">
        <v>107</v>
      </c>
      <c r="F2539">
        <v>183</v>
      </c>
      <c r="G2539">
        <v>59</v>
      </c>
      <c r="H2539" t="s">
        <v>77</v>
      </c>
      <c r="I2539" t="s">
        <v>182</v>
      </c>
    </row>
    <row r="2540" spans="1:9" ht="15" customHeight="1" x14ac:dyDescent="0.35">
      <c r="A2540">
        <v>2025</v>
      </c>
      <c r="B2540" t="s">
        <v>147</v>
      </c>
      <c r="C2540">
        <v>1</v>
      </c>
      <c r="D2540" t="s">
        <v>103</v>
      </c>
      <c r="E2540">
        <v>108</v>
      </c>
      <c r="F2540">
        <v>164</v>
      </c>
      <c r="G2540">
        <v>52</v>
      </c>
      <c r="H2540" t="s">
        <v>77</v>
      </c>
      <c r="I2540" t="s">
        <v>182</v>
      </c>
    </row>
    <row r="2541" spans="1:9" ht="15" customHeight="1" x14ac:dyDescent="0.35">
      <c r="A2541">
        <v>2025</v>
      </c>
      <c r="B2541" t="s">
        <v>149</v>
      </c>
      <c r="C2541">
        <v>2</v>
      </c>
      <c r="D2541" t="s">
        <v>103</v>
      </c>
      <c r="E2541">
        <v>103</v>
      </c>
      <c r="F2541">
        <v>174</v>
      </c>
      <c r="G2541">
        <v>47</v>
      </c>
      <c r="H2541" t="s">
        <v>77</v>
      </c>
      <c r="I2541" t="s">
        <v>182</v>
      </c>
    </row>
    <row r="2542" spans="1:9" ht="15" customHeight="1" x14ac:dyDescent="0.35">
      <c r="A2542">
        <v>2025</v>
      </c>
      <c r="B2542" t="s">
        <v>150</v>
      </c>
      <c r="C2542">
        <v>3</v>
      </c>
      <c r="D2542" t="s">
        <v>103</v>
      </c>
      <c r="E2542">
        <v>95</v>
      </c>
      <c r="F2542">
        <v>164</v>
      </c>
      <c r="G2542">
        <v>30</v>
      </c>
      <c r="H2542" t="s">
        <v>77</v>
      </c>
      <c r="I2542" t="s">
        <v>182</v>
      </c>
    </row>
    <row r="2543" spans="1:9" ht="15" customHeight="1" x14ac:dyDescent="0.35">
      <c r="A2543">
        <v>2025</v>
      </c>
      <c r="B2543" t="s">
        <v>151</v>
      </c>
      <c r="C2543">
        <v>4</v>
      </c>
      <c r="D2543" t="s">
        <v>103</v>
      </c>
      <c r="E2543">
        <v>100</v>
      </c>
      <c r="F2543">
        <v>165</v>
      </c>
      <c r="G2543">
        <v>28</v>
      </c>
      <c r="H2543" t="s">
        <v>78</v>
      </c>
      <c r="I2543" t="s">
        <v>182</v>
      </c>
    </row>
    <row r="2544" spans="1:9" ht="15" customHeight="1" x14ac:dyDescent="0.35">
      <c r="A2544">
        <v>2025</v>
      </c>
      <c r="B2544" t="s">
        <v>152</v>
      </c>
      <c r="C2544">
        <v>5</v>
      </c>
      <c r="D2544" t="s">
        <v>103</v>
      </c>
      <c r="E2544">
        <v>105</v>
      </c>
      <c r="F2544">
        <v>171</v>
      </c>
      <c r="G2544">
        <v>45</v>
      </c>
      <c r="H2544" t="s">
        <v>78</v>
      </c>
      <c r="I2544" t="s">
        <v>182</v>
      </c>
    </row>
    <row r="2545" spans="1:9" ht="15" customHeight="1" x14ac:dyDescent="0.35">
      <c r="A2545">
        <v>2025</v>
      </c>
      <c r="B2545" t="s">
        <v>153</v>
      </c>
      <c r="C2545">
        <v>6</v>
      </c>
      <c r="D2545" t="s">
        <v>103</v>
      </c>
      <c r="E2545">
        <v>122</v>
      </c>
      <c r="F2545">
        <v>183</v>
      </c>
      <c r="G2545">
        <v>69</v>
      </c>
      <c r="H2545" t="s">
        <v>78</v>
      </c>
      <c r="I2545" t="s">
        <v>182</v>
      </c>
    </row>
    <row r="2546" spans="1:9" ht="15" customHeight="1" x14ac:dyDescent="0.35">
      <c r="A2546">
        <v>2025</v>
      </c>
      <c r="B2546" t="s">
        <v>154</v>
      </c>
      <c r="C2546">
        <v>7</v>
      </c>
      <c r="D2546" t="s">
        <v>103</v>
      </c>
      <c r="E2546">
        <v>132</v>
      </c>
      <c r="F2546">
        <v>192</v>
      </c>
      <c r="G2546">
        <v>41</v>
      </c>
      <c r="H2546" t="s">
        <v>78</v>
      </c>
      <c r="I2546" t="s">
        <v>182</v>
      </c>
    </row>
    <row r="2547" spans="1:9" ht="15" customHeight="1" x14ac:dyDescent="0.35">
      <c r="A2547">
        <v>2025</v>
      </c>
      <c r="B2547" t="s">
        <v>155</v>
      </c>
      <c r="C2547">
        <v>8</v>
      </c>
      <c r="D2547" t="s">
        <v>103</v>
      </c>
      <c r="E2547">
        <v>117</v>
      </c>
      <c r="F2547">
        <v>187</v>
      </c>
      <c r="G2547">
        <v>46</v>
      </c>
      <c r="H2547" t="s">
        <v>78</v>
      </c>
      <c r="I2547" t="s">
        <v>182</v>
      </c>
    </row>
    <row r="2548" spans="1:9" ht="15" customHeight="1" x14ac:dyDescent="0.35">
      <c r="A2548">
        <v>2025</v>
      </c>
      <c r="B2548" t="s">
        <v>156</v>
      </c>
      <c r="C2548">
        <v>9</v>
      </c>
      <c r="D2548" t="s">
        <v>103</v>
      </c>
      <c r="E2548">
        <v>116</v>
      </c>
      <c r="F2548">
        <v>185</v>
      </c>
      <c r="G2548">
        <v>31</v>
      </c>
      <c r="H2548" t="s">
        <v>78</v>
      </c>
      <c r="I2548" t="s">
        <v>182</v>
      </c>
    </row>
    <row r="2549" spans="1:9" ht="15" customHeight="1" x14ac:dyDescent="0.35">
      <c r="A2549">
        <v>2025</v>
      </c>
      <c r="B2549" t="s">
        <v>157</v>
      </c>
      <c r="C2549">
        <v>10</v>
      </c>
      <c r="D2549" t="s">
        <v>103</v>
      </c>
      <c r="E2549">
        <v>119</v>
      </c>
      <c r="F2549">
        <v>193</v>
      </c>
      <c r="G2549">
        <v>56</v>
      </c>
      <c r="H2549" t="s">
        <v>78</v>
      </c>
      <c r="I2549" t="s">
        <v>182</v>
      </c>
    </row>
    <row r="2550" spans="1:9" ht="15" customHeight="1" x14ac:dyDescent="0.35">
      <c r="A2550">
        <v>2025</v>
      </c>
      <c r="B2550" t="s">
        <v>158</v>
      </c>
      <c r="C2550">
        <v>11</v>
      </c>
      <c r="D2550" t="s">
        <v>103</v>
      </c>
      <c r="E2550">
        <v>95</v>
      </c>
      <c r="F2550">
        <v>160</v>
      </c>
      <c r="G2550">
        <v>42</v>
      </c>
      <c r="H2550" t="s">
        <v>78</v>
      </c>
      <c r="I2550" t="s">
        <v>182</v>
      </c>
    </row>
    <row r="2551" spans="1:9" ht="15" customHeight="1" x14ac:dyDescent="0.35">
      <c r="A2551">
        <v>2025</v>
      </c>
      <c r="B2551" t="s">
        <v>159</v>
      </c>
      <c r="C2551">
        <v>12</v>
      </c>
      <c r="D2551" t="s">
        <v>103</v>
      </c>
      <c r="E2551">
        <v>109</v>
      </c>
      <c r="F2551">
        <v>171</v>
      </c>
      <c r="G2551">
        <v>55</v>
      </c>
      <c r="H2551" t="s">
        <v>78</v>
      </c>
      <c r="I2551" t="s">
        <v>182</v>
      </c>
    </row>
    <row r="2552" spans="1:9" ht="15" customHeight="1" x14ac:dyDescent="0.35">
      <c r="A2552">
        <v>2026</v>
      </c>
      <c r="B2552" t="s">
        <v>147</v>
      </c>
      <c r="C2552">
        <v>1</v>
      </c>
      <c r="D2552" t="s">
        <v>103</v>
      </c>
      <c r="E2552">
        <v>110</v>
      </c>
      <c r="F2552">
        <v>175</v>
      </c>
      <c r="G2552">
        <v>61</v>
      </c>
      <c r="H2552" t="s">
        <v>78</v>
      </c>
      <c r="I2552" t="s">
        <v>182</v>
      </c>
    </row>
    <row r="2553" spans="1:9" ht="15" customHeight="1" x14ac:dyDescent="0.35">
      <c r="A2553">
        <v>2026</v>
      </c>
      <c r="B2553" t="s">
        <v>149</v>
      </c>
      <c r="C2553">
        <v>2</v>
      </c>
      <c r="D2553" t="s">
        <v>103</v>
      </c>
      <c r="E2553">
        <v>106</v>
      </c>
      <c r="F2553">
        <v>186</v>
      </c>
      <c r="G2553">
        <v>46</v>
      </c>
      <c r="H2553" t="s">
        <v>78</v>
      </c>
      <c r="I2553" t="s">
        <v>182</v>
      </c>
    </row>
    <row r="2554" spans="1:9" ht="15" customHeight="1" x14ac:dyDescent="0.35">
      <c r="A2554">
        <v>2026</v>
      </c>
      <c r="B2554" t="s">
        <v>150</v>
      </c>
      <c r="C2554">
        <v>3</v>
      </c>
      <c r="D2554" t="s">
        <v>103</v>
      </c>
      <c r="E2554">
        <v>95</v>
      </c>
      <c r="F2554">
        <v>161</v>
      </c>
      <c r="G2554">
        <v>30</v>
      </c>
      <c r="H2554" t="s">
        <v>78</v>
      </c>
      <c r="I2554" t="s">
        <v>182</v>
      </c>
    </row>
    <row r="2555" spans="1:9" ht="15" customHeight="1" x14ac:dyDescent="0.35">
      <c r="A2555">
        <v>2017</v>
      </c>
      <c r="B2555" t="s">
        <v>147</v>
      </c>
      <c r="C2555">
        <v>1</v>
      </c>
      <c r="D2555" t="s">
        <v>104</v>
      </c>
      <c r="E2555">
        <v>2715</v>
      </c>
      <c r="F2555">
        <v>3882</v>
      </c>
      <c r="G2555">
        <v>1904</v>
      </c>
      <c r="H2555" t="s">
        <v>122</v>
      </c>
      <c r="I2555" t="s">
        <v>183</v>
      </c>
    </row>
    <row r="2556" spans="1:9" ht="15" customHeight="1" x14ac:dyDescent="0.35">
      <c r="A2556">
        <v>2017</v>
      </c>
      <c r="B2556" t="s">
        <v>149</v>
      </c>
      <c r="C2556">
        <v>2</v>
      </c>
      <c r="D2556" t="s">
        <v>104</v>
      </c>
      <c r="E2556">
        <v>2760</v>
      </c>
      <c r="F2556">
        <v>3826</v>
      </c>
      <c r="G2556">
        <v>2072</v>
      </c>
      <c r="H2556" t="s">
        <v>122</v>
      </c>
      <c r="I2556" t="s">
        <v>183</v>
      </c>
    </row>
    <row r="2557" spans="1:9" ht="15" customHeight="1" x14ac:dyDescent="0.35">
      <c r="A2557">
        <v>2017</v>
      </c>
      <c r="B2557" t="s">
        <v>150</v>
      </c>
      <c r="C2557">
        <v>3</v>
      </c>
      <c r="D2557" t="s">
        <v>104</v>
      </c>
      <c r="E2557">
        <v>3029</v>
      </c>
      <c r="F2557">
        <v>3934</v>
      </c>
      <c r="G2557">
        <v>2166</v>
      </c>
      <c r="H2557" t="s">
        <v>122</v>
      </c>
      <c r="I2557" t="s">
        <v>183</v>
      </c>
    </row>
    <row r="2558" spans="1:9" ht="15" customHeight="1" x14ac:dyDescent="0.35">
      <c r="A2558">
        <v>2017</v>
      </c>
      <c r="B2558" t="s">
        <v>151</v>
      </c>
      <c r="C2558">
        <v>4</v>
      </c>
      <c r="D2558" t="s">
        <v>104</v>
      </c>
      <c r="E2558">
        <v>3394</v>
      </c>
      <c r="F2558">
        <v>4085</v>
      </c>
      <c r="G2558">
        <v>2456</v>
      </c>
      <c r="H2558" t="s">
        <v>123</v>
      </c>
      <c r="I2558" t="s">
        <v>183</v>
      </c>
    </row>
    <row r="2559" spans="1:9" ht="15" customHeight="1" x14ac:dyDescent="0.35">
      <c r="A2559">
        <v>2017</v>
      </c>
      <c r="B2559" t="s">
        <v>152</v>
      </c>
      <c r="C2559">
        <v>5</v>
      </c>
      <c r="D2559" t="s">
        <v>104</v>
      </c>
      <c r="E2559">
        <v>3387</v>
      </c>
      <c r="F2559">
        <v>4086</v>
      </c>
      <c r="G2559">
        <v>2397</v>
      </c>
      <c r="H2559" t="s">
        <v>123</v>
      </c>
      <c r="I2559" t="s">
        <v>183</v>
      </c>
    </row>
    <row r="2560" spans="1:9" ht="15" customHeight="1" x14ac:dyDescent="0.35">
      <c r="A2560">
        <v>2017</v>
      </c>
      <c r="B2560" t="s">
        <v>153</v>
      </c>
      <c r="C2560">
        <v>6</v>
      </c>
      <c r="D2560" t="s">
        <v>104</v>
      </c>
      <c r="E2560">
        <v>3139</v>
      </c>
      <c r="F2560">
        <v>3887</v>
      </c>
      <c r="G2560">
        <v>2155</v>
      </c>
      <c r="H2560" t="s">
        <v>123</v>
      </c>
      <c r="I2560" t="s">
        <v>183</v>
      </c>
    </row>
    <row r="2561" spans="1:9" ht="15" customHeight="1" x14ac:dyDescent="0.35">
      <c r="A2561">
        <v>2017</v>
      </c>
      <c r="B2561" t="s">
        <v>154</v>
      </c>
      <c r="C2561">
        <v>7</v>
      </c>
      <c r="D2561" t="s">
        <v>104</v>
      </c>
      <c r="E2561">
        <v>3235</v>
      </c>
      <c r="F2561">
        <v>4138</v>
      </c>
      <c r="G2561">
        <v>2450</v>
      </c>
      <c r="H2561" t="s">
        <v>123</v>
      </c>
      <c r="I2561" t="s">
        <v>183</v>
      </c>
    </row>
    <row r="2562" spans="1:9" ht="15" customHeight="1" x14ac:dyDescent="0.35">
      <c r="A2562">
        <v>2017</v>
      </c>
      <c r="B2562" t="s">
        <v>155</v>
      </c>
      <c r="C2562">
        <v>8</v>
      </c>
      <c r="D2562" t="s">
        <v>104</v>
      </c>
      <c r="E2562">
        <v>3311</v>
      </c>
      <c r="F2562">
        <v>4285</v>
      </c>
      <c r="G2562">
        <v>2616</v>
      </c>
      <c r="H2562" t="s">
        <v>123</v>
      </c>
      <c r="I2562" t="s">
        <v>183</v>
      </c>
    </row>
    <row r="2563" spans="1:9" ht="15" customHeight="1" x14ac:dyDescent="0.35">
      <c r="A2563">
        <v>2017</v>
      </c>
      <c r="B2563" t="s">
        <v>156</v>
      </c>
      <c r="C2563">
        <v>9</v>
      </c>
      <c r="D2563" t="s">
        <v>104</v>
      </c>
      <c r="E2563">
        <v>3458</v>
      </c>
      <c r="F2563">
        <v>4265</v>
      </c>
      <c r="G2563">
        <v>2032</v>
      </c>
      <c r="H2563" t="s">
        <v>123</v>
      </c>
      <c r="I2563" t="s">
        <v>183</v>
      </c>
    </row>
    <row r="2564" spans="1:9" ht="15" customHeight="1" x14ac:dyDescent="0.35">
      <c r="A2564">
        <v>2017</v>
      </c>
      <c r="B2564" t="s">
        <v>157</v>
      </c>
      <c r="C2564">
        <v>10</v>
      </c>
      <c r="D2564" t="s">
        <v>104</v>
      </c>
      <c r="E2564">
        <v>3495</v>
      </c>
      <c r="F2564">
        <v>4498</v>
      </c>
      <c r="G2564">
        <v>2830</v>
      </c>
      <c r="H2564" t="s">
        <v>123</v>
      </c>
      <c r="I2564" t="s">
        <v>183</v>
      </c>
    </row>
    <row r="2565" spans="1:9" ht="15" customHeight="1" x14ac:dyDescent="0.35">
      <c r="A2565">
        <v>2017</v>
      </c>
      <c r="B2565" t="s">
        <v>158</v>
      </c>
      <c r="C2565">
        <v>11</v>
      </c>
      <c r="D2565" t="s">
        <v>104</v>
      </c>
      <c r="E2565">
        <v>2862</v>
      </c>
      <c r="F2565">
        <v>3976</v>
      </c>
      <c r="G2565">
        <v>2171</v>
      </c>
      <c r="H2565" t="s">
        <v>123</v>
      </c>
      <c r="I2565" t="s">
        <v>183</v>
      </c>
    </row>
    <row r="2566" spans="1:9" ht="15" customHeight="1" x14ac:dyDescent="0.35">
      <c r="A2566">
        <v>2017</v>
      </c>
      <c r="B2566" t="s">
        <v>159</v>
      </c>
      <c r="C2566">
        <v>12</v>
      </c>
      <c r="D2566" t="s">
        <v>104</v>
      </c>
      <c r="E2566">
        <v>2849</v>
      </c>
      <c r="F2566">
        <v>4089</v>
      </c>
      <c r="G2566">
        <v>2019</v>
      </c>
      <c r="H2566" t="s">
        <v>123</v>
      </c>
      <c r="I2566" t="s">
        <v>183</v>
      </c>
    </row>
    <row r="2567" spans="1:9" ht="15" customHeight="1" x14ac:dyDescent="0.35">
      <c r="A2567">
        <v>2018</v>
      </c>
      <c r="B2567" t="s">
        <v>147</v>
      </c>
      <c r="C2567">
        <v>1</v>
      </c>
      <c r="D2567" t="s">
        <v>104</v>
      </c>
      <c r="E2567">
        <v>3021</v>
      </c>
      <c r="F2567">
        <v>4080</v>
      </c>
      <c r="G2567">
        <v>2186</v>
      </c>
      <c r="H2567" t="s">
        <v>123</v>
      </c>
      <c r="I2567" t="s">
        <v>183</v>
      </c>
    </row>
    <row r="2568" spans="1:9" ht="15" customHeight="1" x14ac:dyDescent="0.35">
      <c r="A2568">
        <v>2018</v>
      </c>
      <c r="B2568" t="s">
        <v>149</v>
      </c>
      <c r="C2568">
        <v>2</v>
      </c>
      <c r="D2568" t="s">
        <v>104</v>
      </c>
      <c r="E2568">
        <v>3236</v>
      </c>
      <c r="F2568">
        <v>4245</v>
      </c>
      <c r="G2568">
        <v>2226</v>
      </c>
      <c r="H2568" t="s">
        <v>123</v>
      </c>
      <c r="I2568" t="s">
        <v>183</v>
      </c>
    </row>
    <row r="2569" spans="1:9" ht="15" customHeight="1" x14ac:dyDescent="0.35">
      <c r="A2569">
        <v>2018</v>
      </c>
      <c r="B2569" t="s">
        <v>150</v>
      </c>
      <c r="C2569">
        <v>3</v>
      </c>
      <c r="D2569" t="s">
        <v>104</v>
      </c>
      <c r="E2569">
        <v>3378</v>
      </c>
      <c r="F2569">
        <v>4404</v>
      </c>
      <c r="G2569">
        <v>2515</v>
      </c>
      <c r="H2569" t="s">
        <v>123</v>
      </c>
      <c r="I2569" t="s">
        <v>183</v>
      </c>
    </row>
    <row r="2570" spans="1:9" ht="15" customHeight="1" x14ac:dyDescent="0.35">
      <c r="A2570">
        <v>2018</v>
      </c>
      <c r="B2570" t="s">
        <v>151</v>
      </c>
      <c r="C2570">
        <v>4</v>
      </c>
      <c r="D2570" t="s">
        <v>104</v>
      </c>
      <c r="E2570">
        <v>3197</v>
      </c>
      <c r="F2570">
        <v>4328</v>
      </c>
      <c r="G2570">
        <v>1822</v>
      </c>
      <c r="H2570" t="s">
        <v>124</v>
      </c>
      <c r="I2570" t="s">
        <v>183</v>
      </c>
    </row>
    <row r="2571" spans="1:9" ht="15" customHeight="1" x14ac:dyDescent="0.35">
      <c r="A2571">
        <v>2018</v>
      </c>
      <c r="B2571" t="s">
        <v>152</v>
      </c>
      <c r="C2571">
        <v>5</v>
      </c>
      <c r="D2571" t="s">
        <v>104</v>
      </c>
      <c r="E2571">
        <v>3574</v>
      </c>
      <c r="F2571">
        <v>4713</v>
      </c>
      <c r="G2571">
        <v>2101</v>
      </c>
      <c r="H2571" t="s">
        <v>124</v>
      </c>
      <c r="I2571" t="s">
        <v>183</v>
      </c>
    </row>
    <row r="2572" spans="1:9" ht="15" customHeight="1" x14ac:dyDescent="0.35">
      <c r="A2572">
        <v>2018</v>
      </c>
      <c r="B2572" t="s">
        <v>153</v>
      </c>
      <c r="C2572">
        <v>6</v>
      </c>
      <c r="D2572" t="s">
        <v>104</v>
      </c>
      <c r="E2572">
        <v>3712</v>
      </c>
      <c r="F2572">
        <v>4449</v>
      </c>
      <c r="G2572">
        <v>2743</v>
      </c>
      <c r="H2572" t="s">
        <v>124</v>
      </c>
      <c r="I2572" t="s">
        <v>183</v>
      </c>
    </row>
    <row r="2573" spans="1:9" ht="15" customHeight="1" x14ac:dyDescent="0.35">
      <c r="A2573">
        <v>2018</v>
      </c>
      <c r="B2573" t="s">
        <v>154</v>
      </c>
      <c r="C2573">
        <v>7</v>
      </c>
      <c r="D2573" t="s">
        <v>104</v>
      </c>
      <c r="E2573">
        <v>3336</v>
      </c>
      <c r="F2573">
        <v>4518</v>
      </c>
      <c r="G2573">
        <v>2336</v>
      </c>
      <c r="H2573" t="s">
        <v>124</v>
      </c>
      <c r="I2573" t="s">
        <v>183</v>
      </c>
    </row>
    <row r="2574" spans="1:9" ht="15" customHeight="1" x14ac:dyDescent="0.35">
      <c r="A2574">
        <v>2018</v>
      </c>
      <c r="B2574" t="s">
        <v>155</v>
      </c>
      <c r="C2574">
        <v>8</v>
      </c>
      <c r="D2574" t="s">
        <v>104</v>
      </c>
      <c r="E2574">
        <v>4186</v>
      </c>
      <c r="F2574">
        <v>5374</v>
      </c>
      <c r="G2574">
        <v>3297</v>
      </c>
      <c r="H2574" t="s">
        <v>124</v>
      </c>
      <c r="I2574" t="s">
        <v>183</v>
      </c>
    </row>
    <row r="2575" spans="1:9" ht="15" customHeight="1" x14ac:dyDescent="0.35">
      <c r="A2575">
        <v>2018</v>
      </c>
      <c r="B2575" t="s">
        <v>156</v>
      </c>
      <c r="C2575">
        <v>9</v>
      </c>
      <c r="D2575" t="s">
        <v>104</v>
      </c>
      <c r="E2575">
        <v>3954</v>
      </c>
      <c r="F2575">
        <v>4930</v>
      </c>
      <c r="G2575">
        <v>2987</v>
      </c>
      <c r="H2575" t="s">
        <v>124</v>
      </c>
      <c r="I2575" t="s">
        <v>183</v>
      </c>
    </row>
    <row r="2576" spans="1:9" ht="15" customHeight="1" x14ac:dyDescent="0.35">
      <c r="A2576">
        <v>2018</v>
      </c>
      <c r="B2576" t="s">
        <v>157</v>
      </c>
      <c r="C2576">
        <v>10</v>
      </c>
      <c r="D2576" t="s">
        <v>104</v>
      </c>
      <c r="E2576">
        <v>4185</v>
      </c>
      <c r="F2576">
        <v>5199</v>
      </c>
      <c r="G2576">
        <v>3015</v>
      </c>
      <c r="H2576" t="s">
        <v>124</v>
      </c>
      <c r="I2576" t="s">
        <v>183</v>
      </c>
    </row>
    <row r="2577" spans="1:9" ht="15" customHeight="1" x14ac:dyDescent="0.35">
      <c r="A2577">
        <v>2018</v>
      </c>
      <c r="B2577" t="s">
        <v>158</v>
      </c>
      <c r="C2577">
        <v>11</v>
      </c>
      <c r="D2577" t="s">
        <v>104</v>
      </c>
      <c r="E2577">
        <v>3660</v>
      </c>
      <c r="F2577">
        <v>4789</v>
      </c>
      <c r="G2577">
        <v>2890</v>
      </c>
      <c r="H2577" t="s">
        <v>124</v>
      </c>
      <c r="I2577" t="s">
        <v>183</v>
      </c>
    </row>
    <row r="2578" spans="1:9" ht="15" customHeight="1" x14ac:dyDescent="0.35">
      <c r="A2578">
        <v>2018</v>
      </c>
      <c r="B2578" t="s">
        <v>159</v>
      </c>
      <c r="C2578">
        <v>12</v>
      </c>
      <c r="D2578" t="s">
        <v>104</v>
      </c>
      <c r="E2578">
        <v>2922</v>
      </c>
      <c r="F2578">
        <v>4051</v>
      </c>
      <c r="G2578">
        <v>1742</v>
      </c>
      <c r="H2578" t="s">
        <v>124</v>
      </c>
      <c r="I2578" t="s">
        <v>183</v>
      </c>
    </row>
    <row r="2579" spans="1:9" ht="15" customHeight="1" x14ac:dyDescent="0.35">
      <c r="A2579">
        <v>2019</v>
      </c>
      <c r="B2579" t="s">
        <v>147</v>
      </c>
      <c r="C2579">
        <v>1</v>
      </c>
      <c r="D2579" t="s">
        <v>104</v>
      </c>
      <c r="E2579">
        <v>2944</v>
      </c>
      <c r="F2579">
        <v>3991</v>
      </c>
      <c r="G2579">
        <v>2054</v>
      </c>
      <c r="H2579" t="s">
        <v>124</v>
      </c>
      <c r="I2579" t="s">
        <v>183</v>
      </c>
    </row>
    <row r="2580" spans="1:9" ht="15" customHeight="1" x14ac:dyDescent="0.35">
      <c r="A2580">
        <v>2019</v>
      </c>
      <c r="B2580" t="s">
        <v>149</v>
      </c>
      <c r="C2580">
        <v>2</v>
      </c>
      <c r="D2580" t="s">
        <v>104</v>
      </c>
      <c r="E2580">
        <v>3100</v>
      </c>
      <c r="F2580">
        <v>4163</v>
      </c>
      <c r="G2580">
        <v>2071</v>
      </c>
      <c r="H2580" t="s">
        <v>124</v>
      </c>
      <c r="I2580" t="s">
        <v>183</v>
      </c>
    </row>
    <row r="2581" spans="1:9" ht="15" customHeight="1" x14ac:dyDescent="0.35">
      <c r="A2581">
        <v>2019</v>
      </c>
      <c r="B2581" t="s">
        <v>150</v>
      </c>
      <c r="C2581">
        <v>3</v>
      </c>
      <c r="D2581" t="s">
        <v>104</v>
      </c>
      <c r="E2581">
        <v>3492</v>
      </c>
      <c r="F2581">
        <v>4627</v>
      </c>
      <c r="G2581">
        <v>2592</v>
      </c>
      <c r="H2581" t="s">
        <v>124</v>
      </c>
      <c r="I2581" t="s">
        <v>183</v>
      </c>
    </row>
    <row r="2582" spans="1:9" ht="15" customHeight="1" x14ac:dyDescent="0.35">
      <c r="A2582">
        <v>2019</v>
      </c>
      <c r="B2582" t="s">
        <v>151</v>
      </c>
      <c r="C2582">
        <v>4</v>
      </c>
      <c r="D2582" t="s">
        <v>104</v>
      </c>
      <c r="E2582">
        <v>3822</v>
      </c>
      <c r="F2582">
        <v>5159</v>
      </c>
      <c r="G2582">
        <v>2639</v>
      </c>
      <c r="H2582" t="s">
        <v>71</v>
      </c>
      <c r="I2582" t="s">
        <v>183</v>
      </c>
    </row>
    <row r="2583" spans="1:9" ht="15" customHeight="1" x14ac:dyDescent="0.35">
      <c r="A2583">
        <v>2019</v>
      </c>
      <c r="B2583" t="s">
        <v>152</v>
      </c>
      <c r="C2583">
        <v>5</v>
      </c>
      <c r="D2583" t="s">
        <v>104</v>
      </c>
      <c r="E2583">
        <v>3464</v>
      </c>
      <c r="F2583">
        <v>4539</v>
      </c>
      <c r="G2583">
        <v>1594</v>
      </c>
      <c r="H2583" t="s">
        <v>71</v>
      </c>
      <c r="I2583" t="s">
        <v>183</v>
      </c>
    </row>
    <row r="2584" spans="1:9" ht="15" customHeight="1" x14ac:dyDescent="0.35">
      <c r="A2584">
        <v>2019</v>
      </c>
      <c r="B2584" t="s">
        <v>153</v>
      </c>
      <c r="C2584">
        <v>6</v>
      </c>
      <c r="D2584" t="s">
        <v>104</v>
      </c>
      <c r="E2584">
        <v>3544</v>
      </c>
      <c r="F2584">
        <v>5057</v>
      </c>
      <c r="G2584">
        <v>2165</v>
      </c>
      <c r="H2584" t="s">
        <v>71</v>
      </c>
      <c r="I2584" t="s">
        <v>183</v>
      </c>
    </row>
    <row r="2585" spans="1:9" ht="15" customHeight="1" x14ac:dyDescent="0.35">
      <c r="A2585">
        <v>2019</v>
      </c>
      <c r="B2585" t="s">
        <v>154</v>
      </c>
      <c r="C2585">
        <v>7</v>
      </c>
      <c r="D2585" t="s">
        <v>104</v>
      </c>
      <c r="E2585">
        <v>3551</v>
      </c>
      <c r="F2585">
        <v>4697</v>
      </c>
      <c r="G2585">
        <v>2104</v>
      </c>
      <c r="H2585" t="s">
        <v>71</v>
      </c>
      <c r="I2585" t="s">
        <v>183</v>
      </c>
    </row>
    <row r="2586" spans="1:9" ht="15" customHeight="1" x14ac:dyDescent="0.35">
      <c r="A2586">
        <v>2019</v>
      </c>
      <c r="B2586" t="s">
        <v>155</v>
      </c>
      <c r="C2586">
        <v>8</v>
      </c>
      <c r="D2586" t="s">
        <v>104</v>
      </c>
      <c r="E2586">
        <v>3927</v>
      </c>
      <c r="F2586">
        <v>4917</v>
      </c>
      <c r="G2586">
        <v>3146</v>
      </c>
      <c r="H2586" t="s">
        <v>71</v>
      </c>
      <c r="I2586" t="s">
        <v>183</v>
      </c>
    </row>
    <row r="2587" spans="1:9" ht="15" customHeight="1" x14ac:dyDescent="0.35">
      <c r="A2587">
        <v>2019</v>
      </c>
      <c r="B2587" t="s">
        <v>156</v>
      </c>
      <c r="C2587">
        <v>9</v>
      </c>
      <c r="D2587" t="s">
        <v>104</v>
      </c>
      <c r="E2587">
        <v>3869</v>
      </c>
      <c r="F2587">
        <v>4921</v>
      </c>
      <c r="G2587">
        <v>3020</v>
      </c>
      <c r="H2587" t="s">
        <v>71</v>
      </c>
      <c r="I2587" t="s">
        <v>183</v>
      </c>
    </row>
    <row r="2588" spans="1:9" ht="15" customHeight="1" x14ac:dyDescent="0.35">
      <c r="A2588">
        <v>2019</v>
      </c>
      <c r="B2588" t="s">
        <v>157</v>
      </c>
      <c r="C2588">
        <v>10</v>
      </c>
      <c r="D2588" t="s">
        <v>104</v>
      </c>
      <c r="E2588">
        <v>3341</v>
      </c>
      <c r="F2588">
        <v>4365</v>
      </c>
      <c r="G2588">
        <v>2224</v>
      </c>
      <c r="H2588" t="s">
        <v>71</v>
      </c>
      <c r="I2588" t="s">
        <v>183</v>
      </c>
    </row>
    <row r="2589" spans="1:9" ht="15" customHeight="1" x14ac:dyDescent="0.35">
      <c r="A2589">
        <v>2019</v>
      </c>
      <c r="B2589" t="s">
        <v>158</v>
      </c>
      <c r="C2589">
        <v>11</v>
      </c>
      <c r="D2589" t="s">
        <v>104</v>
      </c>
      <c r="E2589">
        <v>2951</v>
      </c>
      <c r="F2589">
        <v>4040</v>
      </c>
      <c r="G2589">
        <v>1867</v>
      </c>
      <c r="H2589" t="s">
        <v>71</v>
      </c>
      <c r="I2589" t="s">
        <v>183</v>
      </c>
    </row>
    <row r="2590" spans="1:9" ht="15" customHeight="1" x14ac:dyDescent="0.35">
      <c r="A2590">
        <v>2019</v>
      </c>
      <c r="B2590" t="s">
        <v>159</v>
      </c>
      <c r="C2590">
        <v>12</v>
      </c>
      <c r="D2590" t="s">
        <v>104</v>
      </c>
      <c r="E2590">
        <v>2956</v>
      </c>
      <c r="F2590">
        <v>4213</v>
      </c>
      <c r="G2590">
        <v>2043</v>
      </c>
      <c r="H2590" t="s">
        <v>71</v>
      </c>
      <c r="I2590" t="s">
        <v>183</v>
      </c>
    </row>
    <row r="2591" spans="1:9" ht="15" customHeight="1" x14ac:dyDescent="0.35">
      <c r="A2591">
        <v>2020</v>
      </c>
      <c r="B2591" t="s">
        <v>147</v>
      </c>
      <c r="C2591">
        <v>1</v>
      </c>
      <c r="D2591" t="s">
        <v>104</v>
      </c>
      <c r="E2591">
        <v>2754</v>
      </c>
      <c r="F2591">
        <v>3601</v>
      </c>
      <c r="G2591">
        <v>1901</v>
      </c>
      <c r="H2591" t="s">
        <v>71</v>
      </c>
      <c r="I2591" t="s">
        <v>183</v>
      </c>
    </row>
    <row r="2592" spans="1:9" ht="15" customHeight="1" x14ac:dyDescent="0.35">
      <c r="A2592">
        <v>2020</v>
      </c>
      <c r="B2592" t="s">
        <v>149</v>
      </c>
      <c r="C2592">
        <v>2</v>
      </c>
      <c r="D2592" t="s">
        <v>104</v>
      </c>
      <c r="E2592">
        <v>3012</v>
      </c>
      <c r="F2592">
        <v>4220</v>
      </c>
      <c r="G2592">
        <v>2034</v>
      </c>
      <c r="H2592" t="s">
        <v>71</v>
      </c>
      <c r="I2592" t="s">
        <v>183</v>
      </c>
    </row>
    <row r="2593" spans="1:9" ht="15" customHeight="1" x14ac:dyDescent="0.35">
      <c r="A2593">
        <v>2020</v>
      </c>
      <c r="B2593" t="s">
        <v>150</v>
      </c>
      <c r="C2593">
        <v>3</v>
      </c>
      <c r="D2593" t="s">
        <v>104</v>
      </c>
      <c r="E2593">
        <v>3001</v>
      </c>
      <c r="F2593">
        <v>3789</v>
      </c>
      <c r="G2593">
        <v>1870</v>
      </c>
      <c r="H2593" t="s">
        <v>71</v>
      </c>
      <c r="I2593" t="s">
        <v>183</v>
      </c>
    </row>
    <row r="2594" spans="1:9" ht="15" customHeight="1" x14ac:dyDescent="0.35">
      <c r="A2594">
        <v>2020</v>
      </c>
      <c r="B2594" t="s">
        <v>151</v>
      </c>
      <c r="C2594">
        <v>4</v>
      </c>
      <c r="D2594" t="s">
        <v>104</v>
      </c>
      <c r="E2594">
        <v>2826</v>
      </c>
      <c r="F2594">
        <v>3642</v>
      </c>
      <c r="G2594">
        <v>1705</v>
      </c>
      <c r="H2594" t="s">
        <v>72</v>
      </c>
      <c r="I2594" t="s">
        <v>183</v>
      </c>
    </row>
    <row r="2595" spans="1:9" ht="15" customHeight="1" x14ac:dyDescent="0.35">
      <c r="A2595">
        <v>2020</v>
      </c>
      <c r="B2595" t="s">
        <v>152</v>
      </c>
      <c r="C2595">
        <v>5</v>
      </c>
      <c r="D2595" t="s">
        <v>104</v>
      </c>
      <c r="E2595">
        <v>3176</v>
      </c>
      <c r="F2595">
        <v>4062</v>
      </c>
      <c r="G2595">
        <v>1917</v>
      </c>
      <c r="H2595" t="s">
        <v>72</v>
      </c>
      <c r="I2595" t="s">
        <v>183</v>
      </c>
    </row>
    <row r="2596" spans="1:9" ht="15" customHeight="1" x14ac:dyDescent="0.35">
      <c r="A2596">
        <v>2020</v>
      </c>
      <c r="B2596" t="s">
        <v>153</v>
      </c>
      <c r="C2596">
        <v>6</v>
      </c>
      <c r="D2596" t="s">
        <v>104</v>
      </c>
      <c r="E2596">
        <v>3444</v>
      </c>
      <c r="F2596">
        <v>4302</v>
      </c>
      <c r="G2596">
        <v>2295</v>
      </c>
      <c r="H2596" t="s">
        <v>72</v>
      </c>
      <c r="I2596" t="s">
        <v>183</v>
      </c>
    </row>
    <row r="2597" spans="1:9" ht="15" customHeight="1" x14ac:dyDescent="0.35">
      <c r="A2597">
        <v>2020</v>
      </c>
      <c r="B2597" t="s">
        <v>154</v>
      </c>
      <c r="C2597">
        <v>7</v>
      </c>
      <c r="D2597" t="s">
        <v>104</v>
      </c>
      <c r="E2597">
        <v>3619</v>
      </c>
      <c r="F2597">
        <v>4485</v>
      </c>
      <c r="G2597">
        <v>2955</v>
      </c>
      <c r="H2597" t="s">
        <v>72</v>
      </c>
      <c r="I2597" t="s">
        <v>183</v>
      </c>
    </row>
    <row r="2598" spans="1:9" ht="15" customHeight="1" x14ac:dyDescent="0.35">
      <c r="A2598">
        <v>2020</v>
      </c>
      <c r="B2598" t="s">
        <v>155</v>
      </c>
      <c r="C2598">
        <v>8</v>
      </c>
      <c r="D2598" t="s">
        <v>104</v>
      </c>
      <c r="E2598">
        <v>3479</v>
      </c>
      <c r="F2598">
        <v>4321</v>
      </c>
      <c r="G2598">
        <v>2549</v>
      </c>
      <c r="H2598" t="s">
        <v>72</v>
      </c>
      <c r="I2598" t="s">
        <v>183</v>
      </c>
    </row>
    <row r="2599" spans="1:9" ht="15" customHeight="1" x14ac:dyDescent="0.35">
      <c r="A2599">
        <v>2020</v>
      </c>
      <c r="B2599" t="s">
        <v>156</v>
      </c>
      <c r="C2599">
        <v>9</v>
      </c>
      <c r="D2599" t="s">
        <v>104</v>
      </c>
      <c r="E2599">
        <v>3754</v>
      </c>
      <c r="F2599">
        <v>4639</v>
      </c>
      <c r="G2599">
        <v>2762</v>
      </c>
      <c r="H2599" t="s">
        <v>72</v>
      </c>
      <c r="I2599" t="s">
        <v>183</v>
      </c>
    </row>
    <row r="2600" spans="1:9" ht="15" customHeight="1" x14ac:dyDescent="0.35">
      <c r="A2600">
        <v>2020</v>
      </c>
      <c r="B2600" t="s">
        <v>157</v>
      </c>
      <c r="C2600">
        <v>10</v>
      </c>
      <c r="D2600" t="s">
        <v>104</v>
      </c>
      <c r="E2600">
        <v>3590</v>
      </c>
      <c r="F2600">
        <v>4987</v>
      </c>
      <c r="G2600">
        <v>2620</v>
      </c>
      <c r="H2600" t="s">
        <v>72</v>
      </c>
      <c r="I2600" t="s">
        <v>183</v>
      </c>
    </row>
    <row r="2601" spans="1:9" ht="15" customHeight="1" x14ac:dyDescent="0.35">
      <c r="A2601">
        <v>2020</v>
      </c>
      <c r="B2601" t="s">
        <v>158</v>
      </c>
      <c r="C2601">
        <v>11</v>
      </c>
      <c r="D2601" t="s">
        <v>104</v>
      </c>
      <c r="E2601">
        <v>3052</v>
      </c>
      <c r="F2601">
        <v>4477</v>
      </c>
      <c r="G2601">
        <v>2141</v>
      </c>
      <c r="H2601" t="s">
        <v>72</v>
      </c>
      <c r="I2601" t="s">
        <v>183</v>
      </c>
    </row>
    <row r="2602" spans="1:9" ht="15" customHeight="1" x14ac:dyDescent="0.35">
      <c r="A2602">
        <v>2020</v>
      </c>
      <c r="B2602" t="s">
        <v>159</v>
      </c>
      <c r="C2602">
        <v>12</v>
      </c>
      <c r="D2602" t="s">
        <v>104</v>
      </c>
      <c r="E2602">
        <v>3000</v>
      </c>
      <c r="F2602">
        <v>4240</v>
      </c>
      <c r="G2602">
        <v>2160</v>
      </c>
      <c r="H2602" t="s">
        <v>72</v>
      </c>
      <c r="I2602" t="s">
        <v>183</v>
      </c>
    </row>
    <row r="2603" spans="1:9" ht="15" customHeight="1" x14ac:dyDescent="0.35">
      <c r="A2603">
        <v>2021</v>
      </c>
      <c r="B2603" t="s">
        <v>147</v>
      </c>
      <c r="C2603">
        <v>1</v>
      </c>
      <c r="D2603" t="s">
        <v>104</v>
      </c>
      <c r="E2603">
        <v>3099</v>
      </c>
      <c r="F2603">
        <v>4071</v>
      </c>
      <c r="G2603">
        <v>2045</v>
      </c>
      <c r="H2603" t="s">
        <v>72</v>
      </c>
      <c r="I2603" t="s">
        <v>183</v>
      </c>
    </row>
    <row r="2604" spans="1:9" ht="15" customHeight="1" x14ac:dyDescent="0.35">
      <c r="A2604">
        <v>2021</v>
      </c>
      <c r="B2604" t="s">
        <v>149</v>
      </c>
      <c r="C2604">
        <v>2</v>
      </c>
      <c r="D2604" t="s">
        <v>104</v>
      </c>
      <c r="E2604">
        <v>3394</v>
      </c>
      <c r="F2604">
        <v>4759</v>
      </c>
      <c r="G2604">
        <v>2369</v>
      </c>
      <c r="H2604" t="s">
        <v>72</v>
      </c>
      <c r="I2604" t="s">
        <v>183</v>
      </c>
    </row>
    <row r="2605" spans="1:9" ht="15" customHeight="1" x14ac:dyDescent="0.35">
      <c r="A2605">
        <v>2021</v>
      </c>
      <c r="B2605" t="s">
        <v>150</v>
      </c>
      <c r="C2605">
        <v>3</v>
      </c>
      <c r="D2605" t="s">
        <v>104</v>
      </c>
      <c r="E2605">
        <v>3959</v>
      </c>
      <c r="F2605">
        <v>5001</v>
      </c>
      <c r="G2605">
        <v>3039</v>
      </c>
      <c r="H2605" t="s">
        <v>72</v>
      </c>
      <c r="I2605" t="s">
        <v>183</v>
      </c>
    </row>
    <row r="2606" spans="1:9" ht="15" customHeight="1" x14ac:dyDescent="0.35">
      <c r="A2606">
        <v>2021</v>
      </c>
      <c r="B2606" t="s">
        <v>151</v>
      </c>
      <c r="C2606">
        <v>4</v>
      </c>
      <c r="D2606" t="s">
        <v>104</v>
      </c>
      <c r="E2606">
        <v>4313</v>
      </c>
      <c r="F2606">
        <v>5362</v>
      </c>
      <c r="G2606">
        <v>3359</v>
      </c>
      <c r="H2606" t="s">
        <v>73</v>
      </c>
      <c r="I2606" t="s">
        <v>183</v>
      </c>
    </row>
    <row r="2607" spans="1:9" ht="15" customHeight="1" x14ac:dyDescent="0.35">
      <c r="A2607">
        <v>2021</v>
      </c>
      <c r="B2607" t="s">
        <v>152</v>
      </c>
      <c r="C2607">
        <v>5</v>
      </c>
      <c r="D2607" t="s">
        <v>104</v>
      </c>
      <c r="E2607">
        <v>4036</v>
      </c>
      <c r="F2607">
        <v>5612</v>
      </c>
      <c r="G2607">
        <v>2056</v>
      </c>
      <c r="H2607" t="s">
        <v>73</v>
      </c>
      <c r="I2607" t="s">
        <v>183</v>
      </c>
    </row>
    <row r="2608" spans="1:9" ht="15" customHeight="1" x14ac:dyDescent="0.35">
      <c r="A2608">
        <v>2021</v>
      </c>
      <c r="B2608" t="s">
        <v>153</v>
      </c>
      <c r="C2608">
        <v>6</v>
      </c>
      <c r="D2608" t="s">
        <v>104</v>
      </c>
      <c r="E2608">
        <v>4069</v>
      </c>
      <c r="F2608">
        <v>4894</v>
      </c>
      <c r="G2608">
        <v>3241</v>
      </c>
      <c r="H2608" t="s">
        <v>73</v>
      </c>
      <c r="I2608" t="s">
        <v>183</v>
      </c>
    </row>
    <row r="2609" spans="1:9" ht="15" customHeight="1" x14ac:dyDescent="0.35">
      <c r="A2609">
        <v>2021</v>
      </c>
      <c r="B2609" t="s">
        <v>154</v>
      </c>
      <c r="C2609">
        <v>7</v>
      </c>
      <c r="D2609" t="s">
        <v>104</v>
      </c>
      <c r="E2609">
        <v>4712</v>
      </c>
      <c r="F2609">
        <v>5689</v>
      </c>
      <c r="G2609">
        <v>3943</v>
      </c>
      <c r="H2609" t="s">
        <v>73</v>
      </c>
      <c r="I2609" t="s">
        <v>183</v>
      </c>
    </row>
    <row r="2610" spans="1:9" ht="15" customHeight="1" x14ac:dyDescent="0.35">
      <c r="A2610">
        <v>2021</v>
      </c>
      <c r="B2610" t="s">
        <v>155</v>
      </c>
      <c r="C2610">
        <v>8</v>
      </c>
      <c r="D2610" t="s">
        <v>104</v>
      </c>
      <c r="E2610">
        <v>4454</v>
      </c>
      <c r="F2610">
        <v>5558</v>
      </c>
      <c r="G2610">
        <v>3303</v>
      </c>
      <c r="H2610" t="s">
        <v>73</v>
      </c>
      <c r="I2610" t="s">
        <v>183</v>
      </c>
    </row>
    <row r="2611" spans="1:9" ht="15" customHeight="1" x14ac:dyDescent="0.35">
      <c r="A2611">
        <v>2021</v>
      </c>
      <c r="B2611" t="s">
        <v>156</v>
      </c>
      <c r="C2611">
        <v>9</v>
      </c>
      <c r="D2611" t="s">
        <v>104</v>
      </c>
      <c r="E2611">
        <v>4501</v>
      </c>
      <c r="F2611">
        <v>5586</v>
      </c>
      <c r="G2611">
        <v>3083</v>
      </c>
      <c r="H2611" t="s">
        <v>73</v>
      </c>
      <c r="I2611" t="s">
        <v>183</v>
      </c>
    </row>
    <row r="2612" spans="1:9" ht="15" customHeight="1" x14ac:dyDescent="0.35">
      <c r="A2612">
        <v>2021</v>
      </c>
      <c r="B2612" t="s">
        <v>157</v>
      </c>
      <c r="C2612">
        <v>10</v>
      </c>
      <c r="D2612" t="s">
        <v>104</v>
      </c>
      <c r="E2612">
        <v>4692</v>
      </c>
      <c r="F2612">
        <v>5677</v>
      </c>
      <c r="G2612">
        <v>4084</v>
      </c>
      <c r="H2612" t="s">
        <v>73</v>
      </c>
      <c r="I2612" t="s">
        <v>183</v>
      </c>
    </row>
    <row r="2613" spans="1:9" ht="15" customHeight="1" x14ac:dyDescent="0.35">
      <c r="A2613">
        <v>2021</v>
      </c>
      <c r="B2613" t="s">
        <v>158</v>
      </c>
      <c r="C2613">
        <v>11</v>
      </c>
      <c r="D2613" t="s">
        <v>104</v>
      </c>
      <c r="E2613">
        <v>4264</v>
      </c>
      <c r="F2613">
        <v>5419</v>
      </c>
      <c r="G2613">
        <v>3256</v>
      </c>
      <c r="H2613" t="s">
        <v>73</v>
      </c>
      <c r="I2613" t="s">
        <v>183</v>
      </c>
    </row>
    <row r="2614" spans="1:9" ht="15" customHeight="1" x14ac:dyDescent="0.35">
      <c r="A2614">
        <v>2021</v>
      </c>
      <c r="B2614" t="s">
        <v>159</v>
      </c>
      <c r="C2614">
        <v>12</v>
      </c>
      <c r="D2614" t="s">
        <v>104</v>
      </c>
      <c r="E2614">
        <v>4100</v>
      </c>
      <c r="F2614">
        <v>5375</v>
      </c>
      <c r="G2614">
        <v>2875</v>
      </c>
      <c r="H2614" t="s">
        <v>73</v>
      </c>
      <c r="I2614" t="s">
        <v>183</v>
      </c>
    </row>
    <row r="2615" spans="1:9" ht="15" customHeight="1" x14ac:dyDescent="0.35">
      <c r="A2615">
        <v>2022</v>
      </c>
      <c r="B2615" t="s">
        <v>147</v>
      </c>
      <c r="C2615">
        <v>1</v>
      </c>
      <c r="D2615" t="s">
        <v>104</v>
      </c>
      <c r="E2615">
        <v>4270</v>
      </c>
      <c r="F2615">
        <v>5412</v>
      </c>
      <c r="G2615">
        <v>3333</v>
      </c>
      <c r="H2615" t="s">
        <v>73</v>
      </c>
      <c r="I2615" t="s">
        <v>183</v>
      </c>
    </row>
    <row r="2616" spans="1:9" ht="15" customHeight="1" x14ac:dyDescent="0.35">
      <c r="A2616">
        <v>2022</v>
      </c>
      <c r="B2616" t="s">
        <v>149</v>
      </c>
      <c r="C2616">
        <v>2</v>
      </c>
      <c r="D2616" t="s">
        <v>104</v>
      </c>
      <c r="E2616">
        <v>4642</v>
      </c>
      <c r="F2616">
        <v>5709</v>
      </c>
      <c r="G2616">
        <v>3743</v>
      </c>
      <c r="H2616" t="s">
        <v>73</v>
      </c>
      <c r="I2616" t="s">
        <v>183</v>
      </c>
    </row>
    <row r="2617" spans="1:9" ht="15" customHeight="1" x14ac:dyDescent="0.35">
      <c r="A2617">
        <v>2022</v>
      </c>
      <c r="B2617" t="s">
        <v>150</v>
      </c>
      <c r="C2617">
        <v>3</v>
      </c>
      <c r="D2617" t="s">
        <v>104</v>
      </c>
      <c r="E2617">
        <v>4595</v>
      </c>
      <c r="F2617">
        <v>5500</v>
      </c>
      <c r="G2617">
        <v>3844</v>
      </c>
      <c r="H2617" t="s">
        <v>73</v>
      </c>
      <c r="I2617" t="s">
        <v>183</v>
      </c>
    </row>
    <row r="2618" spans="1:9" ht="15" customHeight="1" x14ac:dyDescent="0.35">
      <c r="A2618">
        <v>2022</v>
      </c>
      <c r="B2618" t="s">
        <v>151</v>
      </c>
      <c r="C2618">
        <v>4</v>
      </c>
      <c r="D2618" t="s">
        <v>104</v>
      </c>
      <c r="E2618">
        <v>4828</v>
      </c>
      <c r="F2618">
        <v>5695</v>
      </c>
      <c r="G2618">
        <v>3909</v>
      </c>
      <c r="H2618" t="s">
        <v>74</v>
      </c>
      <c r="I2618" t="s">
        <v>183</v>
      </c>
    </row>
    <row r="2619" spans="1:9" ht="15" customHeight="1" x14ac:dyDescent="0.35">
      <c r="A2619">
        <v>2022</v>
      </c>
      <c r="B2619" t="s">
        <v>152</v>
      </c>
      <c r="C2619">
        <v>5</v>
      </c>
      <c r="D2619" t="s">
        <v>104</v>
      </c>
      <c r="E2619">
        <v>5134</v>
      </c>
      <c r="F2619">
        <v>6323</v>
      </c>
      <c r="G2619">
        <v>3667</v>
      </c>
      <c r="H2619" t="s">
        <v>74</v>
      </c>
      <c r="I2619" t="s">
        <v>183</v>
      </c>
    </row>
    <row r="2620" spans="1:9" ht="15" customHeight="1" x14ac:dyDescent="0.35">
      <c r="A2620">
        <v>2022</v>
      </c>
      <c r="B2620" t="s">
        <v>153</v>
      </c>
      <c r="C2620">
        <v>6</v>
      </c>
      <c r="D2620" t="s">
        <v>104</v>
      </c>
      <c r="E2620">
        <v>5314</v>
      </c>
      <c r="F2620">
        <v>6279</v>
      </c>
      <c r="G2620">
        <v>3988</v>
      </c>
      <c r="H2620" t="s">
        <v>74</v>
      </c>
      <c r="I2620" t="s">
        <v>183</v>
      </c>
    </row>
    <row r="2621" spans="1:9" ht="15" customHeight="1" x14ac:dyDescent="0.35">
      <c r="A2621">
        <v>2022</v>
      </c>
      <c r="B2621" t="s">
        <v>154</v>
      </c>
      <c r="C2621">
        <v>7</v>
      </c>
      <c r="D2621" t="s">
        <v>104</v>
      </c>
      <c r="E2621">
        <v>5097</v>
      </c>
      <c r="F2621">
        <v>6167</v>
      </c>
      <c r="G2621">
        <v>3946</v>
      </c>
      <c r="H2621" t="s">
        <v>74</v>
      </c>
      <c r="I2621" t="s">
        <v>183</v>
      </c>
    </row>
    <row r="2622" spans="1:9" ht="15" customHeight="1" x14ac:dyDescent="0.35">
      <c r="A2622">
        <v>2022</v>
      </c>
      <c r="B2622" t="s">
        <v>155</v>
      </c>
      <c r="C2622">
        <v>8</v>
      </c>
      <c r="D2622" t="s">
        <v>104</v>
      </c>
      <c r="E2622">
        <v>5398</v>
      </c>
      <c r="F2622">
        <v>6395</v>
      </c>
      <c r="G2622">
        <v>4664</v>
      </c>
      <c r="H2622" t="s">
        <v>74</v>
      </c>
      <c r="I2622" t="s">
        <v>183</v>
      </c>
    </row>
    <row r="2623" spans="1:9" ht="15" customHeight="1" x14ac:dyDescent="0.35">
      <c r="A2623">
        <v>2022</v>
      </c>
      <c r="B2623" t="s">
        <v>156</v>
      </c>
      <c r="C2623">
        <v>9</v>
      </c>
      <c r="D2623" t="s">
        <v>104</v>
      </c>
      <c r="E2623">
        <v>5559</v>
      </c>
      <c r="F2623">
        <v>6316</v>
      </c>
      <c r="G2623">
        <v>4588</v>
      </c>
      <c r="H2623" t="s">
        <v>74</v>
      </c>
      <c r="I2623" t="s">
        <v>183</v>
      </c>
    </row>
    <row r="2624" spans="1:9" ht="15" customHeight="1" x14ac:dyDescent="0.35">
      <c r="A2624">
        <v>2022</v>
      </c>
      <c r="B2624" t="s">
        <v>157</v>
      </c>
      <c r="C2624">
        <v>10</v>
      </c>
      <c r="D2624" t="s">
        <v>104</v>
      </c>
      <c r="E2624">
        <v>5196</v>
      </c>
      <c r="F2624">
        <v>5980</v>
      </c>
      <c r="G2624">
        <v>4166</v>
      </c>
      <c r="H2624" t="s">
        <v>74</v>
      </c>
      <c r="I2624" t="s">
        <v>183</v>
      </c>
    </row>
    <row r="2625" spans="1:9" ht="15" customHeight="1" x14ac:dyDescent="0.35">
      <c r="A2625">
        <v>2022</v>
      </c>
      <c r="B2625" t="s">
        <v>158</v>
      </c>
      <c r="C2625">
        <v>11</v>
      </c>
      <c r="D2625" t="s">
        <v>104</v>
      </c>
      <c r="E2625">
        <v>4389</v>
      </c>
      <c r="F2625">
        <v>5481</v>
      </c>
      <c r="G2625">
        <v>3513</v>
      </c>
      <c r="H2625" t="s">
        <v>74</v>
      </c>
      <c r="I2625" t="s">
        <v>183</v>
      </c>
    </row>
    <row r="2626" spans="1:9" ht="15" customHeight="1" x14ac:dyDescent="0.35">
      <c r="A2626">
        <v>2022</v>
      </c>
      <c r="B2626" t="s">
        <v>159</v>
      </c>
      <c r="C2626">
        <v>12</v>
      </c>
      <c r="D2626" t="s">
        <v>104</v>
      </c>
      <c r="E2626">
        <v>4180</v>
      </c>
      <c r="F2626">
        <v>5029</v>
      </c>
      <c r="G2626">
        <v>3557</v>
      </c>
      <c r="H2626" t="s">
        <v>74</v>
      </c>
      <c r="I2626" t="s">
        <v>183</v>
      </c>
    </row>
    <row r="2627" spans="1:9" ht="15" customHeight="1" x14ac:dyDescent="0.35">
      <c r="A2627">
        <v>2023</v>
      </c>
      <c r="B2627" t="s">
        <v>147</v>
      </c>
      <c r="C2627">
        <v>1</v>
      </c>
      <c r="D2627" t="s">
        <v>104</v>
      </c>
      <c r="E2627">
        <v>4020</v>
      </c>
      <c r="F2627">
        <v>5131</v>
      </c>
      <c r="G2627">
        <v>3144</v>
      </c>
      <c r="H2627" t="s">
        <v>74</v>
      </c>
      <c r="I2627" t="s">
        <v>183</v>
      </c>
    </row>
    <row r="2628" spans="1:9" ht="15" customHeight="1" x14ac:dyDescent="0.35">
      <c r="A2628">
        <v>2023</v>
      </c>
      <c r="B2628" t="s">
        <v>149</v>
      </c>
      <c r="C2628">
        <v>2</v>
      </c>
      <c r="D2628" t="s">
        <v>104</v>
      </c>
      <c r="E2628">
        <v>4247</v>
      </c>
      <c r="F2628">
        <v>5283</v>
      </c>
      <c r="G2628">
        <v>3522</v>
      </c>
      <c r="H2628" t="s">
        <v>74</v>
      </c>
      <c r="I2628" t="s">
        <v>183</v>
      </c>
    </row>
    <row r="2629" spans="1:9" ht="15" customHeight="1" x14ac:dyDescent="0.35">
      <c r="A2629">
        <v>2023</v>
      </c>
      <c r="B2629" t="s">
        <v>150</v>
      </c>
      <c r="C2629">
        <v>3</v>
      </c>
      <c r="D2629" t="s">
        <v>104</v>
      </c>
      <c r="E2629">
        <v>4722</v>
      </c>
      <c r="F2629">
        <v>5447</v>
      </c>
      <c r="G2629">
        <v>3528</v>
      </c>
      <c r="H2629" t="s">
        <v>74</v>
      </c>
      <c r="I2629" t="s">
        <v>183</v>
      </c>
    </row>
    <row r="2630" spans="1:9" ht="15" customHeight="1" x14ac:dyDescent="0.35">
      <c r="A2630">
        <v>2023</v>
      </c>
      <c r="B2630" t="s">
        <v>151</v>
      </c>
      <c r="C2630">
        <v>4</v>
      </c>
      <c r="D2630" t="s">
        <v>104</v>
      </c>
      <c r="E2630">
        <v>5209</v>
      </c>
      <c r="F2630">
        <v>6875</v>
      </c>
      <c r="G2630">
        <v>3898</v>
      </c>
      <c r="H2630" t="s">
        <v>75</v>
      </c>
      <c r="I2630" t="s">
        <v>183</v>
      </c>
    </row>
    <row r="2631" spans="1:9" ht="15" customHeight="1" x14ac:dyDescent="0.35">
      <c r="A2631">
        <v>2023</v>
      </c>
      <c r="B2631" t="s">
        <v>152</v>
      </c>
      <c r="C2631">
        <v>5</v>
      </c>
      <c r="D2631" t="s">
        <v>104</v>
      </c>
      <c r="E2631">
        <v>5315</v>
      </c>
      <c r="F2631">
        <v>6642</v>
      </c>
      <c r="G2631">
        <v>4219</v>
      </c>
      <c r="H2631" t="s">
        <v>75</v>
      </c>
      <c r="I2631" t="s">
        <v>183</v>
      </c>
    </row>
    <row r="2632" spans="1:9" ht="15" customHeight="1" x14ac:dyDescent="0.35">
      <c r="A2632">
        <v>2023</v>
      </c>
      <c r="B2632" t="s">
        <v>153</v>
      </c>
      <c r="C2632">
        <v>6</v>
      </c>
      <c r="D2632" t="s">
        <v>104</v>
      </c>
      <c r="E2632">
        <v>5242</v>
      </c>
      <c r="F2632">
        <v>6598</v>
      </c>
      <c r="G2632">
        <v>3994</v>
      </c>
      <c r="H2632" t="s">
        <v>75</v>
      </c>
      <c r="I2632" t="s">
        <v>183</v>
      </c>
    </row>
    <row r="2633" spans="1:9" ht="15" customHeight="1" x14ac:dyDescent="0.35">
      <c r="A2633">
        <v>2023</v>
      </c>
      <c r="B2633" t="s">
        <v>154</v>
      </c>
      <c r="C2633">
        <v>7</v>
      </c>
      <c r="D2633" t="s">
        <v>104</v>
      </c>
      <c r="E2633">
        <v>5839</v>
      </c>
      <c r="F2633">
        <v>6964</v>
      </c>
      <c r="G2633">
        <v>4564</v>
      </c>
      <c r="H2633" t="s">
        <v>75</v>
      </c>
      <c r="I2633" t="s">
        <v>183</v>
      </c>
    </row>
    <row r="2634" spans="1:9" ht="15" customHeight="1" x14ac:dyDescent="0.35">
      <c r="A2634">
        <v>2023</v>
      </c>
      <c r="B2634" t="s">
        <v>155</v>
      </c>
      <c r="C2634">
        <v>8</v>
      </c>
      <c r="D2634" t="s">
        <v>104</v>
      </c>
      <c r="E2634">
        <v>5184</v>
      </c>
      <c r="F2634">
        <v>6664</v>
      </c>
      <c r="G2634">
        <v>4099</v>
      </c>
      <c r="H2634" t="s">
        <v>75</v>
      </c>
      <c r="I2634" t="s">
        <v>183</v>
      </c>
    </row>
    <row r="2635" spans="1:9" ht="15" customHeight="1" x14ac:dyDescent="0.35">
      <c r="A2635">
        <v>2023</v>
      </c>
      <c r="B2635" t="s">
        <v>156</v>
      </c>
      <c r="C2635">
        <v>9</v>
      </c>
      <c r="D2635" t="s">
        <v>104</v>
      </c>
      <c r="E2635">
        <v>4847</v>
      </c>
      <c r="F2635">
        <v>5820</v>
      </c>
      <c r="G2635">
        <v>3852</v>
      </c>
      <c r="H2635" t="s">
        <v>75</v>
      </c>
      <c r="I2635" t="s">
        <v>183</v>
      </c>
    </row>
    <row r="2636" spans="1:9" ht="15" customHeight="1" x14ac:dyDescent="0.35">
      <c r="A2636">
        <v>2023</v>
      </c>
      <c r="B2636" t="s">
        <v>157</v>
      </c>
      <c r="C2636">
        <v>10</v>
      </c>
      <c r="D2636" t="s">
        <v>104</v>
      </c>
      <c r="E2636">
        <v>4426</v>
      </c>
      <c r="F2636">
        <v>5568</v>
      </c>
      <c r="G2636">
        <v>3388</v>
      </c>
      <c r="H2636" t="s">
        <v>75</v>
      </c>
      <c r="I2636" t="s">
        <v>183</v>
      </c>
    </row>
    <row r="2637" spans="1:9" ht="15" customHeight="1" x14ac:dyDescent="0.35">
      <c r="A2637">
        <v>2023</v>
      </c>
      <c r="B2637" t="s">
        <v>158</v>
      </c>
      <c r="C2637">
        <v>11</v>
      </c>
      <c r="D2637" t="s">
        <v>104</v>
      </c>
      <c r="E2637">
        <v>4130</v>
      </c>
      <c r="F2637">
        <v>5037</v>
      </c>
      <c r="G2637">
        <v>3402</v>
      </c>
      <c r="H2637" t="s">
        <v>75</v>
      </c>
      <c r="I2637" t="s">
        <v>183</v>
      </c>
    </row>
    <row r="2638" spans="1:9" ht="15" customHeight="1" x14ac:dyDescent="0.35">
      <c r="A2638">
        <v>2023</v>
      </c>
      <c r="B2638" t="s">
        <v>159</v>
      </c>
      <c r="C2638">
        <v>12</v>
      </c>
      <c r="D2638" t="s">
        <v>104</v>
      </c>
      <c r="E2638">
        <v>3980</v>
      </c>
      <c r="F2638">
        <v>5264</v>
      </c>
      <c r="G2638">
        <v>3058</v>
      </c>
      <c r="H2638" t="s">
        <v>75</v>
      </c>
      <c r="I2638" t="s">
        <v>183</v>
      </c>
    </row>
    <row r="2639" spans="1:9" ht="15" customHeight="1" x14ac:dyDescent="0.35">
      <c r="A2639">
        <v>2024</v>
      </c>
      <c r="B2639" t="s">
        <v>147</v>
      </c>
      <c r="C2639">
        <v>1</v>
      </c>
      <c r="D2639" t="s">
        <v>104</v>
      </c>
      <c r="E2639">
        <v>3966</v>
      </c>
      <c r="F2639">
        <v>4947</v>
      </c>
      <c r="G2639">
        <v>3155</v>
      </c>
      <c r="H2639" t="s">
        <v>75</v>
      </c>
      <c r="I2639" t="s">
        <v>183</v>
      </c>
    </row>
    <row r="2640" spans="1:9" ht="15" customHeight="1" x14ac:dyDescent="0.35">
      <c r="A2640">
        <v>2024</v>
      </c>
      <c r="B2640" t="s">
        <v>149</v>
      </c>
      <c r="C2640">
        <v>2</v>
      </c>
      <c r="D2640" t="s">
        <v>104</v>
      </c>
      <c r="E2640">
        <v>4329</v>
      </c>
      <c r="F2640">
        <v>5321</v>
      </c>
      <c r="G2640">
        <v>3359</v>
      </c>
      <c r="H2640" t="s">
        <v>75</v>
      </c>
      <c r="I2640" t="s">
        <v>183</v>
      </c>
    </row>
    <row r="2641" spans="1:9" ht="15" customHeight="1" x14ac:dyDescent="0.35">
      <c r="A2641">
        <v>2024</v>
      </c>
      <c r="B2641" t="s">
        <v>150</v>
      </c>
      <c r="C2641">
        <v>3</v>
      </c>
      <c r="D2641" t="s">
        <v>104</v>
      </c>
      <c r="E2641">
        <v>5106</v>
      </c>
      <c r="F2641">
        <v>5958</v>
      </c>
      <c r="G2641">
        <v>3671</v>
      </c>
      <c r="H2641" t="s">
        <v>75</v>
      </c>
      <c r="I2641" t="s">
        <v>183</v>
      </c>
    </row>
    <row r="2642" spans="1:9" ht="15" customHeight="1" x14ac:dyDescent="0.35">
      <c r="A2642">
        <v>2024</v>
      </c>
      <c r="B2642" t="s">
        <v>151</v>
      </c>
      <c r="C2642">
        <v>4</v>
      </c>
      <c r="D2642" t="s">
        <v>104</v>
      </c>
      <c r="E2642">
        <v>5100</v>
      </c>
      <c r="F2642">
        <v>5958</v>
      </c>
      <c r="G2642">
        <v>3671</v>
      </c>
      <c r="H2642" t="s">
        <v>77</v>
      </c>
      <c r="I2642" t="s">
        <v>183</v>
      </c>
    </row>
    <row r="2643" spans="1:9" ht="15" customHeight="1" x14ac:dyDescent="0.35">
      <c r="A2643">
        <v>2024</v>
      </c>
      <c r="B2643" t="s">
        <v>152</v>
      </c>
      <c r="C2643">
        <v>5</v>
      </c>
      <c r="D2643" t="s">
        <v>104</v>
      </c>
      <c r="E2643">
        <v>5565</v>
      </c>
      <c r="F2643">
        <v>6870</v>
      </c>
      <c r="G2643">
        <v>4049</v>
      </c>
      <c r="H2643" t="s">
        <v>77</v>
      </c>
      <c r="I2643" t="s">
        <v>183</v>
      </c>
    </row>
    <row r="2644" spans="1:9" ht="15" customHeight="1" x14ac:dyDescent="0.35">
      <c r="A2644">
        <v>2024</v>
      </c>
      <c r="B2644" t="s">
        <v>153</v>
      </c>
      <c r="C2644">
        <v>6</v>
      </c>
      <c r="D2644" t="s">
        <v>104</v>
      </c>
      <c r="E2644">
        <v>5555</v>
      </c>
      <c r="F2644">
        <v>7079</v>
      </c>
      <c r="G2644">
        <v>4233</v>
      </c>
      <c r="H2644" t="s">
        <v>77</v>
      </c>
      <c r="I2644" t="s">
        <v>183</v>
      </c>
    </row>
    <row r="2645" spans="1:9" ht="15" customHeight="1" x14ac:dyDescent="0.35">
      <c r="A2645">
        <v>2024</v>
      </c>
      <c r="B2645" t="s">
        <v>154</v>
      </c>
      <c r="C2645">
        <v>7</v>
      </c>
      <c r="D2645" t="s">
        <v>104</v>
      </c>
      <c r="E2645">
        <v>5026</v>
      </c>
      <c r="F2645">
        <v>6355</v>
      </c>
      <c r="G2645">
        <v>4040</v>
      </c>
      <c r="H2645" t="s">
        <v>77</v>
      </c>
      <c r="I2645" t="s">
        <v>183</v>
      </c>
    </row>
    <row r="2646" spans="1:9" ht="15" customHeight="1" x14ac:dyDescent="0.35">
      <c r="A2646">
        <v>2024</v>
      </c>
      <c r="B2646" t="s">
        <v>155</v>
      </c>
      <c r="C2646">
        <v>8</v>
      </c>
      <c r="D2646" t="s">
        <v>104</v>
      </c>
      <c r="E2646">
        <v>4904</v>
      </c>
      <c r="F2646">
        <v>5638</v>
      </c>
      <c r="G2646">
        <v>4247</v>
      </c>
      <c r="H2646" t="s">
        <v>77</v>
      </c>
      <c r="I2646" t="s">
        <v>183</v>
      </c>
    </row>
    <row r="2647" spans="1:9" ht="15" customHeight="1" x14ac:dyDescent="0.35">
      <c r="A2647">
        <v>2024</v>
      </c>
      <c r="B2647" t="s">
        <v>156</v>
      </c>
      <c r="C2647">
        <v>9</v>
      </c>
      <c r="D2647" t="s">
        <v>104</v>
      </c>
      <c r="E2647">
        <v>4985</v>
      </c>
      <c r="F2647">
        <v>6440</v>
      </c>
      <c r="G2647">
        <v>3815</v>
      </c>
      <c r="H2647" t="s">
        <v>77</v>
      </c>
      <c r="I2647" t="s">
        <v>183</v>
      </c>
    </row>
    <row r="2648" spans="1:9" ht="15" customHeight="1" x14ac:dyDescent="0.35">
      <c r="A2648">
        <v>2024</v>
      </c>
      <c r="B2648" t="s">
        <v>157</v>
      </c>
      <c r="C2648">
        <v>10</v>
      </c>
      <c r="D2648" t="s">
        <v>104</v>
      </c>
      <c r="E2648">
        <v>5340</v>
      </c>
      <c r="F2648">
        <v>6281</v>
      </c>
      <c r="G2648">
        <v>3953</v>
      </c>
      <c r="H2648" t="s">
        <v>77</v>
      </c>
      <c r="I2648" t="s">
        <v>183</v>
      </c>
    </row>
    <row r="2649" spans="1:9" ht="15" customHeight="1" x14ac:dyDescent="0.35">
      <c r="A2649">
        <v>2024</v>
      </c>
      <c r="B2649" t="s">
        <v>158</v>
      </c>
      <c r="C2649">
        <v>11</v>
      </c>
      <c r="D2649" t="s">
        <v>104</v>
      </c>
      <c r="E2649">
        <v>4367</v>
      </c>
      <c r="F2649">
        <v>5913</v>
      </c>
      <c r="G2649">
        <v>3201</v>
      </c>
      <c r="H2649" t="s">
        <v>77</v>
      </c>
      <c r="I2649" t="s">
        <v>183</v>
      </c>
    </row>
    <row r="2650" spans="1:9" ht="15" customHeight="1" x14ac:dyDescent="0.35">
      <c r="A2650">
        <v>2024</v>
      </c>
      <c r="B2650" t="s">
        <v>159</v>
      </c>
      <c r="C2650">
        <v>12</v>
      </c>
      <c r="D2650" t="s">
        <v>104</v>
      </c>
      <c r="E2650">
        <v>4011</v>
      </c>
      <c r="F2650">
        <v>5073</v>
      </c>
      <c r="G2650">
        <v>2895</v>
      </c>
      <c r="H2650" t="s">
        <v>77</v>
      </c>
      <c r="I2650" t="s">
        <v>183</v>
      </c>
    </row>
    <row r="2651" spans="1:9" ht="15" customHeight="1" x14ac:dyDescent="0.35">
      <c r="A2651">
        <v>2025</v>
      </c>
      <c r="B2651" t="s">
        <v>147</v>
      </c>
      <c r="C2651">
        <v>1</v>
      </c>
      <c r="D2651" t="s">
        <v>104</v>
      </c>
      <c r="E2651">
        <v>4315</v>
      </c>
      <c r="F2651">
        <v>5409</v>
      </c>
      <c r="G2651">
        <v>3167</v>
      </c>
      <c r="H2651" t="s">
        <v>77</v>
      </c>
      <c r="I2651" t="s">
        <v>183</v>
      </c>
    </row>
    <row r="2652" spans="1:9" ht="15" customHeight="1" x14ac:dyDescent="0.35">
      <c r="A2652">
        <v>2025</v>
      </c>
      <c r="B2652" t="s">
        <v>149</v>
      </c>
      <c r="C2652">
        <v>2</v>
      </c>
      <c r="D2652" t="s">
        <v>104</v>
      </c>
      <c r="E2652">
        <v>4485</v>
      </c>
      <c r="F2652">
        <v>5737</v>
      </c>
      <c r="G2652">
        <v>3432</v>
      </c>
      <c r="H2652" t="s">
        <v>77</v>
      </c>
      <c r="I2652" t="s">
        <v>183</v>
      </c>
    </row>
    <row r="2653" spans="1:9" ht="15" customHeight="1" x14ac:dyDescent="0.35">
      <c r="A2653">
        <v>2025</v>
      </c>
      <c r="B2653" t="s">
        <v>150</v>
      </c>
      <c r="C2653">
        <v>3</v>
      </c>
      <c r="D2653" t="s">
        <v>104</v>
      </c>
      <c r="E2653">
        <v>4946</v>
      </c>
      <c r="F2653">
        <v>6253</v>
      </c>
      <c r="G2653">
        <v>3581</v>
      </c>
      <c r="H2653" t="s">
        <v>77</v>
      </c>
      <c r="I2653" t="s">
        <v>183</v>
      </c>
    </row>
    <row r="2654" spans="1:9" ht="15" customHeight="1" x14ac:dyDescent="0.35">
      <c r="A2654">
        <v>2025</v>
      </c>
      <c r="B2654" t="s">
        <v>151</v>
      </c>
      <c r="C2654">
        <v>4</v>
      </c>
      <c r="D2654" t="s">
        <v>104</v>
      </c>
      <c r="E2654">
        <v>5154</v>
      </c>
      <c r="F2654">
        <v>6608</v>
      </c>
      <c r="G2654">
        <v>3272</v>
      </c>
      <c r="H2654" t="s">
        <v>78</v>
      </c>
      <c r="I2654" t="s">
        <v>183</v>
      </c>
    </row>
    <row r="2655" spans="1:9" ht="15" customHeight="1" x14ac:dyDescent="0.35">
      <c r="A2655">
        <v>2025</v>
      </c>
      <c r="B2655" t="s">
        <v>152</v>
      </c>
      <c r="C2655">
        <v>5</v>
      </c>
      <c r="D2655" t="s">
        <v>104</v>
      </c>
      <c r="E2655">
        <v>5456</v>
      </c>
      <c r="F2655">
        <v>6662</v>
      </c>
      <c r="G2655">
        <v>3028</v>
      </c>
      <c r="H2655" t="s">
        <v>78</v>
      </c>
      <c r="I2655" t="s">
        <v>183</v>
      </c>
    </row>
    <row r="2656" spans="1:9" ht="15" customHeight="1" x14ac:dyDescent="0.35">
      <c r="A2656">
        <v>2025</v>
      </c>
      <c r="B2656" t="s">
        <v>153</v>
      </c>
      <c r="C2656">
        <v>6</v>
      </c>
      <c r="D2656" t="s">
        <v>104</v>
      </c>
      <c r="E2656">
        <v>5390</v>
      </c>
      <c r="F2656">
        <v>7112</v>
      </c>
      <c r="G2656">
        <v>4183</v>
      </c>
      <c r="H2656" t="s">
        <v>78</v>
      </c>
      <c r="I2656" t="s">
        <v>183</v>
      </c>
    </row>
    <row r="2657" spans="1:9" ht="15" customHeight="1" x14ac:dyDescent="0.35">
      <c r="A2657">
        <v>2025</v>
      </c>
      <c r="B2657" t="s">
        <v>154</v>
      </c>
      <c r="C2657">
        <v>7</v>
      </c>
      <c r="D2657" t="s">
        <v>104</v>
      </c>
      <c r="E2657">
        <v>5536</v>
      </c>
      <c r="F2657">
        <v>6838</v>
      </c>
      <c r="G2657">
        <v>4080</v>
      </c>
      <c r="H2657" t="s">
        <v>78</v>
      </c>
      <c r="I2657" t="s">
        <v>183</v>
      </c>
    </row>
    <row r="2658" spans="1:9" ht="15" customHeight="1" x14ac:dyDescent="0.35">
      <c r="A2658">
        <v>2025</v>
      </c>
      <c r="B2658" t="s">
        <v>155</v>
      </c>
      <c r="C2658">
        <v>8</v>
      </c>
      <c r="D2658" t="s">
        <v>104</v>
      </c>
      <c r="E2658">
        <v>5730</v>
      </c>
      <c r="F2658">
        <v>7005</v>
      </c>
      <c r="G2658">
        <v>4459</v>
      </c>
      <c r="H2658" t="s">
        <v>78</v>
      </c>
      <c r="I2658" t="s">
        <v>183</v>
      </c>
    </row>
    <row r="2659" spans="1:9" ht="15" customHeight="1" x14ac:dyDescent="0.35">
      <c r="A2659">
        <v>2025</v>
      </c>
      <c r="B2659" t="s">
        <v>156</v>
      </c>
      <c r="C2659">
        <v>9</v>
      </c>
      <c r="D2659" t="s">
        <v>104</v>
      </c>
      <c r="E2659">
        <v>5483</v>
      </c>
      <c r="F2659">
        <v>6652</v>
      </c>
      <c r="G2659">
        <v>4130</v>
      </c>
      <c r="H2659" t="s">
        <v>78</v>
      </c>
      <c r="I2659" t="s">
        <v>183</v>
      </c>
    </row>
    <row r="2660" spans="1:9" ht="15" customHeight="1" x14ac:dyDescent="0.35">
      <c r="A2660">
        <v>2025</v>
      </c>
      <c r="B2660" t="s">
        <v>157</v>
      </c>
      <c r="C2660">
        <v>10</v>
      </c>
      <c r="D2660" t="s">
        <v>104</v>
      </c>
      <c r="E2660">
        <v>5122</v>
      </c>
      <c r="F2660">
        <v>6235</v>
      </c>
      <c r="G2660">
        <v>4105</v>
      </c>
      <c r="H2660" t="s">
        <v>78</v>
      </c>
      <c r="I2660" t="s">
        <v>183</v>
      </c>
    </row>
    <row r="2661" spans="1:9" ht="15" customHeight="1" x14ac:dyDescent="0.35">
      <c r="A2661">
        <v>2025</v>
      </c>
      <c r="B2661" t="s">
        <v>158</v>
      </c>
      <c r="C2661">
        <v>11</v>
      </c>
      <c r="D2661" t="s">
        <v>104</v>
      </c>
      <c r="E2661">
        <v>4378</v>
      </c>
      <c r="F2661">
        <v>5782</v>
      </c>
      <c r="G2661">
        <v>3252</v>
      </c>
      <c r="H2661" t="s">
        <v>78</v>
      </c>
      <c r="I2661" t="s">
        <v>183</v>
      </c>
    </row>
    <row r="2662" spans="1:9" ht="15" customHeight="1" x14ac:dyDescent="0.35">
      <c r="A2662">
        <v>2025</v>
      </c>
      <c r="B2662" t="s">
        <v>159</v>
      </c>
      <c r="C2662">
        <v>12</v>
      </c>
      <c r="D2662" t="s">
        <v>104</v>
      </c>
      <c r="E2662">
        <v>4169</v>
      </c>
      <c r="F2662">
        <v>5437</v>
      </c>
      <c r="G2662">
        <v>3278</v>
      </c>
      <c r="H2662" t="s">
        <v>78</v>
      </c>
      <c r="I2662" t="s">
        <v>183</v>
      </c>
    </row>
    <row r="2663" spans="1:9" ht="15" customHeight="1" x14ac:dyDescent="0.35">
      <c r="A2663">
        <v>2026</v>
      </c>
      <c r="B2663" t="s">
        <v>147</v>
      </c>
      <c r="C2663">
        <v>1</v>
      </c>
      <c r="D2663" t="s">
        <v>104</v>
      </c>
      <c r="E2663">
        <v>4392</v>
      </c>
      <c r="F2663">
        <v>5657</v>
      </c>
      <c r="G2663">
        <v>3217</v>
      </c>
      <c r="H2663" t="s">
        <v>78</v>
      </c>
      <c r="I2663" t="s">
        <v>183</v>
      </c>
    </row>
    <row r="2664" spans="1:9" ht="15" customHeight="1" x14ac:dyDescent="0.35">
      <c r="A2664">
        <v>2026</v>
      </c>
      <c r="B2664" t="s">
        <v>149</v>
      </c>
      <c r="C2664">
        <v>2</v>
      </c>
      <c r="D2664" t="s">
        <v>104</v>
      </c>
      <c r="E2664">
        <v>4742</v>
      </c>
      <c r="F2664">
        <v>6106</v>
      </c>
      <c r="G2664">
        <v>3955</v>
      </c>
      <c r="H2664" t="s">
        <v>78</v>
      </c>
      <c r="I2664" t="s">
        <v>183</v>
      </c>
    </row>
    <row r="2665" spans="1:9" ht="15" customHeight="1" x14ac:dyDescent="0.35">
      <c r="A2665">
        <v>2026</v>
      </c>
      <c r="B2665" t="s">
        <v>150</v>
      </c>
      <c r="C2665">
        <v>3</v>
      </c>
      <c r="D2665" t="s">
        <v>104</v>
      </c>
      <c r="E2665">
        <v>4392</v>
      </c>
      <c r="F2665">
        <v>5657</v>
      </c>
      <c r="G2665">
        <v>3217</v>
      </c>
      <c r="H2665" t="s">
        <v>78</v>
      </c>
      <c r="I2665" t="s">
        <v>183</v>
      </c>
    </row>
    <row r="2666" spans="1:9" ht="15" customHeight="1" x14ac:dyDescent="0.35">
      <c r="A2666">
        <v>2017</v>
      </c>
      <c r="B2666" t="s">
        <v>147</v>
      </c>
      <c r="C2666">
        <v>1</v>
      </c>
      <c r="D2666" t="s">
        <v>106</v>
      </c>
      <c r="E2666">
        <v>245</v>
      </c>
      <c r="F2666">
        <v>317</v>
      </c>
      <c r="G2666">
        <v>153</v>
      </c>
      <c r="H2666" t="s">
        <v>122</v>
      </c>
      <c r="I2666" t="s">
        <v>184</v>
      </c>
    </row>
    <row r="2667" spans="1:9" ht="15" customHeight="1" x14ac:dyDescent="0.35">
      <c r="A2667">
        <v>2017</v>
      </c>
      <c r="B2667" t="s">
        <v>149</v>
      </c>
      <c r="C2667">
        <v>2</v>
      </c>
      <c r="D2667" t="s">
        <v>106</v>
      </c>
      <c r="E2667">
        <v>258</v>
      </c>
      <c r="F2667">
        <v>325</v>
      </c>
      <c r="G2667">
        <v>176</v>
      </c>
      <c r="H2667" t="s">
        <v>122</v>
      </c>
      <c r="I2667" t="s">
        <v>184</v>
      </c>
    </row>
    <row r="2668" spans="1:9" ht="15" customHeight="1" x14ac:dyDescent="0.35">
      <c r="A2668">
        <v>2017</v>
      </c>
      <c r="B2668" t="s">
        <v>150</v>
      </c>
      <c r="C2668">
        <v>3</v>
      </c>
      <c r="D2668" t="s">
        <v>106</v>
      </c>
      <c r="E2668">
        <v>291</v>
      </c>
      <c r="F2668">
        <v>345</v>
      </c>
      <c r="G2668">
        <v>211</v>
      </c>
      <c r="H2668" t="s">
        <v>122</v>
      </c>
      <c r="I2668" t="s">
        <v>184</v>
      </c>
    </row>
    <row r="2669" spans="1:9" ht="15" customHeight="1" x14ac:dyDescent="0.35">
      <c r="A2669">
        <v>2017</v>
      </c>
      <c r="B2669" t="s">
        <v>151</v>
      </c>
      <c r="C2669">
        <v>4</v>
      </c>
      <c r="D2669" t="s">
        <v>106</v>
      </c>
      <c r="E2669">
        <v>316</v>
      </c>
      <c r="F2669">
        <v>372</v>
      </c>
      <c r="G2669">
        <v>244</v>
      </c>
      <c r="H2669" t="s">
        <v>123</v>
      </c>
      <c r="I2669" t="s">
        <v>184</v>
      </c>
    </row>
    <row r="2670" spans="1:9" ht="15" customHeight="1" x14ac:dyDescent="0.35">
      <c r="A2670">
        <v>2017</v>
      </c>
      <c r="B2670" t="s">
        <v>152</v>
      </c>
      <c r="C2670">
        <v>5</v>
      </c>
      <c r="D2670" t="s">
        <v>106</v>
      </c>
      <c r="E2670">
        <v>313</v>
      </c>
      <c r="F2670">
        <v>386</v>
      </c>
      <c r="G2670">
        <v>77</v>
      </c>
      <c r="H2670" t="s">
        <v>123</v>
      </c>
      <c r="I2670" t="s">
        <v>184</v>
      </c>
    </row>
    <row r="2671" spans="1:9" ht="15" customHeight="1" x14ac:dyDescent="0.35">
      <c r="A2671">
        <v>2017</v>
      </c>
      <c r="B2671" t="s">
        <v>153</v>
      </c>
      <c r="C2671">
        <v>6</v>
      </c>
      <c r="D2671" t="s">
        <v>106</v>
      </c>
      <c r="E2671">
        <v>312</v>
      </c>
      <c r="F2671">
        <v>370</v>
      </c>
      <c r="G2671">
        <v>217</v>
      </c>
      <c r="H2671" t="s">
        <v>123</v>
      </c>
      <c r="I2671" t="s">
        <v>184</v>
      </c>
    </row>
    <row r="2672" spans="1:9" ht="15" customHeight="1" x14ac:dyDescent="0.35">
      <c r="A2672">
        <v>2017</v>
      </c>
      <c r="B2672" t="s">
        <v>154</v>
      </c>
      <c r="C2672">
        <v>7</v>
      </c>
      <c r="D2672" t="s">
        <v>106</v>
      </c>
      <c r="E2672">
        <v>299</v>
      </c>
      <c r="F2672">
        <v>370</v>
      </c>
      <c r="G2672">
        <v>102</v>
      </c>
      <c r="H2672" t="s">
        <v>123</v>
      </c>
      <c r="I2672" t="s">
        <v>184</v>
      </c>
    </row>
    <row r="2673" spans="1:9" ht="15" customHeight="1" x14ac:dyDescent="0.35">
      <c r="A2673">
        <v>2017</v>
      </c>
      <c r="B2673" t="s">
        <v>155</v>
      </c>
      <c r="C2673">
        <v>8</v>
      </c>
      <c r="D2673" t="s">
        <v>106</v>
      </c>
      <c r="E2673">
        <v>293</v>
      </c>
      <c r="F2673">
        <v>358</v>
      </c>
      <c r="G2673">
        <v>207</v>
      </c>
      <c r="H2673" t="s">
        <v>123</v>
      </c>
      <c r="I2673" t="s">
        <v>184</v>
      </c>
    </row>
    <row r="2674" spans="1:9" ht="15" customHeight="1" x14ac:dyDescent="0.35">
      <c r="A2674">
        <v>2017</v>
      </c>
      <c r="B2674" t="s">
        <v>156</v>
      </c>
      <c r="C2674">
        <v>9</v>
      </c>
      <c r="D2674" t="s">
        <v>106</v>
      </c>
      <c r="E2674">
        <v>294</v>
      </c>
      <c r="F2674">
        <v>361</v>
      </c>
      <c r="G2674">
        <v>173</v>
      </c>
      <c r="H2674" t="s">
        <v>123</v>
      </c>
      <c r="I2674" t="s">
        <v>184</v>
      </c>
    </row>
    <row r="2675" spans="1:9" ht="15" customHeight="1" x14ac:dyDescent="0.35">
      <c r="A2675">
        <v>2017</v>
      </c>
      <c r="B2675" t="s">
        <v>157</v>
      </c>
      <c r="C2675">
        <v>10</v>
      </c>
      <c r="D2675" t="s">
        <v>106</v>
      </c>
      <c r="E2675">
        <v>285</v>
      </c>
      <c r="F2675">
        <v>356</v>
      </c>
      <c r="G2675">
        <v>181</v>
      </c>
      <c r="H2675" t="s">
        <v>123</v>
      </c>
      <c r="I2675" t="s">
        <v>184</v>
      </c>
    </row>
    <row r="2676" spans="1:9" ht="15" customHeight="1" x14ac:dyDescent="0.35">
      <c r="A2676">
        <v>2017</v>
      </c>
      <c r="B2676" t="s">
        <v>158</v>
      </c>
      <c r="C2676">
        <v>11</v>
      </c>
      <c r="D2676" t="s">
        <v>106</v>
      </c>
      <c r="E2676">
        <v>269</v>
      </c>
      <c r="F2676">
        <v>343</v>
      </c>
      <c r="G2676">
        <v>173</v>
      </c>
      <c r="H2676" t="s">
        <v>123</v>
      </c>
      <c r="I2676" t="s">
        <v>184</v>
      </c>
    </row>
    <row r="2677" spans="1:9" ht="15" customHeight="1" x14ac:dyDescent="0.35">
      <c r="A2677">
        <v>2017</v>
      </c>
      <c r="B2677" t="s">
        <v>159</v>
      </c>
      <c r="C2677">
        <v>12</v>
      </c>
      <c r="D2677" t="s">
        <v>106</v>
      </c>
      <c r="E2677">
        <v>268</v>
      </c>
      <c r="F2677">
        <v>334</v>
      </c>
      <c r="G2677">
        <v>188</v>
      </c>
      <c r="H2677" t="s">
        <v>123</v>
      </c>
      <c r="I2677" t="s">
        <v>184</v>
      </c>
    </row>
    <row r="2678" spans="1:9" ht="15" customHeight="1" x14ac:dyDescent="0.35">
      <c r="A2678">
        <v>2018</v>
      </c>
      <c r="B2678" t="s">
        <v>147</v>
      </c>
      <c r="C2678">
        <v>1</v>
      </c>
      <c r="D2678" t="s">
        <v>106</v>
      </c>
      <c r="E2678">
        <v>258</v>
      </c>
      <c r="F2678">
        <v>330</v>
      </c>
      <c r="G2678">
        <v>174</v>
      </c>
      <c r="H2678" t="s">
        <v>123</v>
      </c>
      <c r="I2678" t="s">
        <v>184</v>
      </c>
    </row>
    <row r="2679" spans="1:9" ht="15" customHeight="1" x14ac:dyDescent="0.35">
      <c r="A2679">
        <v>2018</v>
      </c>
      <c r="B2679" t="s">
        <v>149</v>
      </c>
      <c r="C2679">
        <v>2</v>
      </c>
      <c r="D2679" t="s">
        <v>106</v>
      </c>
      <c r="E2679">
        <v>283</v>
      </c>
      <c r="F2679">
        <v>368</v>
      </c>
      <c r="G2679">
        <v>196</v>
      </c>
      <c r="H2679" t="s">
        <v>123</v>
      </c>
      <c r="I2679" t="s">
        <v>184</v>
      </c>
    </row>
    <row r="2680" spans="1:9" ht="15" customHeight="1" x14ac:dyDescent="0.35">
      <c r="A2680">
        <v>2018</v>
      </c>
      <c r="B2680" t="s">
        <v>150</v>
      </c>
      <c r="C2680">
        <v>3</v>
      </c>
      <c r="D2680" t="s">
        <v>106</v>
      </c>
      <c r="E2680">
        <v>301</v>
      </c>
      <c r="F2680">
        <v>357</v>
      </c>
      <c r="G2680">
        <v>215</v>
      </c>
      <c r="H2680" t="s">
        <v>123</v>
      </c>
      <c r="I2680" t="s">
        <v>184</v>
      </c>
    </row>
    <row r="2681" spans="1:9" ht="15" customHeight="1" x14ac:dyDescent="0.35">
      <c r="A2681">
        <v>2018</v>
      </c>
      <c r="B2681" t="s">
        <v>151</v>
      </c>
      <c r="C2681">
        <v>4</v>
      </c>
      <c r="D2681" t="s">
        <v>106</v>
      </c>
      <c r="E2681">
        <v>328</v>
      </c>
      <c r="F2681">
        <v>391</v>
      </c>
      <c r="G2681">
        <v>250</v>
      </c>
      <c r="H2681" t="s">
        <v>124</v>
      </c>
      <c r="I2681" t="s">
        <v>184</v>
      </c>
    </row>
    <row r="2682" spans="1:9" ht="15" customHeight="1" x14ac:dyDescent="0.35">
      <c r="A2682">
        <v>2018</v>
      </c>
      <c r="B2682" t="s">
        <v>152</v>
      </c>
      <c r="C2682">
        <v>5</v>
      </c>
      <c r="D2682" t="s">
        <v>106</v>
      </c>
      <c r="E2682">
        <v>335</v>
      </c>
      <c r="F2682">
        <v>395</v>
      </c>
      <c r="G2682">
        <v>78</v>
      </c>
      <c r="H2682" t="s">
        <v>124</v>
      </c>
      <c r="I2682" t="s">
        <v>184</v>
      </c>
    </row>
    <row r="2683" spans="1:9" ht="15" customHeight="1" x14ac:dyDescent="0.35">
      <c r="A2683">
        <v>2018</v>
      </c>
      <c r="B2683" t="s">
        <v>153</v>
      </c>
      <c r="C2683">
        <v>6</v>
      </c>
      <c r="D2683" t="s">
        <v>106</v>
      </c>
      <c r="E2683">
        <v>325</v>
      </c>
      <c r="F2683">
        <v>385</v>
      </c>
      <c r="G2683">
        <v>153</v>
      </c>
      <c r="H2683" t="s">
        <v>124</v>
      </c>
      <c r="I2683" t="s">
        <v>184</v>
      </c>
    </row>
    <row r="2684" spans="1:9" ht="15" customHeight="1" x14ac:dyDescent="0.35">
      <c r="A2684">
        <v>2018</v>
      </c>
      <c r="B2684" t="s">
        <v>154</v>
      </c>
      <c r="C2684">
        <v>7</v>
      </c>
      <c r="D2684" t="s">
        <v>106</v>
      </c>
      <c r="E2684">
        <v>322</v>
      </c>
      <c r="F2684">
        <v>382</v>
      </c>
      <c r="G2684">
        <v>202</v>
      </c>
      <c r="H2684" t="s">
        <v>124</v>
      </c>
      <c r="I2684" t="s">
        <v>184</v>
      </c>
    </row>
    <row r="2685" spans="1:9" ht="15" customHeight="1" x14ac:dyDescent="0.35">
      <c r="A2685">
        <v>2018</v>
      </c>
      <c r="B2685" t="s">
        <v>155</v>
      </c>
      <c r="C2685">
        <v>8</v>
      </c>
      <c r="D2685" t="s">
        <v>106</v>
      </c>
      <c r="E2685">
        <v>305</v>
      </c>
      <c r="F2685">
        <v>379</v>
      </c>
      <c r="G2685">
        <v>214</v>
      </c>
      <c r="H2685" t="s">
        <v>124</v>
      </c>
      <c r="I2685" t="s">
        <v>184</v>
      </c>
    </row>
    <row r="2686" spans="1:9" ht="15" customHeight="1" x14ac:dyDescent="0.35">
      <c r="A2686">
        <v>2018</v>
      </c>
      <c r="B2686" t="s">
        <v>156</v>
      </c>
      <c r="C2686">
        <v>9</v>
      </c>
      <c r="D2686" t="s">
        <v>106</v>
      </c>
      <c r="E2686">
        <v>305</v>
      </c>
      <c r="F2686">
        <v>362</v>
      </c>
      <c r="G2686">
        <v>159</v>
      </c>
      <c r="H2686" t="s">
        <v>124</v>
      </c>
      <c r="I2686" t="s">
        <v>184</v>
      </c>
    </row>
    <row r="2687" spans="1:9" ht="15" customHeight="1" x14ac:dyDescent="0.35">
      <c r="A2687">
        <v>2018</v>
      </c>
      <c r="B2687" t="s">
        <v>157</v>
      </c>
      <c r="C2687">
        <v>10</v>
      </c>
      <c r="D2687" t="s">
        <v>106</v>
      </c>
      <c r="E2687">
        <v>289</v>
      </c>
      <c r="F2687">
        <v>360</v>
      </c>
      <c r="G2687">
        <v>214</v>
      </c>
      <c r="H2687" t="s">
        <v>124</v>
      </c>
      <c r="I2687" t="s">
        <v>184</v>
      </c>
    </row>
    <row r="2688" spans="1:9" ht="15" customHeight="1" x14ac:dyDescent="0.35">
      <c r="A2688">
        <v>2018</v>
      </c>
      <c r="B2688" t="s">
        <v>158</v>
      </c>
      <c r="C2688">
        <v>11</v>
      </c>
      <c r="D2688" t="s">
        <v>106</v>
      </c>
      <c r="E2688">
        <v>271</v>
      </c>
      <c r="F2688">
        <v>340</v>
      </c>
      <c r="G2688">
        <v>100</v>
      </c>
      <c r="H2688" t="s">
        <v>124</v>
      </c>
      <c r="I2688" t="s">
        <v>184</v>
      </c>
    </row>
    <row r="2689" spans="1:9" ht="15" customHeight="1" x14ac:dyDescent="0.35">
      <c r="A2689">
        <v>2018</v>
      </c>
      <c r="B2689" t="s">
        <v>159</v>
      </c>
      <c r="C2689">
        <v>12</v>
      </c>
      <c r="D2689" t="s">
        <v>106</v>
      </c>
      <c r="E2689">
        <v>275</v>
      </c>
      <c r="F2689">
        <v>350</v>
      </c>
      <c r="G2689">
        <v>186</v>
      </c>
      <c r="H2689" t="s">
        <v>124</v>
      </c>
      <c r="I2689" t="s">
        <v>184</v>
      </c>
    </row>
    <row r="2690" spans="1:9" ht="15" customHeight="1" x14ac:dyDescent="0.35">
      <c r="A2690">
        <v>2019</v>
      </c>
      <c r="B2690" t="s">
        <v>147</v>
      </c>
      <c r="C2690">
        <v>1</v>
      </c>
      <c r="D2690" t="s">
        <v>106</v>
      </c>
      <c r="E2690">
        <v>293</v>
      </c>
      <c r="F2690">
        <v>381</v>
      </c>
      <c r="G2690">
        <v>202</v>
      </c>
      <c r="H2690" t="s">
        <v>124</v>
      </c>
      <c r="I2690" t="s">
        <v>184</v>
      </c>
    </row>
    <row r="2691" spans="1:9" ht="15" customHeight="1" x14ac:dyDescent="0.35">
      <c r="A2691">
        <v>2019</v>
      </c>
      <c r="B2691" t="s">
        <v>149</v>
      </c>
      <c r="C2691">
        <v>2</v>
      </c>
      <c r="D2691" t="s">
        <v>106</v>
      </c>
      <c r="E2691">
        <v>308</v>
      </c>
      <c r="F2691">
        <v>390</v>
      </c>
      <c r="G2691">
        <v>216</v>
      </c>
      <c r="H2691" t="s">
        <v>124</v>
      </c>
      <c r="I2691" t="s">
        <v>184</v>
      </c>
    </row>
    <row r="2692" spans="1:9" ht="15" customHeight="1" x14ac:dyDescent="0.35">
      <c r="A2692">
        <v>2019</v>
      </c>
      <c r="B2692" t="s">
        <v>150</v>
      </c>
      <c r="C2692">
        <v>3</v>
      </c>
      <c r="D2692" t="s">
        <v>106</v>
      </c>
      <c r="E2692">
        <v>335</v>
      </c>
      <c r="F2692">
        <v>400</v>
      </c>
      <c r="G2692">
        <v>247</v>
      </c>
      <c r="H2692" t="s">
        <v>124</v>
      </c>
      <c r="I2692" t="s">
        <v>184</v>
      </c>
    </row>
    <row r="2693" spans="1:9" ht="15" customHeight="1" x14ac:dyDescent="0.35">
      <c r="A2693">
        <v>2019</v>
      </c>
      <c r="B2693" t="s">
        <v>151</v>
      </c>
      <c r="C2693">
        <v>4</v>
      </c>
      <c r="D2693" t="s">
        <v>106</v>
      </c>
      <c r="E2693">
        <v>361</v>
      </c>
      <c r="F2693">
        <v>434</v>
      </c>
      <c r="G2693">
        <v>247</v>
      </c>
      <c r="H2693" t="s">
        <v>71</v>
      </c>
      <c r="I2693" t="s">
        <v>184</v>
      </c>
    </row>
    <row r="2694" spans="1:9" ht="15" customHeight="1" x14ac:dyDescent="0.35">
      <c r="A2694">
        <v>2019</v>
      </c>
      <c r="B2694" t="s">
        <v>152</v>
      </c>
      <c r="C2694">
        <v>5</v>
      </c>
      <c r="D2694" t="s">
        <v>106</v>
      </c>
      <c r="E2694">
        <v>365</v>
      </c>
      <c r="F2694">
        <v>443</v>
      </c>
      <c r="G2694">
        <v>68</v>
      </c>
      <c r="H2694" t="s">
        <v>71</v>
      </c>
      <c r="I2694" t="s">
        <v>184</v>
      </c>
    </row>
    <row r="2695" spans="1:9" ht="15" customHeight="1" x14ac:dyDescent="0.35">
      <c r="A2695">
        <v>2019</v>
      </c>
      <c r="B2695" t="s">
        <v>153</v>
      </c>
      <c r="C2695">
        <v>6</v>
      </c>
      <c r="D2695" t="s">
        <v>106</v>
      </c>
      <c r="E2695">
        <v>368</v>
      </c>
      <c r="F2695">
        <v>461</v>
      </c>
      <c r="G2695">
        <v>279</v>
      </c>
      <c r="H2695" t="s">
        <v>71</v>
      </c>
      <c r="I2695" t="s">
        <v>184</v>
      </c>
    </row>
    <row r="2696" spans="1:9" ht="15" customHeight="1" x14ac:dyDescent="0.35">
      <c r="A2696">
        <v>2019</v>
      </c>
      <c r="B2696" t="s">
        <v>154</v>
      </c>
      <c r="C2696">
        <v>7</v>
      </c>
      <c r="D2696" t="s">
        <v>106</v>
      </c>
      <c r="E2696">
        <v>341</v>
      </c>
      <c r="F2696">
        <v>456</v>
      </c>
      <c r="G2696">
        <v>220</v>
      </c>
      <c r="H2696" t="s">
        <v>71</v>
      </c>
      <c r="I2696" t="s">
        <v>184</v>
      </c>
    </row>
    <row r="2697" spans="1:9" ht="15" customHeight="1" x14ac:dyDescent="0.35">
      <c r="A2697">
        <v>2019</v>
      </c>
      <c r="B2697" t="s">
        <v>155</v>
      </c>
      <c r="C2697">
        <v>8</v>
      </c>
      <c r="D2697" t="s">
        <v>106</v>
      </c>
      <c r="E2697">
        <v>326</v>
      </c>
      <c r="F2697">
        <v>408</v>
      </c>
      <c r="G2697">
        <v>211</v>
      </c>
      <c r="H2697" t="s">
        <v>71</v>
      </c>
      <c r="I2697" t="s">
        <v>184</v>
      </c>
    </row>
    <row r="2698" spans="1:9" ht="15" customHeight="1" x14ac:dyDescent="0.35">
      <c r="A2698">
        <v>2019</v>
      </c>
      <c r="B2698" t="s">
        <v>156</v>
      </c>
      <c r="C2698">
        <v>9</v>
      </c>
      <c r="D2698" t="s">
        <v>106</v>
      </c>
      <c r="E2698">
        <v>314</v>
      </c>
      <c r="F2698">
        <v>403</v>
      </c>
      <c r="G2698">
        <v>237</v>
      </c>
      <c r="H2698" t="s">
        <v>71</v>
      </c>
      <c r="I2698" t="s">
        <v>184</v>
      </c>
    </row>
    <row r="2699" spans="1:9" ht="15" customHeight="1" x14ac:dyDescent="0.35">
      <c r="A2699">
        <v>2019</v>
      </c>
      <c r="B2699" t="s">
        <v>157</v>
      </c>
      <c r="C2699">
        <v>10</v>
      </c>
      <c r="D2699" t="s">
        <v>106</v>
      </c>
      <c r="E2699">
        <v>306</v>
      </c>
      <c r="F2699">
        <v>400</v>
      </c>
      <c r="G2699">
        <v>172</v>
      </c>
      <c r="H2699" t="s">
        <v>71</v>
      </c>
      <c r="I2699" t="s">
        <v>184</v>
      </c>
    </row>
    <row r="2700" spans="1:9" ht="15" customHeight="1" x14ac:dyDescent="0.35">
      <c r="A2700">
        <v>2019</v>
      </c>
      <c r="B2700" t="s">
        <v>158</v>
      </c>
      <c r="C2700">
        <v>11</v>
      </c>
      <c r="D2700" t="s">
        <v>106</v>
      </c>
      <c r="E2700">
        <v>297</v>
      </c>
      <c r="F2700">
        <v>378</v>
      </c>
      <c r="G2700">
        <v>201</v>
      </c>
      <c r="H2700" t="s">
        <v>71</v>
      </c>
      <c r="I2700" t="s">
        <v>184</v>
      </c>
    </row>
    <row r="2701" spans="1:9" ht="15" customHeight="1" x14ac:dyDescent="0.35">
      <c r="A2701">
        <v>2019</v>
      </c>
      <c r="B2701" t="s">
        <v>159</v>
      </c>
      <c r="C2701">
        <v>12</v>
      </c>
      <c r="D2701" t="s">
        <v>106</v>
      </c>
      <c r="E2701">
        <v>278</v>
      </c>
      <c r="F2701">
        <v>365</v>
      </c>
      <c r="G2701">
        <v>198</v>
      </c>
      <c r="H2701" t="s">
        <v>71</v>
      </c>
      <c r="I2701" t="s">
        <v>184</v>
      </c>
    </row>
    <row r="2702" spans="1:9" ht="15" customHeight="1" x14ac:dyDescent="0.35">
      <c r="A2702">
        <v>2020</v>
      </c>
      <c r="B2702" t="s">
        <v>147</v>
      </c>
      <c r="C2702">
        <v>1</v>
      </c>
      <c r="D2702" t="s">
        <v>106</v>
      </c>
      <c r="E2702">
        <v>284</v>
      </c>
      <c r="F2702">
        <v>382</v>
      </c>
      <c r="G2702">
        <v>172</v>
      </c>
      <c r="H2702" t="s">
        <v>71</v>
      </c>
      <c r="I2702" t="s">
        <v>184</v>
      </c>
    </row>
    <row r="2703" spans="1:9" ht="15" customHeight="1" x14ac:dyDescent="0.35">
      <c r="A2703">
        <v>2020</v>
      </c>
      <c r="B2703" t="s">
        <v>149</v>
      </c>
      <c r="C2703">
        <v>2</v>
      </c>
      <c r="D2703" t="s">
        <v>106</v>
      </c>
      <c r="E2703">
        <v>312</v>
      </c>
      <c r="F2703">
        <v>384</v>
      </c>
      <c r="G2703">
        <v>235</v>
      </c>
      <c r="H2703" t="s">
        <v>71</v>
      </c>
      <c r="I2703" t="s">
        <v>184</v>
      </c>
    </row>
    <row r="2704" spans="1:9" ht="15" customHeight="1" x14ac:dyDescent="0.35">
      <c r="A2704">
        <v>2020</v>
      </c>
      <c r="B2704" t="s">
        <v>150</v>
      </c>
      <c r="C2704">
        <v>3</v>
      </c>
      <c r="D2704" t="s">
        <v>106</v>
      </c>
      <c r="E2704">
        <v>289</v>
      </c>
      <c r="F2704">
        <v>398</v>
      </c>
      <c r="G2704">
        <v>140</v>
      </c>
      <c r="H2704" t="s">
        <v>71</v>
      </c>
      <c r="I2704" t="s">
        <v>184</v>
      </c>
    </row>
    <row r="2705" spans="1:9" ht="15" customHeight="1" x14ac:dyDescent="0.35">
      <c r="A2705">
        <v>2020</v>
      </c>
      <c r="B2705" t="s">
        <v>151</v>
      </c>
      <c r="C2705">
        <v>4</v>
      </c>
      <c r="D2705" t="s">
        <v>106</v>
      </c>
      <c r="E2705">
        <v>208</v>
      </c>
      <c r="F2705">
        <v>289</v>
      </c>
      <c r="G2705">
        <v>92</v>
      </c>
      <c r="H2705" t="s">
        <v>72</v>
      </c>
      <c r="I2705" t="s">
        <v>184</v>
      </c>
    </row>
    <row r="2706" spans="1:9" ht="15" customHeight="1" x14ac:dyDescent="0.35">
      <c r="A2706">
        <v>2020</v>
      </c>
      <c r="B2706" t="s">
        <v>152</v>
      </c>
      <c r="C2706">
        <v>5</v>
      </c>
      <c r="D2706" t="s">
        <v>106</v>
      </c>
      <c r="E2706">
        <v>304</v>
      </c>
      <c r="F2706">
        <v>408</v>
      </c>
      <c r="G2706">
        <v>200</v>
      </c>
      <c r="H2706" t="s">
        <v>72</v>
      </c>
      <c r="I2706" t="s">
        <v>184</v>
      </c>
    </row>
    <row r="2707" spans="1:9" ht="15" customHeight="1" x14ac:dyDescent="0.35">
      <c r="A2707">
        <v>2020</v>
      </c>
      <c r="B2707" t="s">
        <v>153</v>
      </c>
      <c r="C2707">
        <v>6</v>
      </c>
      <c r="D2707" t="s">
        <v>106</v>
      </c>
      <c r="E2707">
        <v>323</v>
      </c>
      <c r="F2707">
        <v>396</v>
      </c>
      <c r="G2707">
        <v>251</v>
      </c>
      <c r="H2707" t="s">
        <v>72</v>
      </c>
      <c r="I2707" t="s">
        <v>184</v>
      </c>
    </row>
    <row r="2708" spans="1:9" ht="15" customHeight="1" x14ac:dyDescent="0.35">
      <c r="A2708">
        <v>2020</v>
      </c>
      <c r="B2708" t="s">
        <v>154</v>
      </c>
      <c r="C2708">
        <v>7</v>
      </c>
      <c r="D2708" t="s">
        <v>106</v>
      </c>
      <c r="E2708">
        <v>307</v>
      </c>
      <c r="F2708">
        <v>393</v>
      </c>
      <c r="G2708">
        <v>233</v>
      </c>
      <c r="H2708" t="s">
        <v>72</v>
      </c>
      <c r="I2708" t="s">
        <v>184</v>
      </c>
    </row>
    <row r="2709" spans="1:9" ht="15" customHeight="1" x14ac:dyDescent="0.35">
      <c r="A2709">
        <v>2020</v>
      </c>
      <c r="B2709" t="s">
        <v>155</v>
      </c>
      <c r="C2709">
        <v>8</v>
      </c>
      <c r="D2709" t="s">
        <v>106</v>
      </c>
      <c r="E2709">
        <v>316</v>
      </c>
      <c r="F2709">
        <v>394</v>
      </c>
      <c r="G2709">
        <v>227</v>
      </c>
      <c r="H2709" t="s">
        <v>72</v>
      </c>
      <c r="I2709" t="s">
        <v>184</v>
      </c>
    </row>
    <row r="2710" spans="1:9" ht="15" customHeight="1" x14ac:dyDescent="0.35">
      <c r="A2710">
        <v>2020</v>
      </c>
      <c r="B2710" t="s">
        <v>156</v>
      </c>
      <c r="C2710">
        <v>9</v>
      </c>
      <c r="D2710" t="s">
        <v>106</v>
      </c>
      <c r="E2710">
        <v>323</v>
      </c>
      <c r="F2710">
        <v>443</v>
      </c>
      <c r="G2710">
        <v>238</v>
      </c>
      <c r="H2710" t="s">
        <v>72</v>
      </c>
      <c r="I2710" t="s">
        <v>184</v>
      </c>
    </row>
    <row r="2711" spans="1:9" ht="15" customHeight="1" x14ac:dyDescent="0.35">
      <c r="A2711">
        <v>2020</v>
      </c>
      <c r="B2711" t="s">
        <v>157</v>
      </c>
      <c r="C2711">
        <v>10</v>
      </c>
      <c r="D2711" t="s">
        <v>106</v>
      </c>
      <c r="E2711">
        <v>312</v>
      </c>
      <c r="F2711">
        <v>396</v>
      </c>
      <c r="G2711">
        <v>207</v>
      </c>
      <c r="H2711" t="s">
        <v>72</v>
      </c>
      <c r="I2711" t="s">
        <v>184</v>
      </c>
    </row>
    <row r="2712" spans="1:9" ht="15" customHeight="1" x14ac:dyDescent="0.35">
      <c r="A2712">
        <v>2020</v>
      </c>
      <c r="B2712" t="s">
        <v>158</v>
      </c>
      <c r="C2712">
        <v>11</v>
      </c>
      <c r="D2712" t="s">
        <v>106</v>
      </c>
      <c r="E2712">
        <v>287</v>
      </c>
      <c r="F2712">
        <v>388</v>
      </c>
      <c r="G2712">
        <v>140</v>
      </c>
      <c r="H2712" t="s">
        <v>72</v>
      </c>
      <c r="I2712" t="s">
        <v>184</v>
      </c>
    </row>
    <row r="2713" spans="1:9" ht="15" customHeight="1" x14ac:dyDescent="0.35">
      <c r="A2713">
        <v>2020</v>
      </c>
      <c r="B2713" t="s">
        <v>159</v>
      </c>
      <c r="C2713">
        <v>12</v>
      </c>
      <c r="D2713" t="s">
        <v>106</v>
      </c>
      <c r="E2713">
        <v>277</v>
      </c>
      <c r="F2713">
        <v>370</v>
      </c>
      <c r="G2713">
        <v>195</v>
      </c>
      <c r="H2713" t="s">
        <v>72</v>
      </c>
      <c r="I2713" t="s">
        <v>184</v>
      </c>
    </row>
    <row r="2714" spans="1:9" ht="15" customHeight="1" x14ac:dyDescent="0.35">
      <c r="A2714">
        <v>2021</v>
      </c>
      <c r="B2714" t="s">
        <v>147</v>
      </c>
      <c r="C2714">
        <v>1</v>
      </c>
      <c r="D2714" t="s">
        <v>106</v>
      </c>
      <c r="E2714">
        <v>288</v>
      </c>
      <c r="F2714">
        <v>381</v>
      </c>
      <c r="G2714">
        <v>180</v>
      </c>
      <c r="H2714" t="s">
        <v>72</v>
      </c>
      <c r="I2714" t="s">
        <v>184</v>
      </c>
    </row>
    <row r="2715" spans="1:9" ht="15" customHeight="1" x14ac:dyDescent="0.35">
      <c r="A2715">
        <v>2021</v>
      </c>
      <c r="B2715" t="s">
        <v>149</v>
      </c>
      <c r="C2715">
        <v>2</v>
      </c>
      <c r="D2715" t="s">
        <v>106</v>
      </c>
      <c r="E2715">
        <v>307</v>
      </c>
      <c r="F2715">
        <v>375</v>
      </c>
      <c r="G2715">
        <v>215</v>
      </c>
      <c r="H2715" t="s">
        <v>72</v>
      </c>
      <c r="I2715" t="s">
        <v>184</v>
      </c>
    </row>
    <row r="2716" spans="1:9" ht="15" customHeight="1" x14ac:dyDescent="0.35">
      <c r="A2716">
        <v>2021</v>
      </c>
      <c r="B2716" t="s">
        <v>150</v>
      </c>
      <c r="C2716">
        <v>3</v>
      </c>
      <c r="D2716" t="s">
        <v>106</v>
      </c>
      <c r="E2716">
        <v>339</v>
      </c>
      <c r="F2716">
        <v>417</v>
      </c>
      <c r="G2716">
        <v>232</v>
      </c>
      <c r="H2716" t="s">
        <v>72</v>
      </c>
      <c r="I2716" t="s">
        <v>184</v>
      </c>
    </row>
    <row r="2717" spans="1:9" ht="15" customHeight="1" x14ac:dyDescent="0.35">
      <c r="A2717">
        <v>2021</v>
      </c>
      <c r="B2717" t="s">
        <v>151</v>
      </c>
      <c r="C2717">
        <v>4</v>
      </c>
      <c r="D2717" t="s">
        <v>106</v>
      </c>
      <c r="E2717">
        <v>374</v>
      </c>
      <c r="F2717">
        <v>444</v>
      </c>
      <c r="G2717">
        <v>237</v>
      </c>
      <c r="H2717" t="s">
        <v>73</v>
      </c>
      <c r="I2717" t="s">
        <v>184</v>
      </c>
    </row>
    <row r="2718" spans="1:9" ht="15" customHeight="1" x14ac:dyDescent="0.35">
      <c r="A2718">
        <v>2021</v>
      </c>
      <c r="B2718" t="s">
        <v>152</v>
      </c>
      <c r="C2718">
        <v>5</v>
      </c>
      <c r="D2718" t="s">
        <v>106</v>
      </c>
      <c r="E2718">
        <v>335</v>
      </c>
      <c r="F2718">
        <v>445</v>
      </c>
      <c r="G2718">
        <v>205</v>
      </c>
      <c r="H2718" t="s">
        <v>73</v>
      </c>
      <c r="I2718" t="s">
        <v>184</v>
      </c>
    </row>
    <row r="2719" spans="1:9" ht="15" customHeight="1" x14ac:dyDescent="0.35">
      <c r="A2719">
        <v>2021</v>
      </c>
      <c r="B2719" t="s">
        <v>153</v>
      </c>
      <c r="C2719">
        <v>6</v>
      </c>
      <c r="D2719" t="s">
        <v>106</v>
      </c>
      <c r="E2719">
        <v>336</v>
      </c>
      <c r="F2719">
        <v>415</v>
      </c>
      <c r="G2719">
        <v>246</v>
      </c>
      <c r="H2719" t="s">
        <v>73</v>
      </c>
      <c r="I2719" t="s">
        <v>184</v>
      </c>
    </row>
    <row r="2720" spans="1:9" ht="15" customHeight="1" x14ac:dyDescent="0.35">
      <c r="A2720">
        <v>2021</v>
      </c>
      <c r="B2720" t="s">
        <v>154</v>
      </c>
      <c r="C2720">
        <v>7</v>
      </c>
      <c r="D2720" t="s">
        <v>106</v>
      </c>
      <c r="E2720">
        <v>347</v>
      </c>
      <c r="F2720">
        <v>443</v>
      </c>
      <c r="G2720">
        <v>254</v>
      </c>
      <c r="H2720" t="s">
        <v>73</v>
      </c>
      <c r="I2720" t="s">
        <v>184</v>
      </c>
    </row>
    <row r="2721" spans="1:9" ht="15" customHeight="1" x14ac:dyDescent="0.35">
      <c r="A2721">
        <v>2021</v>
      </c>
      <c r="B2721" t="s">
        <v>155</v>
      </c>
      <c r="C2721">
        <v>8</v>
      </c>
      <c r="D2721" t="s">
        <v>106</v>
      </c>
      <c r="E2721">
        <v>343</v>
      </c>
      <c r="F2721">
        <v>450</v>
      </c>
      <c r="G2721">
        <v>243</v>
      </c>
      <c r="H2721" t="s">
        <v>73</v>
      </c>
      <c r="I2721" t="s">
        <v>184</v>
      </c>
    </row>
    <row r="2722" spans="1:9" ht="15" customHeight="1" x14ac:dyDescent="0.35">
      <c r="A2722">
        <v>2021</v>
      </c>
      <c r="B2722" t="s">
        <v>156</v>
      </c>
      <c r="C2722">
        <v>9</v>
      </c>
      <c r="D2722" t="s">
        <v>106</v>
      </c>
      <c r="E2722">
        <v>353</v>
      </c>
      <c r="F2722">
        <v>438</v>
      </c>
      <c r="G2722">
        <v>209</v>
      </c>
      <c r="H2722" t="s">
        <v>73</v>
      </c>
      <c r="I2722" t="s">
        <v>184</v>
      </c>
    </row>
    <row r="2723" spans="1:9" ht="15" customHeight="1" x14ac:dyDescent="0.35">
      <c r="A2723">
        <v>2021</v>
      </c>
      <c r="B2723" t="s">
        <v>157</v>
      </c>
      <c r="C2723">
        <v>10</v>
      </c>
      <c r="D2723" t="s">
        <v>106</v>
      </c>
      <c r="E2723">
        <v>333</v>
      </c>
      <c r="F2723">
        <v>420</v>
      </c>
      <c r="G2723">
        <v>203</v>
      </c>
      <c r="H2723" t="s">
        <v>73</v>
      </c>
      <c r="I2723" t="s">
        <v>184</v>
      </c>
    </row>
    <row r="2724" spans="1:9" ht="15" customHeight="1" x14ac:dyDescent="0.35">
      <c r="A2724">
        <v>2021</v>
      </c>
      <c r="B2724" t="s">
        <v>158</v>
      </c>
      <c r="C2724">
        <v>11</v>
      </c>
      <c r="D2724" t="s">
        <v>106</v>
      </c>
      <c r="E2724">
        <v>279</v>
      </c>
      <c r="F2724">
        <v>377</v>
      </c>
      <c r="G2724">
        <v>169</v>
      </c>
      <c r="H2724" t="s">
        <v>73</v>
      </c>
      <c r="I2724" t="s">
        <v>184</v>
      </c>
    </row>
    <row r="2725" spans="1:9" ht="15" customHeight="1" x14ac:dyDescent="0.35">
      <c r="A2725">
        <v>2021</v>
      </c>
      <c r="B2725" t="s">
        <v>159</v>
      </c>
      <c r="C2725">
        <v>12</v>
      </c>
      <c r="D2725" t="s">
        <v>106</v>
      </c>
      <c r="E2725">
        <v>292</v>
      </c>
      <c r="F2725">
        <v>374</v>
      </c>
      <c r="G2725">
        <v>190</v>
      </c>
      <c r="H2725" t="s">
        <v>73</v>
      </c>
      <c r="I2725" t="s">
        <v>184</v>
      </c>
    </row>
    <row r="2726" spans="1:9" ht="15" customHeight="1" x14ac:dyDescent="0.35">
      <c r="A2726">
        <v>2022</v>
      </c>
      <c r="B2726" t="s">
        <v>147</v>
      </c>
      <c r="C2726">
        <v>1</v>
      </c>
      <c r="D2726" t="s">
        <v>106</v>
      </c>
      <c r="E2726">
        <v>296</v>
      </c>
      <c r="F2726">
        <v>384</v>
      </c>
      <c r="G2726">
        <v>205</v>
      </c>
      <c r="H2726" t="s">
        <v>73</v>
      </c>
      <c r="I2726" t="s">
        <v>184</v>
      </c>
    </row>
    <row r="2727" spans="1:9" ht="15" customHeight="1" x14ac:dyDescent="0.35">
      <c r="A2727">
        <v>2022</v>
      </c>
      <c r="B2727" t="s">
        <v>149</v>
      </c>
      <c r="C2727">
        <v>2</v>
      </c>
      <c r="D2727" t="s">
        <v>106</v>
      </c>
      <c r="E2727">
        <v>316</v>
      </c>
      <c r="F2727">
        <v>384</v>
      </c>
      <c r="G2727">
        <v>234</v>
      </c>
      <c r="H2727" t="s">
        <v>73</v>
      </c>
      <c r="I2727" t="s">
        <v>184</v>
      </c>
    </row>
    <row r="2728" spans="1:9" ht="15" customHeight="1" x14ac:dyDescent="0.35">
      <c r="A2728">
        <v>2022</v>
      </c>
      <c r="B2728" t="s">
        <v>150</v>
      </c>
      <c r="C2728">
        <v>3</v>
      </c>
      <c r="D2728" t="s">
        <v>106</v>
      </c>
      <c r="E2728">
        <v>347</v>
      </c>
      <c r="F2728">
        <v>456</v>
      </c>
      <c r="G2728">
        <v>216</v>
      </c>
      <c r="H2728" t="s">
        <v>73</v>
      </c>
      <c r="I2728" t="s">
        <v>184</v>
      </c>
    </row>
    <row r="2729" spans="1:9" ht="15" customHeight="1" x14ac:dyDescent="0.35">
      <c r="A2729">
        <v>2022</v>
      </c>
      <c r="B2729" t="s">
        <v>151</v>
      </c>
      <c r="C2729">
        <v>4</v>
      </c>
      <c r="D2729" t="s">
        <v>106</v>
      </c>
      <c r="E2729">
        <v>380</v>
      </c>
      <c r="F2729">
        <v>460</v>
      </c>
      <c r="G2729">
        <v>280</v>
      </c>
      <c r="H2729" t="s">
        <v>74</v>
      </c>
      <c r="I2729" t="s">
        <v>184</v>
      </c>
    </row>
    <row r="2730" spans="1:9" ht="15" customHeight="1" x14ac:dyDescent="0.35">
      <c r="A2730">
        <v>2022</v>
      </c>
      <c r="B2730" t="s">
        <v>152</v>
      </c>
      <c r="C2730">
        <v>5</v>
      </c>
      <c r="D2730" t="s">
        <v>106</v>
      </c>
      <c r="E2730">
        <v>373</v>
      </c>
      <c r="F2730">
        <v>485</v>
      </c>
      <c r="G2730">
        <v>243</v>
      </c>
      <c r="H2730" t="s">
        <v>74</v>
      </c>
      <c r="I2730" t="s">
        <v>184</v>
      </c>
    </row>
    <row r="2731" spans="1:9" ht="15" customHeight="1" x14ac:dyDescent="0.35">
      <c r="A2731">
        <v>2022</v>
      </c>
      <c r="B2731" t="s">
        <v>153</v>
      </c>
      <c r="C2731">
        <v>6</v>
      </c>
      <c r="D2731" t="s">
        <v>106</v>
      </c>
      <c r="E2731">
        <v>382</v>
      </c>
      <c r="F2731">
        <v>489</v>
      </c>
      <c r="G2731">
        <v>271</v>
      </c>
      <c r="H2731" t="s">
        <v>74</v>
      </c>
      <c r="I2731" t="s">
        <v>184</v>
      </c>
    </row>
    <row r="2732" spans="1:9" ht="15" customHeight="1" x14ac:dyDescent="0.35">
      <c r="A2732">
        <v>2022</v>
      </c>
      <c r="B2732" t="s">
        <v>154</v>
      </c>
      <c r="C2732">
        <v>7</v>
      </c>
      <c r="D2732" t="s">
        <v>106</v>
      </c>
      <c r="E2732">
        <v>371</v>
      </c>
      <c r="F2732">
        <v>468</v>
      </c>
      <c r="G2732">
        <v>266</v>
      </c>
      <c r="H2732" t="s">
        <v>74</v>
      </c>
      <c r="I2732" t="s">
        <v>184</v>
      </c>
    </row>
    <row r="2733" spans="1:9" ht="15" customHeight="1" x14ac:dyDescent="0.35">
      <c r="A2733">
        <v>2022</v>
      </c>
      <c r="B2733" t="s">
        <v>155</v>
      </c>
      <c r="C2733">
        <v>8</v>
      </c>
      <c r="D2733" t="s">
        <v>106</v>
      </c>
      <c r="E2733">
        <v>353</v>
      </c>
      <c r="F2733">
        <v>445</v>
      </c>
      <c r="G2733">
        <v>269</v>
      </c>
      <c r="H2733" t="s">
        <v>74</v>
      </c>
      <c r="I2733" t="s">
        <v>184</v>
      </c>
    </row>
    <row r="2734" spans="1:9" ht="15" customHeight="1" x14ac:dyDescent="0.35">
      <c r="A2734">
        <v>2022</v>
      </c>
      <c r="B2734" t="s">
        <v>156</v>
      </c>
      <c r="C2734">
        <v>9</v>
      </c>
      <c r="D2734" t="s">
        <v>106</v>
      </c>
      <c r="E2734">
        <v>351</v>
      </c>
      <c r="F2734">
        <v>444</v>
      </c>
      <c r="G2734">
        <v>250</v>
      </c>
      <c r="H2734" t="s">
        <v>74</v>
      </c>
      <c r="I2734" t="s">
        <v>184</v>
      </c>
    </row>
    <row r="2735" spans="1:9" ht="15" customHeight="1" x14ac:dyDescent="0.35">
      <c r="A2735">
        <v>2022</v>
      </c>
      <c r="B2735" t="s">
        <v>157</v>
      </c>
      <c r="C2735">
        <v>10</v>
      </c>
      <c r="D2735" t="s">
        <v>106</v>
      </c>
      <c r="E2735">
        <v>328</v>
      </c>
      <c r="F2735">
        <v>422</v>
      </c>
      <c r="G2735">
        <v>179</v>
      </c>
      <c r="H2735" t="s">
        <v>74</v>
      </c>
      <c r="I2735" t="s">
        <v>184</v>
      </c>
    </row>
    <row r="2736" spans="1:9" ht="15" customHeight="1" x14ac:dyDescent="0.35">
      <c r="A2736">
        <v>2022</v>
      </c>
      <c r="B2736" t="s">
        <v>158</v>
      </c>
      <c r="C2736">
        <v>11</v>
      </c>
      <c r="D2736" t="s">
        <v>106</v>
      </c>
      <c r="E2736">
        <v>320</v>
      </c>
      <c r="F2736">
        <v>402</v>
      </c>
      <c r="G2736">
        <v>232</v>
      </c>
      <c r="H2736" t="s">
        <v>74</v>
      </c>
      <c r="I2736" t="s">
        <v>184</v>
      </c>
    </row>
    <row r="2737" spans="1:9" ht="15" customHeight="1" x14ac:dyDescent="0.35">
      <c r="A2737">
        <v>2022</v>
      </c>
      <c r="B2737" t="s">
        <v>159</v>
      </c>
      <c r="C2737">
        <v>12</v>
      </c>
      <c r="D2737" t="s">
        <v>106</v>
      </c>
      <c r="E2737">
        <v>311</v>
      </c>
      <c r="F2737">
        <v>393</v>
      </c>
      <c r="G2737">
        <v>106</v>
      </c>
      <c r="H2737" t="s">
        <v>74</v>
      </c>
      <c r="I2737" t="s">
        <v>184</v>
      </c>
    </row>
    <row r="2738" spans="1:9" ht="15" customHeight="1" x14ac:dyDescent="0.35">
      <c r="A2738">
        <v>2023</v>
      </c>
      <c r="B2738" t="s">
        <v>147</v>
      </c>
      <c r="C2738">
        <v>1</v>
      </c>
      <c r="D2738" t="s">
        <v>106</v>
      </c>
      <c r="E2738">
        <v>269</v>
      </c>
      <c r="F2738">
        <v>397</v>
      </c>
      <c r="G2738">
        <v>162</v>
      </c>
      <c r="H2738" t="s">
        <v>74</v>
      </c>
      <c r="I2738" t="s">
        <v>184</v>
      </c>
    </row>
    <row r="2739" spans="1:9" ht="15" customHeight="1" x14ac:dyDescent="0.35">
      <c r="A2739">
        <v>2023</v>
      </c>
      <c r="B2739" t="s">
        <v>149</v>
      </c>
      <c r="C2739">
        <v>2</v>
      </c>
      <c r="D2739" t="s">
        <v>106</v>
      </c>
      <c r="E2739">
        <v>329</v>
      </c>
      <c r="F2739">
        <v>409</v>
      </c>
      <c r="G2739">
        <v>247</v>
      </c>
      <c r="H2739" t="s">
        <v>74</v>
      </c>
      <c r="I2739" t="s">
        <v>184</v>
      </c>
    </row>
    <row r="2740" spans="1:9" ht="15" customHeight="1" x14ac:dyDescent="0.35">
      <c r="A2740">
        <v>2023</v>
      </c>
      <c r="B2740" t="s">
        <v>150</v>
      </c>
      <c r="C2740">
        <v>3</v>
      </c>
      <c r="D2740" t="s">
        <v>106</v>
      </c>
      <c r="E2740">
        <v>352</v>
      </c>
      <c r="F2740">
        <v>433</v>
      </c>
      <c r="G2740">
        <v>242</v>
      </c>
      <c r="H2740" t="s">
        <v>74</v>
      </c>
      <c r="I2740" t="s">
        <v>184</v>
      </c>
    </row>
    <row r="2741" spans="1:9" ht="15" customHeight="1" x14ac:dyDescent="0.35">
      <c r="A2741">
        <v>2023</v>
      </c>
      <c r="B2741" t="s">
        <v>151</v>
      </c>
      <c r="C2741">
        <v>4</v>
      </c>
      <c r="D2741" t="s">
        <v>106</v>
      </c>
      <c r="E2741">
        <v>375</v>
      </c>
      <c r="F2741">
        <v>469</v>
      </c>
      <c r="G2741">
        <v>234</v>
      </c>
      <c r="H2741" t="s">
        <v>75</v>
      </c>
      <c r="I2741" t="s">
        <v>184</v>
      </c>
    </row>
    <row r="2742" spans="1:9" ht="15" customHeight="1" x14ac:dyDescent="0.35">
      <c r="A2742">
        <v>2023</v>
      </c>
      <c r="B2742" t="s">
        <v>152</v>
      </c>
      <c r="C2742">
        <v>5</v>
      </c>
      <c r="D2742" t="s">
        <v>106</v>
      </c>
      <c r="E2742">
        <v>396</v>
      </c>
      <c r="F2742">
        <v>508</v>
      </c>
      <c r="G2742">
        <v>251</v>
      </c>
      <c r="H2742" t="s">
        <v>75</v>
      </c>
      <c r="I2742" t="s">
        <v>184</v>
      </c>
    </row>
    <row r="2743" spans="1:9" ht="15" customHeight="1" x14ac:dyDescent="0.35">
      <c r="A2743">
        <v>2023</v>
      </c>
      <c r="B2743" t="s">
        <v>153</v>
      </c>
      <c r="C2743">
        <v>6</v>
      </c>
      <c r="D2743" t="s">
        <v>106</v>
      </c>
      <c r="E2743">
        <v>403</v>
      </c>
      <c r="F2743">
        <v>505</v>
      </c>
      <c r="G2743">
        <v>206</v>
      </c>
      <c r="H2743" t="s">
        <v>75</v>
      </c>
      <c r="I2743" t="s">
        <v>184</v>
      </c>
    </row>
    <row r="2744" spans="1:9" ht="15" customHeight="1" x14ac:dyDescent="0.35">
      <c r="A2744">
        <v>2023</v>
      </c>
      <c r="B2744" t="s">
        <v>154</v>
      </c>
      <c r="C2744">
        <v>7</v>
      </c>
      <c r="D2744" t="s">
        <v>106</v>
      </c>
      <c r="E2744">
        <v>318</v>
      </c>
      <c r="F2744">
        <v>475</v>
      </c>
      <c r="G2744">
        <v>188</v>
      </c>
      <c r="H2744" t="s">
        <v>75</v>
      </c>
      <c r="I2744" t="s">
        <v>184</v>
      </c>
    </row>
    <row r="2745" spans="1:9" ht="15" customHeight="1" x14ac:dyDescent="0.35">
      <c r="A2745">
        <v>2023</v>
      </c>
      <c r="B2745" t="s">
        <v>155</v>
      </c>
      <c r="C2745">
        <v>8</v>
      </c>
      <c r="D2745" t="s">
        <v>106</v>
      </c>
      <c r="E2745">
        <v>388</v>
      </c>
      <c r="F2745">
        <v>488</v>
      </c>
      <c r="G2745">
        <v>203</v>
      </c>
      <c r="H2745" t="s">
        <v>75</v>
      </c>
      <c r="I2745" t="s">
        <v>184</v>
      </c>
    </row>
    <row r="2746" spans="1:9" ht="15" customHeight="1" x14ac:dyDescent="0.35">
      <c r="A2746">
        <v>2023</v>
      </c>
      <c r="B2746" t="s">
        <v>156</v>
      </c>
      <c r="C2746">
        <v>9</v>
      </c>
      <c r="D2746" t="s">
        <v>106</v>
      </c>
      <c r="E2746">
        <v>378</v>
      </c>
      <c r="F2746">
        <v>460</v>
      </c>
      <c r="G2746">
        <v>240</v>
      </c>
      <c r="H2746" t="s">
        <v>75</v>
      </c>
      <c r="I2746" t="s">
        <v>184</v>
      </c>
    </row>
    <row r="2747" spans="1:9" ht="15" customHeight="1" x14ac:dyDescent="0.35">
      <c r="A2747">
        <v>2023</v>
      </c>
      <c r="B2747" t="s">
        <v>157</v>
      </c>
      <c r="C2747">
        <v>10</v>
      </c>
      <c r="D2747" t="s">
        <v>106</v>
      </c>
      <c r="E2747">
        <v>382</v>
      </c>
      <c r="F2747">
        <v>467</v>
      </c>
      <c r="G2747">
        <v>230</v>
      </c>
      <c r="H2747" t="s">
        <v>75</v>
      </c>
      <c r="I2747" t="s">
        <v>184</v>
      </c>
    </row>
    <row r="2748" spans="1:9" ht="15" customHeight="1" x14ac:dyDescent="0.35">
      <c r="A2748">
        <v>2023</v>
      </c>
      <c r="B2748" t="s">
        <v>158</v>
      </c>
      <c r="C2748">
        <v>11</v>
      </c>
      <c r="D2748" t="s">
        <v>106</v>
      </c>
      <c r="E2748">
        <v>334</v>
      </c>
      <c r="F2748">
        <v>450</v>
      </c>
      <c r="G2748">
        <v>184</v>
      </c>
      <c r="H2748" t="s">
        <v>75</v>
      </c>
      <c r="I2748" t="s">
        <v>184</v>
      </c>
    </row>
    <row r="2749" spans="1:9" ht="15" customHeight="1" x14ac:dyDescent="0.35">
      <c r="A2749">
        <v>2023</v>
      </c>
      <c r="B2749" t="s">
        <v>159</v>
      </c>
      <c r="C2749">
        <v>12</v>
      </c>
      <c r="D2749" t="s">
        <v>106</v>
      </c>
      <c r="E2749">
        <v>326</v>
      </c>
      <c r="F2749">
        <v>413</v>
      </c>
      <c r="G2749">
        <v>228</v>
      </c>
      <c r="H2749" t="s">
        <v>75</v>
      </c>
      <c r="I2749" t="s">
        <v>184</v>
      </c>
    </row>
    <row r="2750" spans="1:9" ht="15" customHeight="1" x14ac:dyDescent="0.35">
      <c r="A2750">
        <v>2024</v>
      </c>
      <c r="B2750" t="s">
        <v>147</v>
      </c>
      <c r="C2750">
        <v>1</v>
      </c>
      <c r="D2750" t="s">
        <v>106</v>
      </c>
      <c r="E2750">
        <v>323</v>
      </c>
      <c r="F2750">
        <v>435</v>
      </c>
      <c r="G2750">
        <v>203</v>
      </c>
      <c r="H2750" t="s">
        <v>75</v>
      </c>
      <c r="I2750" t="s">
        <v>184</v>
      </c>
    </row>
    <row r="2751" spans="1:9" ht="15" customHeight="1" x14ac:dyDescent="0.35">
      <c r="A2751">
        <v>2024</v>
      </c>
      <c r="B2751" t="s">
        <v>149</v>
      </c>
      <c r="C2751">
        <v>2</v>
      </c>
      <c r="D2751" t="s">
        <v>106</v>
      </c>
      <c r="E2751">
        <v>366</v>
      </c>
      <c r="F2751">
        <v>444</v>
      </c>
      <c r="G2751">
        <v>289</v>
      </c>
      <c r="H2751" t="s">
        <v>75</v>
      </c>
      <c r="I2751" t="s">
        <v>184</v>
      </c>
    </row>
    <row r="2752" spans="1:9" ht="15" customHeight="1" x14ac:dyDescent="0.35">
      <c r="A2752">
        <v>2024</v>
      </c>
      <c r="B2752" t="s">
        <v>150</v>
      </c>
      <c r="C2752">
        <v>3</v>
      </c>
      <c r="D2752" t="s">
        <v>106</v>
      </c>
      <c r="E2752">
        <v>380</v>
      </c>
      <c r="F2752">
        <v>449</v>
      </c>
      <c r="G2752">
        <v>301</v>
      </c>
      <c r="H2752" t="s">
        <v>75</v>
      </c>
      <c r="I2752" t="s">
        <v>184</v>
      </c>
    </row>
    <row r="2753" spans="1:9" ht="15" customHeight="1" x14ac:dyDescent="0.35">
      <c r="A2753">
        <v>2024</v>
      </c>
      <c r="B2753" t="s">
        <v>151</v>
      </c>
      <c r="C2753">
        <v>4</v>
      </c>
      <c r="D2753" t="s">
        <v>106</v>
      </c>
      <c r="E2753">
        <v>380</v>
      </c>
      <c r="F2753">
        <v>449</v>
      </c>
      <c r="G2753">
        <v>301</v>
      </c>
      <c r="H2753" t="s">
        <v>77</v>
      </c>
      <c r="I2753" t="s">
        <v>184</v>
      </c>
    </row>
    <row r="2754" spans="1:9" ht="15" customHeight="1" x14ac:dyDescent="0.35">
      <c r="A2754">
        <v>2024</v>
      </c>
      <c r="B2754" t="s">
        <v>152</v>
      </c>
      <c r="C2754">
        <v>5</v>
      </c>
      <c r="D2754" t="s">
        <v>106</v>
      </c>
      <c r="E2754">
        <v>423</v>
      </c>
      <c r="F2754">
        <v>523</v>
      </c>
      <c r="G2754">
        <v>212</v>
      </c>
      <c r="H2754" t="s">
        <v>77</v>
      </c>
      <c r="I2754" t="s">
        <v>184</v>
      </c>
    </row>
    <row r="2755" spans="1:9" ht="15" customHeight="1" x14ac:dyDescent="0.35">
      <c r="A2755">
        <v>2024</v>
      </c>
      <c r="B2755" t="s">
        <v>153</v>
      </c>
      <c r="C2755">
        <v>6</v>
      </c>
      <c r="D2755" t="s">
        <v>106</v>
      </c>
      <c r="E2755">
        <v>408</v>
      </c>
      <c r="F2755">
        <v>513</v>
      </c>
      <c r="G2755">
        <v>201</v>
      </c>
      <c r="H2755" t="s">
        <v>77</v>
      </c>
      <c r="I2755" t="s">
        <v>184</v>
      </c>
    </row>
    <row r="2756" spans="1:9" ht="15" customHeight="1" x14ac:dyDescent="0.35">
      <c r="A2756">
        <v>2024</v>
      </c>
      <c r="B2756" t="s">
        <v>154</v>
      </c>
      <c r="C2756">
        <v>7</v>
      </c>
      <c r="D2756" t="s">
        <v>106</v>
      </c>
      <c r="E2756">
        <v>403</v>
      </c>
      <c r="F2756">
        <v>503</v>
      </c>
      <c r="G2756">
        <v>168</v>
      </c>
      <c r="H2756" t="s">
        <v>77</v>
      </c>
      <c r="I2756" t="s">
        <v>184</v>
      </c>
    </row>
    <row r="2757" spans="1:9" ht="15" customHeight="1" x14ac:dyDescent="0.35">
      <c r="A2757">
        <v>2024</v>
      </c>
      <c r="B2757" t="s">
        <v>155</v>
      </c>
      <c r="C2757">
        <v>8</v>
      </c>
      <c r="D2757" t="s">
        <v>106</v>
      </c>
      <c r="E2757">
        <v>400</v>
      </c>
      <c r="F2757">
        <v>506</v>
      </c>
      <c r="G2757">
        <v>180</v>
      </c>
      <c r="H2757" t="s">
        <v>77</v>
      </c>
      <c r="I2757" t="s">
        <v>184</v>
      </c>
    </row>
    <row r="2758" spans="1:9" ht="15" customHeight="1" x14ac:dyDescent="0.35">
      <c r="A2758">
        <v>2024</v>
      </c>
      <c r="B2758" t="s">
        <v>156</v>
      </c>
      <c r="C2758">
        <v>9</v>
      </c>
      <c r="D2758" t="s">
        <v>106</v>
      </c>
      <c r="E2758">
        <v>413</v>
      </c>
      <c r="F2758">
        <v>527</v>
      </c>
      <c r="G2758">
        <v>223</v>
      </c>
      <c r="H2758" t="s">
        <v>77</v>
      </c>
      <c r="I2758" t="s">
        <v>184</v>
      </c>
    </row>
    <row r="2759" spans="1:9" ht="15" customHeight="1" x14ac:dyDescent="0.35">
      <c r="A2759">
        <v>2024</v>
      </c>
      <c r="B2759" t="s">
        <v>157</v>
      </c>
      <c r="C2759">
        <v>10</v>
      </c>
      <c r="D2759" t="s">
        <v>106</v>
      </c>
      <c r="E2759">
        <v>378</v>
      </c>
      <c r="F2759">
        <v>484</v>
      </c>
      <c r="G2759">
        <v>224</v>
      </c>
      <c r="H2759" t="s">
        <v>77</v>
      </c>
      <c r="I2759" t="s">
        <v>184</v>
      </c>
    </row>
    <row r="2760" spans="1:9" ht="15" customHeight="1" x14ac:dyDescent="0.35">
      <c r="A2760">
        <v>2024</v>
      </c>
      <c r="B2760" t="s">
        <v>158</v>
      </c>
      <c r="C2760">
        <v>11</v>
      </c>
      <c r="D2760" t="s">
        <v>106</v>
      </c>
      <c r="E2760">
        <v>355</v>
      </c>
      <c r="F2760">
        <v>452</v>
      </c>
      <c r="G2760">
        <v>70</v>
      </c>
      <c r="H2760" t="s">
        <v>77</v>
      </c>
      <c r="I2760" t="s">
        <v>184</v>
      </c>
    </row>
    <row r="2761" spans="1:9" ht="15" customHeight="1" x14ac:dyDescent="0.35">
      <c r="A2761">
        <v>2024</v>
      </c>
      <c r="B2761" t="s">
        <v>159</v>
      </c>
      <c r="C2761">
        <v>12</v>
      </c>
      <c r="D2761" t="s">
        <v>106</v>
      </c>
      <c r="E2761">
        <v>331</v>
      </c>
      <c r="F2761">
        <v>450</v>
      </c>
      <c r="G2761">
        <v>53</v>
      </c>
      <c r="H2761" t="s">
        <v>77</v>
      </c>
      <c r="I2761" t="s">
        <v>184</v>
      </c>
    </row>
    <row r="2762" spans="1:9" ht="15" customHeight="1" x14ac:dyDescent="0.35">
      <c r="A2762">
        <v>2025</v>
      </c>
      <c r="B2762" t="s">
        <v>147</v>
      </c>
      <c r="C2762">
        <v>1</v>
      </c>
      <c r="D2762" t="s">
        <v>106</v>
      </c>
      <c r="E2762">
        <v>323</v>
      </c>
      <c r="F2762">
        <v>416</v>
      </c>
      <c r="G2762">
        <v>218</v>
      </c>
      <c r="H2762" t="s">
        <v>77</v>
      </c>
      <c r="I2762" t="s">
        <v>184</v>
      </c>
    </row>
    <row r="2763" spans="1:9" ht="15" customHeight="1" x14ac:dyDescent="0.35">
      <c r="A2763">
        <v>2025</v>
      </c>
      <c r="B2763" t="s">
        <v>149</v>
      </c>
      <c r="C2763">
        <v>2</v>
      </c>
      <c r="D2763" t="s">
        <v>106</v>
      </c>
      <c r="E2763">
        <v>356</v>
      </c>
      <c r="F2763">
        <v>438</v>
      </c>
      <c r="G2763">
        <v>270</v>
      </c>
      <c r="H2763" t="s">
        <v>77</v>
      </c>
      <c r="I2763" t="s">
        <v>184</v>
      </c>
    </row>
    <row r="2764" spans="1:9" ht="15" customHeight="1" x14ac:dyDescent="0.35">
      <c r="A2764">
        <v>2025</v>
      </c>
      <c r="B2764" t="s">
        <v>150</v>
      </c>
      <c r="C2764">
        <v>3</v>
      </c>
      <c r="D2764" t="s">
        <v>106</v>
      </c>
      <c r="E2764">
        <v>391</v>
      </c>
      <c r="F2764">
        <v>475</v>
      </c>
      <c r="G2764">
        <v>232</v>
      </c>
      <c r="H2764" t="s">
        <v>77</v>
      </c>
      <c r="I2764" t="s">
        <v>184</v>
      </c>
    </row>
    <row r="2765" spans="1:9" ht="15" customHeight="1" x14ac:dyDescent="0.35">
      <c r="A2765">
        <v>2025</v>
      </c>
      <c r="B2765" t="s">
        <v>151</v>
      </c>
      <c r="C2765">
        <v>4</v>
      </c>
      <c r="D2765" t="s">
        <v>106</v>
      </c>
      <c r="E2765">
        <v>432</v>
      </c>
      <c r="F2765">
        <v>538</v>
      </c>
      <c r="G2765">
        <v>318</v>
      </c>
      <c r="H2765" t="s">
        <v>78</v>
      </c>
      <c r="I2765" t="s">
        <v>184</v>
      </c>
    </row>
    <row r="2766" spans="1:9" ht="15" customHeight="1" x14ac:dyDescent="0.35">
      <c r="A2766">
        <v>2025</v>
      </c>
      <c r="B2766" t="s">
        <v>152</v>
      </c>
      <c r="C2766">
        <v>5</v>
      </c>
      <c r="D2766" t="s">
        <v>106</v>
      </c>
      <c r="E2766">
        <v>424</v>
      </c>
      <c r="F2766">
        <v>543</v>
      </c>
      <c r="G2766">
        <v>235</v>
      </c>
      <c r="H2766" t="s">
        <v>78</v>
      </c>
      <c r="I2766" t="s">
        <v>184</v>
      </c>
    </row>
    <row r="2767" spans="1:9" ht="15" customHeight="1" x14ac:dyDescent="0.35">
      <c r="A2767">
        <v>2025</v>
      </c>
      <c r="B2767" t="s">
        <v>153</v>
      </c>
      <c r="C2767">
        <v>6</v>
      </c>
      <c r="D2767" t="s">
        <v>106</v>
      </c>
      <c r="E2767">
        <v>420</v>
      </c>
      <c r="F2767">
        <v>527</v>
      </c>
      <c r="G2767">
        <v>277</v>
      </c>
      <c r="H2767" t="s">
        <v>78</v>
      </c>
      <c r="I2767" t="s">
        <v>184</v>
      </c>
    </row>
    <row r="2768" spans="1:9" ht="15" customHeight="1" x14ac:dyDescent="0.35">
      <c r="A2768">
        <v>2025</v>
      </c>
      <c r="B2768" t="s">
        <v>154</v>
      </c>
      <c r="C2768">
        <v>7</v>
      </c>
      <c r="D2768" t="s">
        <v>106</v>
      </c>
      <c r="E2768">
        <v>422</v>
      </c>
      <c r="F2768">
        <v>544</v>
      </c>
      <c r="G2768">
        <v>296</v>
      </c>
      <c r="H2768" t="s">
        <v>78</v>
      </c>
      <c r="I2768" t="s">
        <v>184</v>
      </c>
    </row>
    <row r="2769" spans="1:9" ht="15" customHeight="1" x14ac:dyDescent="0.35">
      <c r="A2769">
        <v>2025</v>
      </c>
      <c r="B2769" t="s">
        <v>155</v>
      </c>
      <c r="C2769">
        <v>8</v>
      </c>
      <c r="D2769" t="s">
        <v>106</v>
      </c>
      <c r="E2769">
        <v>383</v>
      </c>
      <c r="F2769">
        <v>507</v>
      </c>
      <c r="G2769">
        <v>269</v>
      </c>
      <c r="H2769" t="s">
        <v>78</v>
      </c>
      <c r="I2769" t="s">
        <v>184</v>
      </c>
    </row>
    <row r="2770" spans="1:9" ht="15" customHeight="1" x14ac:dyDescent="0.35">
      <c r="A2770">
        <v>2025</v>
      </c>
      <c r="B2770" t="s">
        <v>156</v>
      </c>
      <c r="C2770">
        <v>9</v>
      </c>
      <c r="D2770" t="s">
        <v>106</v>
      </c>
      <c r="E2770">
        <v>384</v>
      </c>
      <c r="F2770">
        <v>487</v>
      </c>
      <c r="G2770">
        <v>255</v>
      </c>
      <c r="H2770" t="s">
        <v>78</v>
      </c>
      <c r="I2770" t="s">
        <v>184</v>
      </c>
    </row>
    <row r="2771" spans="1:9" ht="15" customHeight="1" x14ac:dyDescent="0.35">
      <c r="A2771">
        <v>2025</v>
      </c>
      <c r="B2771" t="s">
        <v>157</v>
      </c>
      <c r="C2771">
        <v>10</v>
      </c>
      <c r="D2771" t="s">
        <v>106</v>
      </c>
      <c r="E2771">
        <v>358</v>
      </c>
      <c r="F2771">
        <v>478</v>
      </c>
      <c r="G2771">
        <v>189</v>
      </c>
      <c r="H2771" t="s">
        <v>78</v>
      </c>
      <c r="I2771" t="s">
        <v>184</v>
      </c>
    </row>
    <row r="2772" spans="1:9" ht="15" customHeight="1" x14ac:dyDescent="0.35">
      <c r="A2772">
        <v>2025</v>
      </c>
      <c r="B2772" t="s">
        <v>158</v>
      </c>
      <c r="C2772">
        <v>11</v>
      </c>
      <c r="D2772" t="s">
        <v>106</v>
      </c>
      <c r="E2772">
        <v>341</v>
      </c>
      <c r="F2772">
        <v>464</v>
      </c>
      <c r="G2772">
        <v>138</v>
      </c>
      <c r="H2772" t="s">
        <v>78</v>
      </c>
      <c r="I2772" t="s">
        <v>184</v>
      </c>
    </row>
    <row r="2773" spans="1:9" ht="15" customHeight="1" x14ac:dyDescent="0.35">
      <c r="A2773">
        <v>2025</v>
      </c>
      <c r="B2773" t="s">
        <v>159</v>
      </c>
      <c r="C2773">
        <v>12</v>
      </c>
      <c r="D2773" t="s">
        <v>106</v>
      </c>
      <c r="E2773">
        <v>331</v>
      </c>
      <c r="F2773">
        <v>422</v>
      </c>
      <c r="G2773">
        <v>197</v>
      </c>
      <c r="H2773" t="s">
        <v>78</v>
      </c>
      <c r="I2773" t="s">
        <v>184</v>
      </c>
    </row>
    <row r="2774" spans="1:9" ht="15" customHeight="1" x14ac:dyDescent="0.35">
      <c r="A2774">
        <v>2026</v>
      </c>
      <c r="B2774" t="s">
        <v>147</v>
      </c>
      <c r="C2774">
        <v>1</v>
      </c>
      <c r="D2774" t="s">
        <v>106</v>
      </c>
      <c r="E2774">
        <v>323</v>
      </c>
      <c r="F2774">
        <v>420</v>
      </c>
      <c r="G2774">
        <v>206</v>
      </c>
      <c r="H2774" t="s">
        <v>78</v>
      </c>
      <c r="I2774" t="s">
        <v>184</v>
      </c>
    </row>
    <row r="2775" spans="1:9" ht="15" customHeight="1" x14ac:dyDescent="0.35">
      <c r="A2775">
        <v>2026</v>
      </c>
      <c r="B2775" t="s">
        <v>149</v>
      </c>
      <c r="C2775">
        <v>2</v>
      </c>
      <c r="D2775" t="s">
        <v>106</v>
      </c>
      <c r="E2775">
        <v>356</v>
      </c>
      <c r="F2775">
        <v>456</v>
      </c>
      <c r="G2775">
        <v>273</v>
      </c>
      <c r="H2775" t="s">
        <v>78</v>
      </c>
      <c r="I2775" t="s">
        <v>184</v>
      </c>
    </row>
    <row r="2776" spans="1:9" ht="15" customHeight="1" x14ac:dyDescent="0.35">
      <c r="A2776">
        <v>2026</v>
      </c>
      <c r="B2776" t="s">
        <v>150</v>
      </c>
      <c r="C2776">
        <v>3</v>
      </c>
      <c r="D2776" t="s">
        <v>106</v>
      </c>
      <c r="E2776">
        <v>323</v>
      </c>
      <c r="F2776">
        <v>420</v>
      </c>
      <c r="G2776">
        <v>206</v>
      </c>
      <c r="H2776" t="s">
        <v>78</v>
      </c>
      <c r="I2776" t="s">
        <v>184</v>
      </c>
    </row>
    <row r="2777" spans="1:9" ht="15" customHeight="1" x14ac:dyDescent="0.35">
      <c r="A2777">
        <v>2017</v>
      </c>
      <c r="B2777" t="s">
        <v>147</v>
      </c>
      <c r="C2777">
        <v>1</v>
      </c>
      <c r="D2777" t="s">
        <v>107</v>
      </c>
      <c r="E2777">
        <v>4038</v>
      </c>
      <c r="F2777">
        <v>6040</v>
      </c>
      <c r="G2777">
        <v>2415</v>
      </c>
      <c r="H2777" t="s">
        <v>122</v>
      </c>
      <c r="I2777" t="s">
        <v>185</v>
      </c>
    </row>
    <row r="2778" spans="1:9" ht="15" customHeight="1" x14ac:dyDescent="0.35">
      <c r="A2778">
        <v>2017</v>
      </c>
      <c r="B2778" t="s">
        <v>149</v>
      </c>
      <c r="C2778">
        <v>2</v>
      </c>
      <c r="D2778" t="s">
        <v>107</v>
      </c>
      <c r="E2778">
        <v>4312</v>
      </c>
      <c r="F2778">
        <v>6514</v>
      </c>
      <c r="G2778">
        <v>2133</v>
      </c>
      <c r="H2778" t="s">
        <v>122</v>
      </c>
      <c r="I2778" t="s">
        <v>185</v>
      </c>
    </row>
    <row r="2779" spans="1:9" ht="15" customHeight="1" x14ac:dyDescent="0.35">
      <c r="A2779">
        <v>2017</v>
      </c>
      <c r="B2779" t="s">
        <v>150</v>
      </c>
      <c r="C2779">
        <v>3</v>
      </c>
      <c r="D2779" t="s">
        <v>107</v>
      </c>
      <c r="E2779">
        <v>4490</v>
      </c>
      <c r="F2779">
        <v>6430</v>
      </c>
      <c r="G2779">
        <v>1754</v>
      </c>
      <c r="H2779" t="s">
        <v>122</v>
      </c>
      <c r="I2779" t="s">
        <v>185</v>
      </c>
    </row>
    <row r="2780" spans="1:9" ht="15" customHeight="1" x14ac:dyDescent="0.35">
      <c r="A2780">
        <v>2017</v>
      </c>
      <c r="B2780" t="s">
        <v>151</v>
      </c>
      <c r="C2780">
        <v>4</v>
      </c>
      <c r="D2780" t="s">
        <v>107</v>
      </c>
      <c r="E2780">
        <v>4842</v>
      </c>
      <c r="F2780">
        <v>6835</v>
      </c>
      <c r="G2780">
        <v>2201</v>
      </c>
      <c r="H2780" t="s">
        <v>123</v>
      </c>
      <c r="I2780" t="s">
        <v>185</v>
      </c>
    </row>
    <row r="2781" spans="1:9" ht="15" customHeight="1" x14ac:dyDescent="0.35">
      <c r="A2781">
        <v>2017</v>
      </c>
      <c r="B2781" t="s">
        <v>152</v>
      </c>
      <c r="C2781">
        <v>5</v>
      </c>
      <c r="D2781" t="s">
        <v>107</v>
      </c>
      <c r="E2781">
        <v>6584</v>
      </c>
      <c r="F2781">
        <v>8020</v>
      </c>
      <c r="G2781">
        <v>4411</v>
      </c>
      <c r="H2781" t="s">
        <v>123</v>
      </c>
      <c r="I2781" t="s">
        <v>185</v>
      </c>
    </row>
    <row r="2782" spans="1:9" ht="15" customHeight="1" x14ac:dyDescent="0.35">
      <c r="A2782">
        <v>2017</v>
      </c>
      <c r="B2782" t="s">
        <v>153</v>
      </c>
      <c r="C2782">
        <v>6</v>
      </c>
      <c r="D2782" t="s">
        <v>107</v>
      </c>
      <c r="E2782">
        <v>7459</v>
      </c>
      <c r="F2782">
        <v>10693</v>
      </c>
      <c r="G2782">
        <v>3862</v>
      </c>
      <c r="H2782" t="s">
        <v>123</v>
      </c>
      <c r="I2782" t="s">
        <v>185</v>
      </c>
    </row>
    <row r="2783" spans="1:9" ht="15" customHeight="1" x14ac:dyDescent="0.35">
      <c r="A2783">
        <v>2017</v>
      </c>
      <c r="B2783" t="s">
        <v>154</v>
      </c>
      <c r="C2783">
        <v>7</v>
      </c>
      <c r="D2783" t="s">
        <v>107</v>
      </c>
      <c r="E2783">
        <v>9636</v>
      </c>
      <c r="F2783">
        <v>11534</v>
      </c>
      <c r="G2783">
        <v>5980</v>
      </c>
      <c r="H2783" t="s">
        <v>123</v>
      </c>
      <c r="I2783" t="s">
        <v>185</v>
      </c>
    </row>
    <row r="2784" spans="1:9" ht="15" customHeight="1" x14ac:dyDescent="0.35">
      <c r="A2784">
        <v>2017</v>
      </c>
      <c r="B2784" t="s">
        <v>155</v>
      </c>
      <c r="C2784">
        <v>8</v>
      </c>
      <c r="D2784" t="s">
        <v>107</v>
      </c>
      <c r="E2784">
        <v>9019</v>
      </c>
      <c r="F2784">
        <v>10958</v>
      </c>
      <c r="G2784">
        <v>5921</v>
      </c>
      <c r="H2784" t="s">
        <v>123</v>
      </c>
      <c r="I2784" t="s">
        <v>185</v>
      </c>
    </row>
    <row r="2785" spans="1:9" ht="15" customHeight="1" x14ac:dyDescent="0.35">
      <c r="A2785">
        <v>2017</v>
      </c>
      <c r="B2785" t="s">
        <v>156</v>
      </c>
      <c r="C2785">
        <v>9</v>
      </c>
      <c r="D2785" t="s">
        <v>107</v>
      </c>
      <c r="E2785">
        <v>8040</v>
      </c>
      <c r="F2785">
        <v>10089</v>
      </c>
      <c r="G2785">
        <v>4921</v>
      </c>
      <c r="H2785" t="s">
        <v>123</v>
      </c>
      <c r="I2785" t="s">
        <v>185</v>
      </c>
    </row>
    <row r="2786" spans="1:9" ht="15" customHeight="1" x14ac:dyDescent="0.35">
      <c r="A2786">
        <v>2017</v>
      </c>
      <c r="B2786" t="s">
        <v>157</v>
      </c>
      <c r="C2786">
        <v>10</v>
      </c>
      <c r="D2786" t="s">
        <v>107</v>
      </c>
      <c r="E2786">
        <v>5905</v>
      </c>
      <c r="F2786">
        <v>8260</v>
      </c>
      <c r="G2786">
        <v>3520</v>
      </c>
      <c r="H2786" t="s">
        <v>123</v>
      </c>
      <c r="I2786" t="s">
        <v>185</v>
      </c>
    </row>
    <row r="2787" spans="1:9" ht="15" customHeight="1" x14ac:dyDescent="0.35">
      <c r="A2787">
        <v>2017</v>
      </c>
      <c r="B2787" t="s">
        <v>158</v>
      </c>
      <c r="C2787">
        <v>11</v>
      </c>
      <c r="D2787" t="s">
        <v>107</v>
      </c>
      <c r="E2787">
        <v>4115</v>
      </c>
      <c r="F2787">
        <v>5631</v>
      </c>
      <c r="G2787">
        <v>2750</v>
      </c>
      <c r="H2787" t="s">
        <v>123</v>
      </c>
      <c r="I2787" t="s">
        <v>185</v>
      </c>
    </row>
    <row r="2788" spans="1:9" ht="15" customHeight="1" x14ac:dyDescent="0.35">
      <c r="A2788">
        <v>2017</v>
      </c>
      <c r="B2788" t="s">
        <v>159</v>
      </c>
      <c r="C2788">
        <v>12</v>
      </c>
      <c r="D2788" t="s">
        <v>107</v>
      </c>
      <c r="E2788">
        <v>4293</v>
      </c>
      <c r="F2788">
        <v>6081</v>
      </c>
      <c r="G2788">
        <v>2531</v>
      </c>
      <c r="H2788" t="s">
        <v>123</v>
      </c>
      <c r="I2788" t="s">
        <v>185</v>
      </c>
    </row>
    <row r="2789" spans="1:9" ht="15" customHeight="1" x14ac:dyDescent="0.35">
      <c r="A2789">
        <v>2018</v>
      </c>
      <c r="B2789" t="s">
        <v>147</v>
      </c>
      <c r="C2789">
        <v>1</v>
      </c>
      <c r="D2789" t="s">
        <v>107</v>
      </c>
      <c r="E2789">
        <v>4439</v>
      </c>
      <c r="F2789">
        <v>5954</v>
      </c>
      <c r="G2789">
        <v>2774</v>
      </c>
      <c r="H2789" t="s">
        <v>123</v>
      </c>
      <c r="I2789" t="s">
        <v>185</v>
      </c>
    </row>
    <row r="2790" spans="1:9" ht="15" customHeight="1" x14ac:dyDescent="0.35">
      <c r="A2790">
        <v>2018</v>
      </c>
      <c r="B2790" t="s">
        <v>149</v>
      </c>
      <c r="C2790">
        <v>2</v>
      </c>
      <c r="D2790" t="s">
        <v>107</v>
      </c>
      <c r="E2790">
        <v>4608</v>
      </c>
      <c r="F2790">
        <v>6252</v>
      </c>
      <c r="G2790">
        <v>2484</v>
      </c>
      <c r="H2790" t="s">
        <v>123</v>
      </c>
      <c r="I2790" t="s">
        <v>185</v>
      </c>
    </row>
    <row r="2791" spans="1:9" ht="15" customHeight="1" x14ac:dyDescent="0.35">
      <c r="A2791">
        <v>2018</v>
      </c>
      <c r="B2791" t="s">
        <v>150</v>
      </c>
      <c r="C2791">
        <v>3</v>
      </c>
      <c r="D2791" t="s">
        <v>107</v>
      </c>
      <c r="E2791">
        <v>4991</v>
      </c>
      <c r="F2791">
        <v>6499</v>
      </c>
      <c r="G2791">
        <v>2226</v>
      </c>
      <c r="H2791" t="s">
        <v>123</v>
      </c>
      <c r="I2791" t="s">
        <v>185</v>
      </c>
    </row>
    <row r="2792" spans="1:9" ht="15" customHeight="1" x14ac:dyDescent="0.35">
      <c r="A2792">
        <v>2018</v>
      </c>
      <c r="B2792" t="s">
        <v>151</v>
      </c>
      <c r="C2792">
        <v>4</v>
      </c>
      <c r="D2792" t="s">
        <v>107</v>
      </c>
      <c r="E2792">
        <v>4904</v>
      </c>
      <c r="F2792">
        <v>7037</v>
      </c>
      <c r="G2792">
        <v>1990</v>
      </c>
      <c r="H2792" t="s">
        <v>124</v>
      </c>
      <c r="I2792" t="s">
        <v>185</v>
      </c>
    </row>
    <row r="2793" spans="1:9" ht="15" customHeight="1" x14ac:dyDescent="0.35">
      <c r="A2793">
        <v>2018</v>
      </c>
      <c r="B2793" t="s">
        <v>152</v>
      </c>
      <c r="C2793">
        <v>5</v>
      </c>
      <c r="D2793" t="s">
        <v>107</v>
      </c>
      <c r="E2793">
        <v>6636</v>
      </c>
      <c r="F2793">
        <v>8861</v>
      </c>
      <c r="G2793">
        <v>2302</v>
      </c>
      <c r="H2793" t="s">
        <v>124</v>
      </c>
      <c r="I2793" t="s">
        <v>185</v>
      </c>
    </row>
    <row r="2794" spans="1:9" ht="15" customHeight="1" x14ac:dyDescent="0.35">
      <c r="A2794">
        <v>2018</v>
      </c>
      <c r="B2794" t="s">
        <v>153</v>
      </c>
      <c r="C2794">
        <v>6</v>
      </c>
      <c r="D2794" t="s">
        <v>107</v>
      </c>
      <c r="E2794">
        <v>8040</v>
      </c>
      <c r="F2794">
        <v>12198</v>
      </c>
      <c r="G2794">
        <v>3086</v>
      </c>
      <c r="H2794" t="s">
        <v>124</v>
      </c>
      <c r="I2794" t="s">
        <v>185</v>
      </c>
    </row>
    <row r="2795" spans="1:9" ht="15" customHeight="1" x14ac:dyDescent="0.35">
      <c r="A2795">
        <v>2018</v>
      </c>
      <c r="B2795" t="s">
        <v>154</v>
      </c>
      <c r="C2795">
        <v>7</v>
      </c>
      <c r="D2795" t="s">
        <v>107</v>
      </c>
      <c r="E2795">
        <v>9488</v>
      </c>
      <c r="F2795">
        <v>12398</v>
      </c>
      <c r="G2795">
        <v>4552</v>
      </c>
      <c r="H2795" t="s">
        <v>124</v>
      </c>
      <c r="I2795" t="s">
        <v>185</v>
      </c>
    </row>
    <row r="2796" spans="1:9" ht="15" customHeight="1" x14ac:dyDescent="0.35">
      <c r="A2796">
        <v>2018</v>
      </c>
      <c r="B2796" t="s">
        <v>155</v>
      </c>
      <c r="C2796">
        <v>8</v>
      </c>
      <c r="D2796" t="s">
        <v>107</v>
      </c>
      <c r="E2796">
        <v>9903</v>
      </c>
      <c r="F2796">
        <v>11832</v>
      </c>
      <c r="G2796">
        <v>7925</v>
      </c>
      <c r="H2796" t="s">
        <v>124</v>
      </c>
      <c r="I2796" t="s">
        <v>185</v>
      </c>
    </row>
    <row r="2797" spans="1:9" ht="15" customHeight="1" x14ac:dyDescent="0.35">
      <c r="A2797">
        <v>2018</v>
      </c>
      <c r="B2797" t="s">
        <v>156</v>
      </c>
      <c r="C2797">
        <v>9</v>
      </c>
      <c r="D2797" t="s">
        <v>107</v>
      </c>
      <c r="E2797">
        <v>7727</v>
      </c>
      <c r="F2797">
        <v>11226</v>
      </c>
      <c r="G2797">
        <v>3234</v>
      </c>
      <c r="H2797" t="s">
        <v>124</v>
      </c>
      <c r="I2797" t="s">
        <v>185</v>
      </c>
    </row>
    <row r="2798" spans="1:9" ht="15" customHeight="1" x14ac:dyDescent="0.35">
      <c r="A2798">
        <v>2018</v>
      </c>
      <c r="B2798" t="s">
        <v>157</v>
      </c>
      <c r="C2798">
        <v>10</v>
      </c>
      <c r="D2798" t="s">
        <v>107</v>
      </c>
      <c r="E2798">
        <v>5665</v>
      </c>
      <c r="F2798">
        <v>7783</v>
      </c>
      <c r="G2798">
        <v>3495</v>
      </c>
      <c r="H2798" t="s">
        <v>124</v>
      </c>
      <c r="I2798" t="s">
        <v>185</v>
      </c>
    </row>
    <row r="2799" spans="1:9" ht="15" customHeight="1" x14ac:dyDescent="0.35">
      <c r="A2799">
        <v>2018</v>
      </c>
      <c r="B2799" t="s">
        <v>158</v>
      </c>
      <c r="C2799">
        <v>11</v>
      </c>
      <c r="D2799" t="s">
        <v>107</v>
      </c>
      <c r="E2799">
        <v>4396</v>
      </c>
      <c r="F2799">
        <v>6008</v>
      </c>
      <c r="G2799">
        <v>2436</v>
      </c>
      <c r="H2799" t="s">
        <v>124</v>
      </c>
      <c r="I2799" t="s">
        <v>185</v>
      </c>
    </row>
    <row r="2800" spans="1:9" ht="15" customHeight="1" x14ac:dyDescent="0.35">
      <c r="A2800">
        <v>2018</v>
      </c>
      <c r="B2800" t="s">
        <v>159</v>
      </c>
      <c r="C2800">
        <v>12</v>
      </c>
      <c r="D2800" t="s">
        <v>107</v>
      </c>
      <c r="E2800">
        <v>4902</v>
      </c>
      <c r="F2800">
        <v>6438</v>
      </c>
      <c r="G2800">
        <v>3132</v>
      </c>
      <c r="H2800" t="s">
        <v>124</v>
      </c>
      <c r="I2800" t="s">
        <v>185</v>
      </c>
    </row>
    <row r="2801" spans="1:9" ht="15" customHeight="1" x14ac:dyDescent="0.35">
      <c r="A2801">
        <v>2019</v>
      </c>
      <c r="B2801" t="s">
        <v>147</v>
      </c>
      <c r="C2801">
        <v>1</v>
      </c>
      <c r="D2801" t="s">
        <v>107</v>
      </c>
      <c r="E2801">
        <v>4533</v>
      </c>
      <c r="F2801">
        <v>6051</v>
      </c>
      <c r="G2801">
        <v>2468</v>
      </c>
      <c r="H2801" t="s">
        <v>124</v>
      </c>
      <c r="I2801" t="s">
        <v>185</v>
      </c>
    </row>
    <row r="2802" spans="1:9" ht="15" customHeight="1" x14ac:dyDescent="0.35">
      <c r="A2802">
        <v>2019</v>
      </c>
      <c r="B2802" t="s">
        <v>149</v>
      </c>
      <c r="C2802">
        <v>2</v>
      </c>
      <c r="D2802" t="s">
        <v>107</v>
      </c>
      <c r="E2802">
        <v>4263</v>
      </c>
      <c r="F2802">
        <v>5509</v>
      </c>
      <c r="G2802">
        <v>2651</v>
      </c>
      <c r="H2802" t="s">
        <v>124</v>
      </c>
      <c r="I2802" t="s">
        <v>185</v>
      </c>
    </row>
    <row r="2803" spans="1:9" ht="15" customHeight="1" x14ac:dyDescent="0.35">
      <c r="A2803">
        <v>2019</v>
      </c>
      <c r="B2803" t="s">
        <v>150</v>
      </c>
      <c r="C2803">
        <v>3</v>
      </c>
      <c r="D2803" t="s">
        <v>107</v>
      </c>
      <c r="E2803">
        <v>4811</v>
      </c>
      <c r="F2803">
        <v>6545</v>
      </c>
      <c r="G2803">
        <v>2745</v>
      </c>
      <c r="H2803" t="s">
        <v>124</v>
      </c>
      <c r="I2803" t="s">
        <v>185</v>
      </c>
    </row>
    <row r="2804" spans="1:9" ht="15" customHeight="1" x14ac:dyDescent="0.35">
      <c r="A2804">
        <v>2019</v>
      </c>
      <c r="B2804" t="s">
        <v>151</v>
      </c>
      <c r="C2804">
        <v>4</v>
      </c>
      <c r="D2804" t="s">
        <v>107</v>
      </c>
      <c r="E2804">
        <v>5035</v>
      </c>
      <c r="F2804">
        <v>6955</v>
      </c>
      <c r="G2804">
        <v>2583</v>
      </c>
      <c r="H2804" t="s">
        <v>71</v>
      </c>
      <c r="I2804" t="s">
        <v>185</v>
      </c>
    </row>
    <row r="2805" spans="1:9" ht="15" customHeight="1" x14ac:dyDescent="0.35">
      <c r="A2805">
        <v>2019</v>
      </c>
      <c r="B2805" t="s">
        <v>152</v>
      </c>
      <c r="C2805">
        <v>5</v>
      </c>
      <c r="D2805" t="s">
        <v>107</v>
      </c>
      <c r="E2805">
        <v>6381</v>
      </c>
      <c r="F2805">
        <v>8756</v>
      </c>
      <c r="G2805">
        <v>3614</v>
      </c>
      <c r="H2805" t="s">
        <v>71</v>
      </c>
      <c r="I2805" t="s">
        <v>185</v>
      </c>
    </row>
    <row r="2806" spans="1:9" ht="15" customHeight="1" x14ac:dyDescent="0.35">
      <c r="A2806">
        <v>2019</v>
      </c>
      <c r="B2806" t="s">
        <v>153</v>
      </c>
      <c r="C2806">
        <v>6</v>
      </c>
      <c r="D2806" t="s">
        <v>107</v>
      </c>
      <c r="E2806">
        <v>9408</v>
      </c>
      <c r="F2806">
        <v>12752</v>
      </c>
      <c r="G2806">
        <v>4205</v>
      </c>
      <c r="H2806" t="s">
        <v>71</v>
      </c>
      <c r="I2806" t="s">
        <v>185</v>
      </c>
    </row>
    <row r="2807" spans="1:9" ht="15" customHeight="1" x14ac:dyDescent="0.35">
      <c r="A2807">
        <v>2019</v>
      </c>
      <c r="B2807" t="s">
        <v>154</v>
      </c>
      <c r="C2807">
        <v>7</v>
      </c>
      <c r="D2807" t="s">
        <v>107</v>
      </c>
      <c r="E2807">
        <v>9852</v>
      </c>
      <c r="F2807">
        <v>13054</v>
      </c>
      <c r="G2807">
        <v>4827</v>
      </c>
      <c r="H2807" t="s">
        <v>71</v>
      </c>
      <c r="I2807" t="s">
        <v>185</v>
      </c>
    </row>
    <row r="2808" spans="1:9" ht="15" customHeight="1" x14ac:dyDescent="0.35">
      <c r="A2808">
        <v>2019</v>
      </c>
      <c r="B2808" t="s">
        <v>155</v>
      </c>
      <c r="C2808">
        <v>8</v>
      </c>
      <c r="D2808" t="s">
        <v>107</v>
      </c>
      <c r="E2808">
        <v>9549</v>
      </c>
      <c r="F2808">
        <v>11867</v>
      </c>
      <c r="G2808">
        <v>3864</v>
      </c>
      <c r="H2808" t="s">
        <v>71</v>
      </c>
      <c r="I2808" t="s">
        <v>185</v>
      </c>
    </row>
    <row r="2809" spans="1:9" ht="15" customHeight="1" x14ac:dyDescent="0.35">
      <c r="A2809">
        <v>2019</v>
      </c>
      <c r="B2809" t="s">
        <v>156</v>
      </c>
      <c r="C2809">
        <v>9</v>
      </c>
      <c r="D2809" t="s">
        <v>107</v>
      </c>
      <c r="E2809">
        <v>9332</v>
      </c>
      <c r="F2809">
        <v>11662</v>
      </c>
      <c r="G2809">
        <v>4672</v>
      </c>
      <c r="H2809" t="s">
        <v>71</v>
      </c>
      <c r="I2809" t="s">
        <v>185</v>
      </c>
    </row>
    <row r="2810" spans="1:9" ht="15" customHeight="1" x14ac:dyDescent="0.35">
      <c r="A2810">
        <v>2019</v>
      </c>
      <c r="B2810" t="s">
        <v>157</v>
      </c>
      <c r="C2810">
        <v>10</v>
      </c>
      <c r="D2810" t="s">
        <v>107</v>
      </c>
      <c r="E2810">
        <v>5373</v>
      </c>
      <c r="F2810">
        <v>7185</v>
      </c>
      <c r="G2810">
        <v>2915</v>
      </c>
      <c r="H2810" t="s">
        <v>71</v>
      </c>
      <c r="I2810" t="s">
        <v>185</v>
      </c>
    </row>
    <row r="2811" spans="1:9" ht="15" customHeight="1" x14ac:dyDescent="0.35">
      <c r="A2811">
        <v>2019</v>
      </c>
      <c r="B2811" t="s">
        <v>158</v>
      </c>
      <c r="C2811">
        <v>11</v>
      </c>
      <c r="D2811" t="s">
        <v>107</v>
      </c>
      <c r="E2811">
        <v>4198</v>
      </c>
      <c r="F2811">
        <v>5563</v>
      </c>
      <c r="G2811">
        <v>2816</v>
      </c>
      <c r="H2811" t="s">
        <v>71</v>
      </c>
      <c r="I2811" t="s">
        <v>185</v>
      </c>
    </row>
    <row r="2812" spans="1:9" ht="15" customHeight="1" x14ac:dyDescent="0.35">
      <c r="A2812">
        <v>2019</v>
      </c>
      <c r="B2812" t="s">
        <v>159</v>
      </c>
      <c r="C2812">
        <v>12</v>
      </c>
      <c r="D2812" t="s">
        <v>107</v>
      </c>
      <c r="E2812">
        <v>4554</v>
      </c>
      <c r="F2812">
        <v>6462</v>
      </c>
      <c r="G2812">
        <v>2508</v>
      </c>
      <c r="H2812" t="s">
        <v>71</v>
      </c>
      <c r="I2812" t="s">
        <v>185</v>
      </c>
    </row>
    <row r="2813" spans="1:9" ht="15" customHeight="1" x14ac:dyDescent="0.35">
      <c r="A2813">
        <v>2020</v>
      </c>
      <c r="B2813" t="s">
        <v>147</v>
      </c>
      <c r="C2813">
        <v>1</v>
      </c>
      <c r="D2813" t="s">
        <v>107</v>
      </c>
      <c r="E2813">
        <v>4536</v>
      </c>
      <c r="F2813">
        <v>6342</v>
      </c>
      <c r="G2813">
        <v>2917</v>
      </c>
      <c r="H2813" t="s">
        <v>71</v>
      </c>
      <c r="I2813" t="s">
        <v>185</v>
      </c>
    </row>
    <row r="2814" spans="1:9" ht="15" customHeight="1" x14ac:dyDescent="0.35">
      <c r="A2814">
        <v>2020</v>
      </c>
      <c r="B2814" t="s">
        <v>149</v>
      </c>
      <c r="C2814">
        <v>2</v>
      </c>
      <c r="D2814" t="s">
        <v>107</v>
      </c>
      <c r="E2814">
        <v>5230</v>
      </c>
      <c r="F2814">
        <v>7005</v>
      </c>
      <c r="G2814">
        <v>3187</v>
      </c>
      <c r="H2814" t="s">
        <v>71</v>
      </c>
      <c r="I2814" t="s">
        <v>185</v>
      </c>
    </row>
    <row r="2815" spans="1:9" ht="15" customHeight="1" x14ac:dyDescent="0.35">
      <c r="A2815">
        <v>2020</v>
      </c>
      <c r="B2815" t="s">
        <v>150</v>
      </c>
      <c r="C2815">
        <v>3</v>
      </c>
      <c r="D2815" t="s">
        <v>107</v>
      </c>
      <c r="E2815">
        <v>3741</v>
      </c>
      <c r="F2815">
        <v>6095</v>
      </c>
      <c r="G2815">
        <v>1423</v>
      </c>
      <c r="H2815" t="s">
        <v>71</v>
      </c>
      <c r="I2815" t="s">
        <v>185</v>
      </c>
    </row>
    <row r="2816" spans="1:9" ht="15" customHeight="1" x14ac:dyDescent="0.35">
      <c r="A2816">
        <v>2020</v>
      </c>
      <c r="B2816" t="s">
        <v>151</v>
      </c>
      <c r="C2816">
        <v>4</v>
      </c>
      <c r="D2816" t="s">
        <v>107</v>
      </c>
      <c r="E2816">
        <v>3130</v>
      </c>
      <c r="F2816">
        <v>4978</v>
      </c>
      <c r="G2816">
        <v>1448</v>
      </c>
      <c r="H2816" t="s">
        <v>72</v>
      </c>
      <c r="I2816" t="s">
        <v>185</v>
      </c>
    </row>
    <row r="2817" spans="1:9" ht="15" customHeight="1" x14ac:dyDescent="0.35">
      <c r="A2817">
        <v>2020</v>
      </c>
      <c r="B2817" t="s">
        <v>152</v>
      </c>
      <c r="C2817">
        <v>5</v>
      </c>
      <c r="D2817" t="s">
        <v>107</v>
      </c>
      <c r="E2817">
        <v>5358</v>
      </c>
      <c r="F2817">
        <v>8058</v>
      </c>
      <c r="G2817">
        <v>2560</v>
      </c>
      <c r="H2817" t="s">
        <v>72</v>
      </c>
      <c r="I2817" t="s">
        <v>185</v>
      </c>
    </row>
    <row r="2818" spans="1:9" ht="15" customHeight="1" x14ac:dyDescent="0.35">
      <c r="A2818">
        <v>2020</v>
      </c>
      <c r="B2818" t="s">
        <v>153</v>
      </c>
      <c r="C2818">
        <v>6</v>
      </c>
      <c r="D2818" t="s">
        <v>107</v>
      </c>
      <c r="E2818">
        <v>9218</v>
      </c>
      <c r="F2818">
        <v>12660</v>
      </c>
      <c r="G2818">
        <v>4699</v>
      </c>
      <c r="H2818" t="s">
        <v>72</v>
      </c>
      <c r="I2818" t="s">
        <v>185</v>
      </c>
    </row>
    <row r="2819" spans="1:9" ht="15" customHeight="1" x14ac:dyDescent="0.35">
      <c r="A2819">
        <v>2020</v>
      </c>
      <c r="B2819" t="s">
        <v>154</v>
      </c>
      <c r="C2819">
        <v>7</v>
      </c>
      <c r="D2819" t="s">
        <v>107</v>
      </c>
      <c r="E2819">
        <v>9914</v>
      </c>
      <c r="F2819">
        <v>12967</v>
      </c>
      <c r="G2819">
        <v>3508</v>
      </c>
      <c r="H2819" t="s">
        <v>72</v>
      </c>
      <c r="I2819" t="s">
        <v>185</v>
      </c>
    </row>
    <row r="2820" spans="1:9" ht="15" customHeight="1" x14ac:dyDescent="0.35">
      <c r="A2820">
        <v>2020</v>
      </c>
      <c r="B2820" t="s">
        <v>155</v>
      </c>
      <c r="C2820">
        <v>8</v>
      </c>
      <c r="D2820" t="s">
        <v>107</v>
      </c>
      <c r="E2820">
        <v>10038</v>
      </c>
      <c r="F2820">
        <v>12553</v>
      </c>
      <c r="G2820">
        <v>6832</v>
      </c>
      <c r="H2820" t="s">
        <v>72</v>
      </c>
      <c r="I2820" t="s">
        <v>185</v>
      </c>
    </row>
    <row r="2821" spans="1:9" ht="15" customHeight="1" x14ac:dyDescent="0.35">
      <c r="A2821">
        <v>2020</v>
      </c>
      <c r="B2821" t="s">
        <v>156</v>
      </c>
      <c r="C2821">
        <v>9</v>
      </c>
      <c r="D2821" t="s">
        <v>107</v>
      </c>
      <c r="E2821">
        <v>10033</v>
      </c>
      <c r="F2821">
        <v>12255</v>
      </c>
      <c r="G2821">
        <v>6879</v>
      </c>
      <c r="H2821" t="s">
        <v>72</v>
      </c>
      <c r="I2821" t="s">
        <v>185</v>
      </c>
    </row>
    <row r="2822" spans="1:9" ht="15" customHeight="1" x14ac:dyDescent="0.35">
      <c r="A2822">
        <v>2020</v>
      </c>
      <c r="B2822" t="s">
        <v>157</v>
      </c>
      <c r="C2822">
        <v>10</v>
      </c>
      <c r="D2822" t="s">
        <v>107</v>
      </c>
      <c r="E2822">
        <v>6260</v>
      </c>
      <c r="F2822">
        <v>8892</v>
      </c>
      <c r="G2822">
        <v>3294</v>
      </c>
      <c r="H2822" t="s">
        <v>72</v>
      </c>
      <c r="I2822" t="s">
        <v>185</v>
      </c>
    </row>
    <row r="2823" spans="1:9" ht="15" customHeight="1" x14ac:dyDescent="0.35">
      <c r="A2823">
        <v>2020</v>
      </c>
      <c r="B2823" t="s">
        <v>158</v>
      </c>
      <c r="C2823">
        <v>11</v>
      </c>
      <c r="D2823" t="s">
        <v>107</v>
      </c>
      <c r="E2823">
        <v>4241</v>
      </c>
      <c r="F2823">
        <v>5951</v>
      </c>
      <c r="G2823">
        <v>1600</v>
      </c>
      <c r="H2823" t="s">
        <v>72</v>
      </c>
      <c r="I2823" t="s">
        <v>185</v>
      </c>
    </row>
    <row r="2824" spans="1:9" ht="15" customHeight="1" x14ac:dyDescent="0.35">
      <c r="A2824">
        <v>2020</v>
      </c>
      <c r="B2824" t="s">
        <v>159</v>
      </c>
      <c r="C2824">
        <v>12</v>
      </c>
      <c r="D2824" t="s">
        <v>107</v>
      </c>
      <c r="E2824">
        <v>5063</v>
      </c>
      <c r="F2824">
        <v>6580</v>
      </c>
      <c r="G2824">
        <v>2502</v>
      </c>
      <c r="H2824" t="s">
        <v>72</v>
      </c>
      <c r="I2824" t="s">
        <v>185</v>
      </c>
    </row>
    <row r="2825" spans="1:9" ht="15" customHeight="1" x14ac:dyDescent="0.35">
      <c r="A2825">
        <v>2021</v>
      </c>
      <c r="B2825" t="s">
        <v>147</v>
      </c>
      <c r="C2825">
        <v>1</v>
      </c>
      <c r="D2825" t="s">
        <v>107</v>
      </c>
      <c r="E2825">
        <v>5074</v>
      </c>
      <c r="F2825">
        <v>6863</v>
      </c>
      <c r="G2825">
        <v>3118</v>
      </c>
      <c r="H2825" t="s">
        <v>72</v>
      </c>
      <c r="I2825" t="s">
        <v>185</v>
      </c>
    </row>
    <row r="2826" spans="1:9" ht="15" customHeight="1" x14ac:dyDescent="0.35">
      <c r="A2826">
        <v>2021</v>
      </c>
      <c r="B2826" t="s">
        <v>149</v>
      </c>
      <c r="C2826">
        <v>2</v>
      </c>
      <c r="D2826" t="s">
        <v>107</v>
      </c>
      <c r="E2826">
        <v>5281</v>
      </c>
      <c r="F2826">
        <v>7011</v>
      </c>
      <c r="G2826">
        <v>3500</v>
      </c>
      <c r="H2826" t="s">
        <v>72</v>
      </c>
      <c r="I2826" t="s">
        <v>185</v>
      </c>
    </row>
    <row r="2827" spans="1:9" ht="15" customHeight="1" x14ac:dyDescent="0.35">
      <c r="A2827">
        <v>2021</v>
      </c>
      <c r="B2827" t="s">
        <v>150</v>
      </c>
      <c r="C2827">
        <v>3</v>
      </c>
      <c r="D2827" t="s">
        <v>107</v>
      </c>
      <c r="E2827">
        <v>5355</v>
      </c>
      <c r="F2827">
        <v>7340</v>
      </c>
      <c r="G2827">
        <v>2206</v>
      </c>
      <c r="H2827" t="s">
        <v>72</v>
      </c>
      <c r="I2827" t="s">
        <v>185</v>
      </c>
    </row>
    <row r="2828" spans="1:9" ht="15" customHeight="1" x14ac:dyDescent="0.35">
      <c r="A2828">
        <v>2021</v>
      </c>
      <c r="B2828" t="s">
        <v>151</v>
      </c>
      <c r="C2828">
        <v>4</v>
      </c>
      <c r="D2828" t="s">
        <v>107</v>
      </c>
      <c r="E2828">
        <v>5058</v>
      </c>
      <c r="F2828">
        <v>6933</v>
      </c>
      <c r="G2828">
        <v>2226</v>
      </c>
      <c r="H2828" t="s">
        <v>73</v>
      </c>
      <c r="I2828" t="s">
        <v>185</v>
      </c>
    </row>
    <row r="2829" spans="1:9" ht="15" customHeight="1" x14ac:dyDescent="0.35">
      <c r="A2829">
        <v>2021</v>
      </c>
      <c r="B2829" t="s">
        <v>152</v>
      </c>
      <c r="C2829">
        <v>5</v>
      </c>
      <c r="D2829" t="s">
        <v>107</v>
      </c>
      <c r="E2829">
        <v>6183</v>
      </c>
      <c r="F2829">
        <v>8199</v>
      </c>
      <c r="G2829">
        <v>3360</v>
      </c>
      <c r="H2829" t="s">
        <v>73</v>
      </c>
      <c r="I2829" t="s">
        <v>185</v>
      </c>
    </row>
    <row r="2830" spans="1:9" ht="15" customHeight="1" x14ac:dyDescent="0.35">
      <c r="A2830">
        <v>2021</v>
      </c>
      <c r="B2830" t="s">
        <v>153</v>
      </c>
      <c r="C2830">
        <v>6</v>
      </c>
      <c r="D2830" t="s">
        <v>107</v>
      </c>
      <c r="E2830">
        <v>9670</v>
      </c>
      <c r="F2830">
        <v>13023</v>
      </c>
      <c r="G2830">
        <v>3744</v>
      </c>
      <c r="H2830" t="s">
        <v>73</v>
      </c>
      <c r="I2830" t="s">
        <v>185</v>
      </c>
    </row>
    <row r="2831" spans="1:9" ht="15" customHeight="1" x14ac:dyDescent="0.35">
      <c r="A2831">
        <v>2021</v>
      </c>
      <c r="B2831" t="s">
        <v>154</v>
      </c>
      <c r="C2831">
        <v>7</v>
      </c>
      <c r="D2831" t="s">
        <v>107</v>
      </c>
      <c r="E2831">
        <v>11004</v>
      </c>
      <c r="F2831">
        <v>13242</v>
      </c>
      <c r="G2831">
        <v>5392</v>
      </c>
      <c r="H2831" t="s">
        <v>73</v>
      </c>
      <c r="I2831" t="s">
        <v>185</v>
      </c>
    </row>
    <row r="2832" spans="1:9" ht="15" customHeight="1" x14ac:dyDescent="0.35">
      <c r="A2832">
        <v>2021</v>
      </c>
      <c r="B2832" t="s">
        <v>155</v>
      </c>
      <c r="C2832">
        <v>8</v>
      </c>
      <c r="D2832" t="s">
        <v>107</v>
      </c>
      <c r="E2832">
        <v>11015</v>
      </c>
      <c r="F2832">
        <v>13055</v>
      </c>
      <c r="G2832">
        <v>7104</v>
      </c>
      <c r="H2832" t="s">
        <v>73</v>
      </c>
      <c r="I2832" t="s">
        <v>185</v>
      </c>
    </row>
    <row r="2833" spans="1:9" ht="15" customHeight="1" x14ac:dyDescent="0.35">
      <c r="A2833">
        <v>2021</v>
      </c>
      <c r="B2833" t="s">
        <v>156</v>
      </c>
      <c r="C2833">
        <v>9</v>
      </c>
      <c r="D2833" t="s">
        <v>107</v>
      </c>
      <c r="E2833">
        <v>8965</v>
      </c>
      <c r="F2833">
        <v>11931</v>
      </c>
      <c r="G2833">
        <v>5159</v>
      </c>
      <c r="H2833" t="s">
        <v>73</v>
      </c>
      <c r="I2833" t="s">
        <v>185</v>
      </c>
    </row>
    <row r="2834" spans="1:9" ht="15" customHeight="1" x14ac:dyDescent="0.35">
      <c r="A2834">
        <v>2021</v>
      </c>
      <c r="B2834" t="s">
        <v>157</v>
      </c>
      <c r="C2834">
        <v>10</v>
      </c>
      <c r="D2834" t="s">
        <v>107</v>
      </c>
      <c r="E2834">
        <v>6496</v>
      </c>
      <c r="F2834">
        <v>9478</v>
      </c>
      <c r="G2834">
        <v>3299</v>
      </c>
      <c r="H2834" t="s">
        <v>73</v>
      </c>
      <c r="I2834" t="s">
        <v>185</v>
      </c>
    </row>
    <row r="2835" spans="1:9" ht="15" customHeight="1" x14ac:dyDescent="0.35">
      <c r="A2835">
        <v>2021</v>
      </c>
      <c r="B2835" t="s">
        <v>158</v>
      </c>
      <c r="C2835">
        <v>11</v>
      </c>
      <c r="D2835" t="s">
        <v>107</v>
      </c>
      <c r="E2835">
        <v>4599</v>
      </c>
      <c r="F2835">
        <v>6198</v>
      </c>
      <c r="G2835">
        <v>2362</v>
      </c>
      <c r="H2835" t="s">
        <v>73</v>
      </c>
      <c r="I2835" t="s">
        <v>185</v>
      </c>
    </row>
    <row r="2836" spans="1:9" ht="15" customHeight="1" x14ac:dyDescent="0.35">
      <c r="A2836">
        <v>2021</v>
      </c>
      <c r="B2836" t="s">
        <v>159</v>
      </c>
      <c r="C2836">
        <v>12</v>
      </c>
      <c r="D2836" t="s">
        <v>107</v>
      </c>
      <c r="E2836">
        <v>5470</v>
      </c>
      <c r="F2836">
        <v>7225</v>
      </c>
      <c r="G2836">
        <v>3386</v>
      </c>
      <c r="H2836" t="s">
        <v>73</v>
      </c>
      <c r="I2836" t="s">
        <v>185</v>
      </c>
    </row>
    <row r="2837" spans="1:9" ht="15" customHeight="1" x14ac:dyDescent="0.35">
      <c r="A2837">
        <v>2022</v>
      </c>
      <c r="B2837" t="s">
        <v>147</v>
      </c>
      <c r="C2837">
        <v>1</v>
      </c>
      <c r="D2837" t="s">
        <v>107</v>
      </c>
      <c r="E2837">
        <v>4983</v>
      </c>
      <c r="F2837">
        <v>7057</v>
      </c>
      <c r="G2837">
        <v>3008</v>
      </c>
      <c r="H2837" t="s">
        <v>73</v>
      </c>
      <c r="I2837" t="s">
        <v>185</v>
      </c>
    </row>
    <row r="2838" spans="1:9" ht="15" customHeight="1" x14ac:dyDescent="0.35">
      <c r="A2838">
        <v>2022</v>
      </c>
      <c r="B2838" t="s">
        <v>149</v>
      </c>
      <c r="C2838">
        <v>2</v>
      </c>
      <c r="D2838" t="s">
        <v>107</v>
      </c>
      <c r="E2838">
        <v>5146</v>
      </c>
      <c r="F2838">
        <v>6973</v>
      </c>
      <c r="G2838">
        <v>3120</v>
      </c>
      <c r="H2838" t="s">
        <v>73</v>
      </c>
      <c r="I2838" t="s">
        <v>185</v>
      </c>
    </row>
    <row r="2839" spans="1:9" ht="15" customHeight="1" x14ac:dyDescent="0.35">
      <c r="A2839">
        <v>2022</v>
      </c>
      <c r="B2839" t="s">
        <v>150</v>
      </c>
      <c r="C2839">
        <v>3</v>
      </c>
      <c r="D2839" t="s">
        <v>107</v>
      </c>
      <c r="E2839">
        <v>6095</v>
      </c>
      <c r="F2839">
        <v>8290</v>
      </c>
      <c r="G2839">
        <v>3891</v>
      </c>
      <c r="H2839" t="s">
        <v>73</v>
      </c>
      <c r="I2839" t="s">
        <v>185</v>
      </c>
    </row>
    <row r="2840" spans="1:9" ht="15" customHeight="1" x14ac:dyDescent="0.35">
      <c r="A2840">
        <v>2022</v>
      </c>
      <c r="B2840" t="s">
        <v>151</v>
      </c>
      <c r="C2840">
        <v>4</v>
      </c>
      <c r="D2840" t="s">
        <v>107</v>
      </c>
      <c r="E2840">
        <v>6667</v>
      </c>
      <c r="F2840">
        <v>9648</v>
      </c>
      <c r="G2840">
        <v>3740</v>
      </c>
      <c r="H2840" t="s">
        <v>74</v>
      </c>
      <c r="I2840" t="s">
        <v>185</v>
      </c>
    </row>
    <row r="2841" spans="1:9" ht="15" customHeight="1" x14ac:dyDescent="0.35">
      <c r="A2841">
        <v>2022</v>
      </c>
      <c r="B2841" t="s">
        <v>152</v>
      </c>
      <c r="C2841">
        <v>5</v>
      </c>
      <c r="D2841" t="s">
        <v>107</v>
      </c>
      <c r="E2841">
        <v>8466</v>
      </c>
      <c r="F2841">
        <v>10740</v>
      </c>
      <c r="G2841">
        <v>3060</v>
      </c>
      <c r="H2841" t="s">
        <v>74</v>
      </c>
      <c r="I2841" t="s">
        <v>185</v>
      </c>
    </row>
    <row r="2842" spans="1:9" ht="15" customHeight="1" x14ac:dyDescent="0.35">
      <c r="A2842">
        <v>2022</v>
      </c>
      <c r="B2842" t="s">
        <v>153</v>
      </c>
      <c r="C2842">
        <v>6</v>
      </c>
      <c r="D2842" t="s">
        <v>107</v>
      </c>
      <c r="E2842">
        <v>10402</v>
      </c>
      <c r="F2842">
        <v>14045</v>
      </c>
      <c r="G2842">
        <v>4360</v>
      </c>
      <c r="H2842" t="s">
        <v>74</v>
      </c>
      <c r="I2842" t="s">
        <v>185</v>
      </c>
    </row>
    <row r="2843" spans="1:9" ht="15" customHeight="1" x14ac:dyDescent="0.35">
      <c r="A2843">
        <v>2022</v>
      </c>
      <c r="B2843" t="s">
        <v>154</v>
      </c>
      <c r="C2843">
        <v>7</v>
      </c>
      <c r="D2843" t="s">
        <v>107</v>
      </c>
      <c r="E2843">
        <v>10963</v>
      </c>
      <c r="F2843">
        <v>13813</v>
      </c>
      <c r="G2843">
        <v>5899</v>
      </c>
      <c r="H2843" t="s">
        <v>74</v>
      </c>
      <c r="I2843" t="s">
        <v>185</v>
      </c>
    </row>
    <row r="2844" spans="1:9" ht="15" customHeight="1" x14ac:dyDescent="0.35">
      <c r="A2844">
        <v>2022</v>
      </c>
      <c r="B2844" t="s">
        <v>155</v>
      </c>
      <c r="C2844">
        <v>8</v>
      </c>
      <c r="D2844" t="s">
        <v>107</v>
      </c>
      <c r="E2844">
        <v>11997</v>
      </c>
      <c r="F2844">
        <v>14093</v>
      </c>
      <c r="G2844">
        <v>6459</v>
      </c>
      <c r="H2844" t="s">
        <v>74</v>
      </c>
      <c r="I2844" t="s">
        <v>185</v>
      </c>
    </row>
    <row r="2845" spans="1:9" ht="15" customHeight="1" x14ac:dyDescent="0.35">
      <c r="A2845">
        <v>2022</v>
      </c>
      <c r="B2845" t="s">
        <v>156</v>
      </c>
      <c r="C2845">
        <v>9</v>
      </c>
      <c r="D2845" t="s">
        <v>107</v>
      </c>
      <c r="E2845">
        <v>10620</v>
      </c>
      <c r="F2845">
        <v>14009</v>
      </c>
      <c r="G2845">
        <v>4329</v>
      </c>
      <c r="H2845" t="s">
        <v>74</v>
      </c>
      <c r="I2845" t="s">
        <v>185</v>
      </c>
    </row>
    <row r="2846" spans="1:9" ht="15" customHeight="1" x14ac:dyDescent="0.35">
      <c r="A2846">
        <v>2022</v>
      </c>
      <c r="B2846" t="s">
        <v>157</v>
      </c>
      <c r="C2846">
        <v>10</v>
      </c>
      <c r="D2846" t="s">
        <v>107</v>
      </c>
      <c r="E2846">
        <v>6720</v>
      </c>
      <c r="F2846">
        <v>11330</v>
      </c>
      <c r="G2846">
        <v>3023</v>
      </c>
      <c r="H2846" t="s">
        <v>74</v>
      </c>
      <c r="I2846" t="s">
        <v>185</v>
      </c>
    </row>
    <row r="2847" spans="1:9" ht="15" customHeight="1" x14ac:dyDescent="0.35">
      <c r="A2847">
        <v>2022</v>
      </c>
      <c r="B2847" t="s">
        <v>158</v>
      </c>
      <c r="C2847">
        <v>11</v>
      </c>
      <c r="D2847" t="s">
        <v>107</v>
      </c>
      <c r="E2847">
        <v>5197</v>
      </c>
      <c r="F2847">
        <v>7177</v>
      </c>
      <c r="G2847">
        <v>3448</v>
      </c>
      <c r="H2847" t="s">
        <v>74</v>
      </c>
      <c r="I2847" t="s">
        <v>185</v>
      </c>
    </row>
    <row r="2848" spans="1:9" ht="15" customHeight="1" x14ac:dyDescent="0.35">
      <c r="A2848">
        <v>2022</v>
      </c>
      <c r="B2848" t="s">
        <v>159</v>
      </c>
      <c r="C2848">
        <v>12</v>
      </c>
      <c r="D2848" t="s">
        <v>107</v>
      </c>
      <c r="E2848">
        <v>5758</v>
      </c>
      <c r="F2848">
        <v>7752</v>
      </c>
      <c r="G2848">
        <v>3345</v>
      </c>
      <c r="H2848" t="s">
        <v>74</v>
      </c>
      <c r="I2848" t="s">
        <v>185</v>
      </c>
    </row>
    <row r="2849" spans="1:9" ht="15" customHeight="1" x14ac:dyDescent="0.35">
      <c r="A2849">
        <v>2023</v>
      </c>
      <c r="B2849" t="s">
        <v>147</v>
      </c>
      <c r="C2849">
        <v>1</v>
      </c>
      <c r="D2849" t="s">
        <v>107</v>
      </c>
      <c r="E2849">
        <v>6141</v>
      </c>
      <c r="F2849">
        <v>8863</v>
      </c>
      <c r="G2849">
        <v>3713</v>
      </c>
      <c r="H2849" t="s">
        <v>74</v>
      </c>
      <c r="I2849" t="s">
        <v>185</v>
      </c>
    </row>
    <row r="2850" spans="1:9" ht="15" customHeight="1" x14ac:dyDescent="0.35">
      <c r="A2850">
        <v>2023</v>
      </c>
      <c r="B2850" t="s">
        <v>149</v>
      </c>
      <c r="C2850">
        <v>2</v>
      </c>
      <c r="D2850" t="s">
        <v>107</v>
      </c>
      <c r="E2850">
        <v>6179</v>
      </c>
      <c r="F2850">
        <v>8815</v>
      </c>
      <c r="G2850">
        <v>4143</v>
      </c>
      <c r="H2850" t="s">
        <v>74</v>
      </c>
      <c r="I2850" t="s">
        <v>185</v>
      </c>
    </row>
    <row r="2851" spans="1:9" ht="15" customHeight="1" x14ac:dyDescent="0.35">
      <c r="A2851">
        <v>2023</v>
      </c>
      <c r="B2851" t="s">
        <v>150</v>
      </c>
      <c r="C2851">
        <v>3</v>
      </c>
      <c r="D2851" t="s">
        <v>107</v>
      </c>
      <c r="E2851">
        <v>5689</v>
      </c>
      <c r="F2851">
        <v>8923</v>
      </c>
      <c r="G2851">
        <v>3468</v>
      </c>
      <c r="H2851" t="s">
        <v>74</v>
      </c>
      <c r="I2851" t="s">
        <v>185</v>
      </c>
    </row>
    <row r="2852" spans="1:9" ht="15" customHeight="1" x14ac:dyDescent="0.35">
      <c r="A2852">
        <v>2023</v>
      </c>
      <c r="B2852" t="s">
        <v>151</v>
      </c>
      <c r="C2852">
        <v>4</v>
      </c>
      <c r="D2852" t="s">
        <v>107</v>
      </c>
      <c r="E2852">
        <v>5775</v>
      </c>
      <c r="F2852">
        <v>8000</v>
      </c>
      <c r="G2852">
        <v>2691</v>
      </c>
      <c r="H2852" t="s">
        <v>75</v>
      </c>
      <c r="I2852" t="s">
        <v>185</v>
      </c>
    </row>
    <row r="2853" spans="1:9" ht="15" customHeight="1" x14ac:dyDescent="0.35">
      <c r="A2853">
        <v>2023</v>
      </c>
      <c r="B2853" t="s">
        <v>152</v>
      </c>
      <c r="C2853">
        <v>5</v>
      </c>
      <c r="D2853" t="s">
        <v>107</v>
      </c>
      <c r="E2853">
        <v>7042</v>
      </c>
      <c r="F2853">
        <v>11840</v>
      </c>
      <c r="G2853">
        <v>2584</v>
      </c>
      <c r="H2853" t="s">
        <v>75</v>
      </c>
      <c r="I2853" t="s">
        <v>185</v>
      </c>
    </row>
    <row r="2854" spans="1:9" ht="15" customHeight="1" x14ac:dyDescent="0.35">
      <c r="A2854">
        <v>2023</v>
      </c>
      <c r="B2854" t="s">
        <v>153</v>
      </c>
      <c r="C2854">
        <v>6</v>
      </c>
      <c r="D2854" t="s">
        <v>107</v>
      </c>
      <c r="E2854">
        <v>9759</v>
      </c>
      <c r="F2854">
        <v>15025</v>
      </c>
      <c r="G2854">
        <v>4519</v>
      </c>
      <c r="H2854" t="s">
        <v>75</v>
      </c>
      <c r="I2854" t="s">
        <v>185</v>
      </c>
    </row>
    <row r="2855" spans="1:9" ht="15" customHeight="1" x14ac:dyDescent="0.35">
      <c r="A2855">
        <v>2023</v>
      </c>
      <c r="B2855" t="s">
        <v>154</v>
      </c>
      <c r="C2855">
        <v>7</v>
      </c>
      <c r="D2855" t="s">
        <v>107</v>
      </c>
      <c r="E2855">
        <v>11101</v>
      </c>
      <c r="F2855">
        <v>14607</v>
      </c>
      <c r="G2855">
        <v>5530</v>
      </c>
      <c r="H2855" t="s">
        <v>75</v>
      </c>
      <c r="I2855" t="s">
        <v>185</v>
      </c>
    </row>
    <row r="2856" spans="1:9" ht="15" customHeight="1" x14ac:dyDescent="0.35">
      <c r="A2856">
        <v>2023</v>
      </c>
      <c r="B2856" t="s">
        <v>155</v>
      </c>
      <c r="C2856">
        <v>8</v>
      </c>
      <c r="D2856" t="s">
        <v>107</v>
      </c>
      <c r="E2856">
        <v>12944</v>
      </c>
      <c r="F2856">
        <v>14988</v>
      </c>
      <c r="G2856">
        <v>7878</v>
      </c>
      <c r="H2856" t="s">
        <v>75</v>
      </c>
      <c r="I2856" t="s">
        <v>185</v>
      </c>
    </row>
    <row r="2857" spans="1:9" ht="15" customHeight="1" x14ac:dyDescent="0.35">
      <c r="A2857">
        <v>2023</v>
      </c>
      <c r="B2857" t="s">
        <v>156</v>
      </c>
      <c r="C2857">
        <v>9</v>
      </c>
      <c r="D2857" t="s">
        <v>107</v>
      </c>
      <c r="E2857">
        <v>11194</v>
      </c>
      <c r="F2857">
        <v>14990</v>
      </c>
      <c r="G2857">
        <v>5904</v>
      </c>
      <c r="H2857" t="s">
        <v>75</v>
      </c>
      <c r="I2857" t="s">
        <v>185</v>
      </c>
    </row>
    <row r="2858" spans="1:9" ht="15" customHeight="1" x14ac:dyDescent="0.35">
      <c r="A2858">
        <v>2023</v>
      </c>
      <c r="B2858" t="s">
        <v>157</v>
      </c>
      <c r="C2858">
        <v>10</v>
      </c>
      <c r="D2858" t="s">
        <v>107</v>
      </c>
      <c r="E2858">
        <v>7133</v>
      </c>
      <c r="F2858">
        <v>12423</v>
      </c>
      <c r="G2858">
        <v>3458</v>
      </c>
      <c r="H2858" t="s">
        <v>75</v>
      </c>
      <c r="I2858" t="s">
        <v>185</v>
      </c>
    </row>
    <row r="2859" spans="1:9" ht="15" customHeight="1" x14ac:dyDescent="0.35">
      <c r="A2859">
        <v>2023</v>
      </c>
      <c r="B2859" t="s">
        <v>158</v>
      </c>
      <c r="C2859">
        <v>11</v>
      </c>
      <c r="D2859" t="s">
        <v>107</v>
      </c>
      <c r="E2859">
        <v>5331</v>
      </c>
      <c r="F2859">
        <v>7303</v>
      </c>
      <c r="G2859">
        <v>2397</v>
      </c>
      <c r="H2859" t="s">
        <v>75</v>
      </c>
      <c r="I2859" t="s">
        <v>185</v>
      </c>
    </row>
    <row r="2860" spans="1:9" ht="15" customHeight="1" x14ac:dyDescent="0.35">
      <c r="A2860">
        <v>2023</v>
      </c>
      <c r="B2860" t="s">
        <v>159</v>
      </c>
      <c r="C2860">
        <v>12</v>
      </c>
      <c r="D2860" t="s">
        <v>107</v>
      </c>
      <c r="E2860">
        <v>5808</v>
      </c>
      <c r="F2860">
        <v>7807</v>
      </c>
      <c r="G2860">
        <v>3639</v>
      </c>
      <c r="H2860" t="s">
        <v>75</v>
      </c>
      <c r="I2860" t="s">
        <v>185</v>
      </c>
    </row>
    <row r="2861" spans="1:9" ht="15" customHeight="1" x14ac:dyDescent="0.35">
      <c r="A2861">
        <v>2024</v>
      </c>
      <c r="B2861" t="s">
        <v>147</v>
      </c>
      <c r="C2861">
        <v>1</v>
      </c>
      <c r="D2861" t="s">
        <v>107</v>
      </c>
      <c r="E2861">
        <v>6564</v>
      </c>
      <c r="F2861">
        <v>9423</v>
      </c>
      <c r="G2861">
        <v>3849</v>
      </c>
      <c r="H2861" t="s">
        <v>75</v>
      </c>
      <c r="I2861" t="s">
        <v>185</v>
      </c>
    </row>
    <row r="2862" spans="1:9" ht="15" customHeight="1" x14ac:dyDescent="0.35">
      <c r="A2862">
        <v>2024</v>
      </c>
      <c r="B2862" t="s">
        <v>149</v>
      </c>
      <c r="C2862">
        <v>2</v>
      </c>
      <c r="D2862" t="s">
        <v>107</v>
      </c>
      <c r="E2862">
        <v>6422</v>
      </c>
      <c r="F2862">
        <v>10325</v>
      </c>
      <c r="G2862">
        <v>3828</v>
      </c>
      <c r="H2862" t="s">
        <v>75</v>
      </c>
      <c r="I2862" t="s">
        <v>185</v>
      </c>
    </row>
    <row r="2863" spans="1:9" ht="15" customHeight="1" x14ac:dyDescent="0.35">
      <c r="A2863">
        <v>2024</v>
      </c>
      <c r="B2863" t="s">
        <v>150</v>
      </c>
      <c r="C2863">
        <v>3</v>
      </c>
      <c r="D2863" t="s">
        <v>107</v>
      </c>
      <c r="E2863">
        <v>6214</v>
      </c>
      <c r="F2863">
        <v>10178</v>
      </c>
      <c r="G2863">
        <v>2616</v>
      </c>
      <c r="H2863" t="s">
        <v>75</v>
      </c>
      <c r="I2863" t="s">
        <v>185</v>
      </c>
    </row>
    <row r="2864" spans="1:9" ht="15" customHeight="1" x14ac:dyDescent="0.35">
      <c r="A2864">
        <v>2024</v>
      </c>
      <c r="B2864" t="s">
        <v>151</v>
      </c>
      <c r="C2864">
        <v>4</v>
      </c>
      <c r="D2864" t="s">
        <v>107</v>
      </c>
      <c r="E2864">
        <v>6248</v>
      </c>
      <c r="F2864">
        <v>10178</v>
      </c>
      <c r="G2864">
        <v>2616</v>
      </c>
      <c r="H2864" t="s">
        <v>77</v>
      </c>
      <c r="I2864" t="s">
        <v>185</v>
      </c>
    </row>
    <row r="2865" spans="1:9" ht="15" customHeight="1" x14ac:dyDescent="0.35">
      <c r="A2865">
        <v>2024</v>
      </c>
      <c r="B2865" t="s">
        <v>152</v>
      </c>
      <c r="C2865">
        <v>5</v>
      </c>
      <c r="D2865" t="s">
        <v>107</v>
      </c>
      <c r="E2865">
        <v>9616</v>
      </c>
      <c r="F2865">
        <v>14319</v>
      </c>
      <c r="G2865">
        <v>5016</v>
      </c>
      <c r="H2865" t="s">
        <v>77</v>
      </c>
      <c r="I2865" t="s">
        <v>185</v>
      </c>
    </row>
    <row r="2866" spans="1:9" ht="15" customHeight="1" x14ac:dyDescent="0.35">
      <c r="A2866">
        <v>2024</v>
      </c>
      <c r="B2866" t="s">
        <v>153</v>
      </c>
      <c r="C2866">
        <v>6</v>
      </c>
      <c r="D2866" t="s">
        <v>107</v>
      </c>
      <c r="E2866">
        <v>12108</v>
      </c>
      <c r="F2866">
        <v>15805</v>
      </c>
      <c r="G2866">
        <v>3116</v>
      </c>
      <c r="H2866" t="s">
        <v>77</v>
      </c>
      <c r="I2866" t="s">
        <v>185</v>
      </c>
    </row>
    <row r="2867" spans="1:9" ht="15" customHeight="1" x14ac:dyDescent="0.35">
      <c r="A2867">
        <v>2024</v>
      </c>
      <c r="B2867" t="s">
        <v>154</v>
      </c>
      <c r="C2867">
        <v>7</v>
      </c>
      <c r="D2867" t="s">
        <v>107</v>
      </c>
      <c r="E2867">
        <v>13861</v>
      </c>
      <c r="F2867">
        <v>15834</v>
      </c>
      <c r="G2867">
        <v>8094</v>
      </c>
      <c r="H2867" t="s">
        <v>77</v>
      </c>
      <c r="I2867" t="s">
        <v>185</v>
      </c>
    </row>
    <row r="2868" spans="1:9" ht="15" customHeight="1" x14ac:dyDescent="0.35">
      <c r="A2868">
        <v>2024</v>
      </c>
      <c r="B2868" t="s">
        <v>155</v>
      </c>
      <c r="C2868">
        <v>8</v>
      </c>
      <c r="D2868" t="s">
        <v>107</v>
      </c>
      <c r="E2868">
        <v>12345</v>
      </c>
      <c r="F2868">
        <v>15329</v>
      </c>
      <c r="G2868">
        <v>6387</v>
      </c>
      <c r="H2868" t="s">
        <v>77</v>
      </c>
      <c r="I2868" t="s">
        <v>185</v>
      </c>
    </row>
    <row r="2869" spans="1:9" ht="15" customHeight="1" x14ac:dyDescent="0.35">
      <c r="A2869">
        <v>2024</v>
      </c>
      <c r="B2869" t="s">
        <v>156</v>
      </c>
      <c r="C2869">
        <v>9</v>
      </c>
      <c r="D2869" t="s">
        <v>107</v>
      </c>
      <c r="E2869">
        <v>11825</v>
      </c>
      <c r="F2869">
        <v>15394</v>
      </c>
      <c r="G2869">
        <v>7372</v>
      </c>
      <c r="H2869" t="s">
        <v>77</v>
      </c>
      <c r="I2869" t="s">
        <v>185</v>
      </c>
    </row>
    <row r="2870" spans="1:9" ht="15" customHeight="1" x14ac:dyDescent="0.35">
      <c r="A2870">
        <v>2024</v>
      </c>
      <c r="B2870" t="s">
        <v>157</v>
      </c>
      <c r="C2870">
        <v>10</v>
      </c>
      <c r="D2870" t="s">
        <v>107</v>
      </c>
      <c r="E2870">
        <v>8378</v>
      </c>
      <c r="F2870">
        <v>14351</v>
      </c>
      <c r="G2870">
        <v>3925</v>
      </c>
      <c r="H2870" t="s">
        <v>77</v>
      </c>
      <c r="I2870" t="s">
        <v>185</v>
      </c>
    </row>
    <row r="2871" spans="1:9" ht="15" customHeight="1" x14ac:dyDescent="0.35">
      <c r="A2871">
        <v>2024</v>
      </c>
      <c r="B2871" t="s">
        <v>158</v>
      </c>
      <c r="C2871">
        <v>11</v>
      </c>
      <c r="D2871" t="s">
        <v>107</v>
      </c>
      <c r="E2871">
        <v>5815</v>
      </c>
      <c r="F2871">
        <v>8811</v>
      </c>
      <c r="G2871">
        <v>3726</v>
      </c>
      <c r="H2871" t="s">
        <v>77</v>
      </c>
      <c r="I2871" t="s">
        <v>185</v>
      </c>
    </row>
    <row r="2872" spans="1:9" ht="15" customHeight="1" x14ac:dyDescent="0.35">
      <c r="A2872">
        <v>2024</v>
      </c>
      <c r="B2872" t="s">
        <v>159</v>
      </c>
      <c r="C2872">
        <v>12</v>
      </c>
      <c r="D2872" t="s">
        <v>107</v>
      </c>
      <c r="E2872">
        <v>6337</v>
      </c>
      <c r="F2872">
        <v>9452</v>
      </c>
      <c r="G2872">
        <v>3650</v>
      </c>
      <c r="H2872" t="s">
        <v>77</v>
      </c>
      <c r="I2872" t="s">
        <v>185</v>
      </c>
    </row>
    <row r="2873" spans="1:9" ht="15" customHeight="1" x14ac:dyDescent="0.35">
      <c r="A2873">
        <v>2025</v>
      </c>
      <c r="B2873" t="s">
        <v>147</v>
      </c>
      <c r="C2873">
        <v>1</v>
      </c>
      <c r="D2873" t="s">
        <v>107</v>
      </c>
      <c r="E2873">
        <v>6304</v>
      </c>
      <c r="F2873">
        <v>10165</v>
      </c>
      <c r="G2873">
        <v>3892</v>
      </c>
      <c r="H2873" t="s">
        <v>77</v>
      </c>
      <c r="I2873" t="s">
        <v>185</v>
      </c>
    </row>
    <row r="2874" spans="1:9" ht="15" customHeight="1" x14ac:dyDescent="0.35">
      <c r="A2874">
        <v>2025</v>
      </c>
      <c r="B2874" t="s">
        <v>149</v>
      </c>
      <c r="C2874">
        <v>2</v>
      </c>
      <c r="D2874" t="s">
        <v>107</v>
      </c>
      <c r="E2874">
        <v>6330</v>
      </c>
      <c r="F2874">
        <v>10150</v>
      </c>
      <c r="G2874">
        <v>3815</v>
      </c>
      <c r="H2874" t="s">
        <v>77</v>
      </c>
      <c r="I2874" t="s">
        <v>185</v>
      </c>
    </row>
    <row r="2875" spans="1:9" ht="15" customHeight="1" x14ac:dyDescent="0.35">
      <c r="A2875">
        <v>2025</v>
      </c>
      <c r="B2875" t="s">
        <v>150</v>
      </c>
      <c r="C2875">
        <v>3</v>
      </c>
      <c r="D2875" t="s">
        <v>107</v>
      </c>
      <c r="E2875">
        <v>6534</v>
      </c>
      <c r="F2875">
        <v>10170</v>
      </c>
      <c r="G2875">
        <v>2310</v>
      </c>
      <c r="H2875" t="s">
        <v>77</v>
      </c>
      <c r="I2875" t="s">
        <v>185</v>
      </c>
    </row>
    <row r="2876" spans="1:9" ht="15" customHeight="1" x14ac:dyDescent="0.35">
      <c r="A2876">
        <v>2025</v>
      </c>
      <c r="B2876" t="s">
        <v>151</v>
      </c>
      <c r="C2876">
        <v>4</v>
      </c>
      <c r="D2876" t="s">
        <v>107</v>
      </c>
      <c r="E2876">
        <v>7171</v>
      </c>
      <c r="F2876">
        <v>10835</v>
      </c>
      <c r="G2876">
        <v>4300</v>
      </c>
      <c r="H2876" t="s">
        <v>78</v>
      </c>
      <c r="I2876" t="s">
        <v>185</v>
      </c>
    </row>
    <row r="2877" spans="1:9" ht="15" customHeight="1" x14ac:dyDescent="0.35">
      <c r="A2877">
        <v>2025</v>
      </c>
      <c r="B2877" t="s">
        <v>152</v>
      </c>
      <c r="C2877">
        <v>5</v>
      </c>
      <c r="D2877" t="s">
        <v>107</v>
      </c>
      <c r="E2877">
        <v>8802</v>
      </c>
      <c r="F2877">
        <v>14077</v>
      </c>
      <c r="G2877">
        <v>1951</v>
      </c>
      <c r="H2877" t="s">
        <v>78</v>
      </c>
      <c r="I2877" t="s">
        <v>185</v>
      </c>
    </row>
    <row r="2878" spans="1:9" ht="15" customHeight="1" x14ac:dyDescent="0.35">
      <c r="A2878">
        <v>2025</v>
      </c>
      <c r="B2878" t="s">
        <v>153</v>
      </c>
      <c r="C2878">
        <v>6</v>
      </c>
      <c r="D2878" t="s">
        <v>107</v>
      </c>
      <c r="E2878">
        <v>12724</v>
      </c>
      <c r="F2878">
        <v>16805</v>
      </c>
      <c r="G2878">
        <v>4941</v>
      </c>
      <c r="H2878" t="s">
        <v>78</v>
      </c>
      <c r="I2878" t="s">
        <v>185</v>
      </c>
    </row>
    <row r="2879" spans="1:9" ht="15" customHeight="1" x14ac:dyDescent="0.35">
      <c r="A2879">
        <v>2025</v>
      </c>
      <c r="B2879" t="s">
        <v>154</v>
      </c>
      <c r="C2879">
        <v>7</v>
      </c>
      <c r="D2879" t="s">
        <v>107</v>
      </c>
      <c r="E2879">
        <v>12894</v>
      </c>
      <c r="F2879">
        <v>16831</v>
      </c>
      <c r="G2879">
        <v>8618</v>
      </c>
      <c r="H2879" t="s">
        <v>78</v>
      </c>
      <c r="I2879" t="s">
        <v>185</v>
      </c>
    </row>
    <row r="2880" spans="1:9" ht="15" customHeight="1" x14ac:dyDescent="0.35">
      <c r="A2880">
        <v>2025</v>
      </c>
      <c r="B2880" t="s">
        <v>155</v>
      </c>
      <c r="C2880">
        <v>8</v>
      </c>
      <c r="D2880" t="s">
        <v>107</v>
      </c>
      <c r="E2880">
        <v>11231</v>
      </c>
      <c r="F2880">
        <v>16330</v>
      </c>
      <c r="G2880">
        <v>5143</v>
      </c>
      <c r="H2880" t="s">
        <v>78</v>
      </c>
      <c r="I2880" t="s">
        <v>185</v>
      </c>
    </row>
    <row r="2881" spans="1:9" ht="15" customHeight="1" x14ac:dyDescent="0.35">
      <c r="A2881">
        <v>2025</v>
      </c>
      <c r="B2881" t="s">
        <v>156</v>
      </c>
      <c r="C2881">
        <v>9</v>
      </c>
      <c r="D2881" t="s">
        <v>107</v>
      </c>
      <c r="E2881">
        <v>10406</v>
      </c>
      <c r="F2881">
        <v>14649</v>
      </c>
      <c r="G2881">
        <v>4843</v>
      </c>
      <c r="H2881" t="s">
        <v>78</v>
      </c>
      <c r="I2881" t="s">
        <v>185</v>
      </c>
    </row>
    <row r="2882" spans="1:9" ht="15" customHeight="1" x14ac:dyDescent="0.35">
      <c r="A2882">
        <v>2025</v>
      </c>
      <c r="B2882" t="s">
        <v>157</v>
      </c>
      <c r="C2882">
        <v>10</v>
      </c>
      <c r="D2882" t="s">
        <v>107</v>
      </c>
      <c r="E2882">
        <v>7240</v>
      </c>
      <c r="F2882">
        <v>13166</v>
      </c>
      <c r="G2882">
        <v>3752</v>
      </c>
      <c r="H2882" t="s">
        <v>78</v>
      </c>
      <c r="I2882" t="s">
        <v>185</v>
      </c>
    </row>
    <row r="2883" spans="1:9" ht="15" customHeight="1" x14ac:dyDescent="0.35">
      <c r="A2883">
        <v>2025</v>
      </c>
      <c r="B2883" t="s">
        <v>158</v>
      </c>
      <c r="C2883">
        <v>11</v>
      </c>
      <c r="D2883" t="s">
        <v>107</v>
      </c>
      <c r="E2883">
        <v>6133</v>
      </c>
      <c r="F2883">
        <v>9752</v>
      </c>
      <c r="G2883">
        <v>3679</v>
      </c>
      <c r="H2883" t="s">
        <v>78</v>
      </c>
      <c r="I2883" t="s">
        <v>185</v>
      </c>
    </row>
    <row r="2884" spans="1:9" ht="15" customHeight="1" x14ac:dyDescent="0.35">
      <c r="A2884">
        <v>2025</v>
      </c>
      <c r="B2884" t="s">
        <v>159</v>
      </c>
      <c r="C2884">
        <v>12</v>
      </c>
      <c r="D2884" t="s">
        <v>107</v>
      </c>
      <c r="E2884">
        <v>6720</v>
      </c>
      <c r="F2884">
        <v>10261</v>
      </c>
      <c r="G2884">
        <v>3738</v>
      </c>
      <c r="H2884" t="s">
        <v>78</v>
      </c>
      <c r="I2884" t="s">
        <v>185</v>
      </c>
    </row>
    <row r="2885" spans="1:9" ht="15" customHeight="1" x14ac:dyDescent="0.35">
      <c r="A2885">
        <v>2026</v>
      </c>
      <c r="B2885" t="s">
        <v>147</v>
      </c>
      <c r="C2885">
        <v>1</v>
      </c>
      <c r="D2885" t="s">
        <v>107</v>
      </c>
      <c r="E2885">
        <v>6892</v>
      </c>
      <c r="F2885">
        <v>10734</v>
      </c>
      <c r="G2885">
        <v>3054</v>
      </c>
      <c r="H2885" t="s">
        <v>78</v>
      </c>
      <c r="I2885" t="s">
        <v>185</v>
      </c>
    </row>
    <row r="2886" spans="1:9" ht="15" customHeight="1" x14ac:dyDescent="0.35">
      <c r="A2886">
        <v>2026</v>
      </c>
      <c r="B2886" t="s">
        <v>149</v>
      </c>
      <c r="C2886">
        <v>2</v>
      </c>
      <c r="D2886" t="s">
        <v>107</v>
      </c>
      <c r="E2886">
        <v>6834</v>
      </c>
      <c r="F2886">
        <v>11314</v>
      </c>
      <c r="G2886">
        <v>3898</v>
      </c>
      <c r="H2886" t="s">
        <v>78</v>
      </c>
      <c r="I2886" t="s">
        <v>185</v>
      </c>
    </row>
    <row r="2887" spans="1:9" ht="15" customHeight="1" x14ac:dyDescent="0.35">
      <c r="A2887">
        <v>2026</v>
      </c>
      <c r="B2887" t="s">
        <v>150</v>
      </c>
      <c r="C2887">
        <v>3</v>
      </c>
      <c r="D2887" t="s">
        <v>107</v>
      </c>
      <c r="E2887">
        <v>6892</v>
      </c>
      <c r="F2887">
        <v>10734</v>
      </c>
      <c r="G2887">
        <v>3054</v>
      </c>
      <c r="H2887" t="s">
        <v>78</v>
      </c>
      <c r="I2887" t="s">
        <v>185</v>
      </c>
    </row>
    <row r="2888" spans="1:9" ht="15" customHeight="1" x14ac:dyDescent="0.35">
      <c r="A2888">
        <v>2017</v>
      </c>
      <c r="B2888" t="s">
        <v>147</v>
      </c>
      <c r="C2888">
        <v>1</v>
      </c>
      <c r="D2888" t="s">
        <v>108</v>
      </c>
      <c r="E2888">
        <v>8300</v>
      </c>
      <c r="F2888">
        <v>9962</v>
      </c>
      <c r="G2888">
        <v>4193</v>
      </c>
      <c r="H2888" t="s">
        <v>122</v>
      </c>
      <c r="I2888" t="s">
        <v>186</v>
      </c>
    </row>
    <row r="2889" spans="1:9" ht="15" customHeight="1" x14ac:dyDescent="0.35">
      <c r="A2889">
        <v>2017</v>
      </c>
      <c r="B2889" t="s">
        <v>149</v>
      </c>
      <c r="C2889">
        <v>2</v>
      </c>
      <c r="D2889" t="s">
        <v>108</v>
      </c>
      <c r="E2889">
        <v>8430</v>
      </c>
      <c r="F2889">
        <v>10170</v>
      </c>
      <c r="G2889">
        <v>6388</v>
      </c>
      <c r="H2889" t="s">
        <v>122</v>
      </c>
      <c r="I2889" t="s">
        <v>186</v>
      </c>
    </row>
    <row r="2890" spans="1:9" ht="15" customHeight="1" x14ac:dyDescent="0.35">
      <c r="A2890">
        <v>2017</v>
      </c>
      <c r="B2890" t="s">
        <v>150</v>
      </c>
      <c r="C2890">
        <v>3</v>
      </c>
      <c r="D2890" t="s">
        <v>108</v>
      </c>
      <c r="E2890">
        <v>7521</v>
      </c>
      <c r="F2890">
        <v>9880</v>
      </c>
      <c r="G2890">
        <v>5277</v>
      </c>
      <c r="H2890" t="s">
        <v>122</v>
      </c>
      <c r="I2890" t="s">
        <v>186</v>
      </c>
    </row>
    <row r="2891" spans="1:9" ht="15" customHeight="1" x14ac:dyDescent="0.35">
      <c r="A2891">
        <v>2017</v>
      </c>
      <c r="B2891" t="s">
        <v>151</v>
      </c>
      <c r="C2891">
        <v>4</v>
      </c>
      <c r="D2891" t="s">
        <v>108</v>
      </c>
      <c r="E2891">
        <v>7419</v>
      </c>
      <c r="F2891">
        <v>9392</v>
      </c>
      <c r="G2891">
        <v>5679</v>
      </c>
      <c r="H2891" t="s">
        <v>123</v>
      </c>
      <c r="I2891" t="s">
        <v>186</v>
      </c>
    </row>
    <row r="2892" spans="1:9" ht="15" customHeight="1" x14ac:dyDescent="0.35">
      <c r="A2892">
        <v>2017</v>
      </c>
      <c r="B2892" t="s">
        <v>152</v>
      </c>
      <c r="C2892">
        <v>5</v>
      </c>
      <c r="D2892" t="s">
        <v>108</v>
      </c>
      <c r="E2892">
        <v>8172</v>
      </c>
      <c r="F2892">
        <v>10353</v>
      </c>
      <c r="G2892">
        <v>5089</v>
      </c>
      <c r="H2892" t="s">
        <v>123</v>
      </c>
      <c r="I2892" t="s">
        <v>186</v>
      </c>
    </row>
    <row r="2893" spans="1:9" ht="15" customHeight="1" x14ac:dyDescent="0.35">
      <c r="A2893">
        <v>2017</v>
      </c>
      <c r="B2893" t="s">
        <v>153</v>
      </c>
      <c r="C2893">
        <v>6</v>
      </c>
      <c r="D2893" t="s">
        <v>108</v>
      </c>
      <c r="E2893">
        <v>7959</v>
      </c>
      <c r="F2893">
        <v>10734</v>
      </c>
      <c r="G2893">
        <v>4930</v>
      </c>
      <c r="H2893" t="s">
        <v>123</v>
      </c>
      <c r="I2893" t="s">
        <v>186</v>
      </c>
    </row>
    <row r="2894" spans="1:9" ht="15" customHeight="1" x14ac:dyDescent="0.35">
      <c r="A2894">
        <v>2017</v>
      </c>
      <c r="B2894" t="s">
        <v>154</v>
      </c>
      <c r="C2894">
        <v>7</v>
      </c>
      <c r="D2894" t="s">
        <v>108</v>
      </c>
      <c r="E2894">
        <v>7220</v>
      </c>
      <c r="F2894">
        <v>10038</v>
      </c>
      <c r="G2894">
        <v>4987</v>
      </c>
      <c r="H2894" t="s">
        <v>123</v>
      </c>
      <c r="I2894" t="s">
        <v>186</v>
      </c>
    </row>
    <row r="2895" spans="1:9" ht="15" customHeight="1" x14ac:dyDescent="0.35">
      <c r="A2895">
        <v>2017</v>
      </c>
      <c r="B2895" t="s">
        <v>155</v>
      </c>
      <c r="C2895">
        <v>8</v>
      </c>
      <c r="D2895" t="s">
        <v>108</v>
      </c>
      <c r="E2895">
        <v>7589</v>
      </c>
      <c r="F2895">
        <v>10002</v>
      </c>
      <c r="G2895">
        <v>5625</v>
      </c>
      <c r="H2895" t="s">
        <v>123</v>
      </c>
      <c r="I2895" t="s">
        <v>186</v>
      </c>
    </row>
    <row r="2896" spans="1:9" ht="15" customHeight="1" x14ac:dyDescent="0.35">
      <c r="A2896">
        <v>2017</v>
      </c>
      <c r="B2896" t="s">
        <v>156</v>
      </c>
      <c r="C2896">
        <v>9</v>
      </c>
      <c r="D2896" t="s">
        <v>108</v>
      </c>
      <c r="E2896">
        <v>7998</v>
      </c>
      <c r="F2896">
        <v>9718</v>
      </c>
      <c r="G2896">
        <v>5867</v>
      </c>
      <c r="H2896" t="s">
        <v>123</v>
      </c>
      <c r="I2896" t="s">
        <v>186</v>
      </c>
    </row>
    <row r="2897" spans="1:9" ht="15" customHeight="1" x14ac:dyDescent="0.35">
      <c r="A2897">
        <v>2017</v>
      </c>
      <c r="B2897" t="s">
        <v>157</v>
      </c>
      <c r="C2897">
        <v>10</v>
      </c>
      <c r="D2897" t="s">
        <v>108</v>
      </c>
      <c r="E2897">
        <v>8259</v>
      </c>
      <c r="F2897">
        <v>10220</v>
      </c>
      <c r="G2897">
        <v>6378</v>
      </c>
      <c r="H2897" t="s">
        <v>123</v>
      </c>
      <c r="I2897" t="s">
        <v>186</v>
      </c>
    </row>
    <row r="2898" spans="1:9" ht="15" customHeight="1" x14ac:dyDescent="0.35">
      <c r="A2898">
        <v>2017</v>
      </c>
      <c r="B2898" t="s">
        <v>158</v>
      </c>
      <c r="C2898">
        <v>11</v>
      </c>
      <c r="D2898" t="s">
        <v>108</v>
      </c>
      <c r="E2898">
        <v>8557</v>
      </c>
      <c r="F2898">
        <v>11398</v>
      </c>
      <c r="G2898">
        <v>6548</v>
      </c>
      <c r="H2898" t="s">
        <v>123</v>
      </c>
      <c r="I2898" t="s">
        <v>186</v>
      </c>
    </row>
    <row r="2899" spans="1:9" ht="15" customHeight="1" x14ac:dyDescent="0.35">
      <c r="A2899">
        <v>2017</v>
      </c>
      <c r="B2899" t="s">
        <v>159</v>
      </c>
      <c r="C2899">
        <v>12</v>
      </c>
      <c r="D2899" t="s">
        <v>108</v>
      </c>
      <c r="E2899">
        <v>8528</v>
      </c>
      <c r="F2899">
        <v>11441</v>
      </c>
      <c r="G2899">
        <v>5897</v>
      </c>
      <c r="H2899" t="s">
        <v>123</v>
      </c>
      <c r="I2899" t="s">
        <v>186</v>
      </c>
    </row>
    <row r="2900" spans="1:9" ht="15" customHeight="1" x14ac:dyDescent="0.35">
      <c r="A2900">
        <v>2018</v>
      </c>
      <c r="B2900" t="s">
        <v>147</v>
      </c>
      <c r="C2900">
        <v>1</v>
      </c>
      <c r="D2900" t="s">
        <v>108</v>
      </c>
      <c r="E2900">
        <v>8943</v>
      </c>
      <c r="F2900">
        <v>11713</v>
      </c>
      <c r="G2900">
        <v>6731</v>
      </c>
      <c r="H2900" t="s">
        <v>123</v>
      </c>
      <c r="I2900" t="s">
        <v>186</v>
      </c>
    </row>
    <row r="2901" spans="1:9" ht="15" customHeight="1" x14ac:dyDescent="0.35">
      <c r="A2901">
        <v>2018</v>
      </c>
      <c r="B2901" t="s">
        <v>149</v>
      </c>
      <c r="C2901">
        <v>2</v>
      </c>
      <c r="D2901" t="s">
        <v>108</v>
      </c>
      <c r="E2901">
        <v>8480</v>
      </c>
      <c r="F2901">
        <v>11641</v>
      </c>
      <c r="G2901">
        <v>6374</v>
      </c>
      <c r="H2901" t="s">
        <v>123</v>
      </c>
      <c r="I2901" t="s">
        <v>186</v>
      </c>
    </row>
    <row r="2902" spans="1:9" ht="15" customHeight="1" x14ac:dyDescent="0.35">
      <c r="A2902">
        <v>2018</v>
      </c>
      <c r="B2902" t="s">
        <v>150</v>
      </c>
      <c r="C2902">
        <v>3</v>
      </c>
      <c r="D2902" t="s">
        <v>108</v>
      </c>
      <c r="E2902">
        <v>7743</v>
      </c>
      <c r="F2902">
        <v>10394</v>
      </c>
      <c r="G2902">
        <v>5905</v>
      </c>
      <c r="H2902" t="s">
        <v>123</v>
      </c>
      <c r="I2902" t="s">
        <v>186</v>
      </c>
    </row>
    <row r="2903" spans="1:9" ht="15" customHeight="1" x14ac:dyDescent="0.35">
      <c r="A2903">
        <v>2018</v>
      </c>
      <c r="B2903" t="s">
        <v>151</v>
      </c>
      <c r="C2903">
        <v>4</v>
      </c>
      <c r="D2903" t="s">
        <v>108</v>
      </c>
      <c r="E2903">
        <v>7590</v>
      </c>
      <c r="F2903">
        <v>9664</v>
      </c>
      <c r="G2903">
        <v>5712</v>
      </c>
      <c r="H2903" t="s">
        <v>124</v>
      </c>
      <c r="I2903" t="s">
        <v>186</v>
      </c>
    </row>
    <row r="2904" spans="1:9" ht="15" customHeight="1" x14ac:dyDescent="0.35">
      <c r="A2904">
        <v>2018</v>
      </c>
      <c r="B2904" t="s">
        <v>152</v>
      </c>
      <c r="C2904">
        <v>5</v>
      </c>
      <c r="D2904" t="s">
        <v>108</v>
      </c>
      <c r="E2904">
        <v>9057</v>
      </c>
      <c r="F2904">
        <v>12074</v>
      </c>
      <c r="G2904">
        <v>5232</v>
      </c>
      <c r="H2904" t="s">
        <v>124</v>
      </c>
      <c r="I2904" t="s">
        <v>186</v>
      </c>
    </row>
    <row r="2905" spans="1:9" ht="15" customHeight="1" x14ac:dyDescent="0.35">
      <c r="A2905">
        <v>2018</v>
      </c>
      <c r="B2905" t="s">
        <v>153</v>
      </c>
      <c r="C2905">
        <v>6</v>
      </c>
      <c r="D2905" t="s">
        <v>108</v>
      </c>
      <c r="E2905">
        <v>9174</v>
      </c>
      <c r="F2905">
        <v>11984</v>
      </c>
      <c r="G2905">
        <v>5704</v>
      </c>
      <c r="H2905" t="s">
        <v>124</v>
      </c>
      <c r="I2905" t="s">
        <v>186</v>
      </c>
    </row>
    <row r="2906" spans="1:9" ht="15" customHeight="1" x14ac:dyDescent="0.35">
      <c r="A2906">
        <v>2018</v>
      </c>
      <c r="B2906" t="s">
        <v>154</v>
      </c>
      <c r="C2906">
        <v>7</v>
      </c>
      <c r="D2906" t="s">
        <v>108</v>
      </c>
      <c r="E2906">
        <v>8075</v>
      </c>
      <c r="F2906">
        <v>10709</v>
      </c>
      <c r="G2906">
        <v>5886</v>
      </c>
      <c r="H2906" t="s">
        <v>124</v>
      </c>
      <c r="I2906" t="s">
        <v>186</v>
      </c>
    </row>
    <row r="2907" spans="1:9" ht="15" customHeight="1" x14ac:dyDescent="0.35">
      <c r="A2907">
        <v>2018</v>
      </c>
      <c r="B2907" t="s">
        <v>155</v>
      </c>
      <c r="C2907">
        <v>8</v>
      </c>
      <c r="D2907" t="s">
        <v>108</v>
      </c>
      <c r="E2907">
        <v>9156</v>
      </c>
      <c r="F2907">
        <v>10918</v>
      </c>
      <c r="G2907">
        <v>7140</v>
      </c>
      <c r="H2907" t="s">
        <v>124</v>
      </c>
      <c r="I2907" t="s">
        <v>186</v>
      </c>
    </row>
    <row r="2908" spans="1:9" ht="15" customHeight="1" x14ac:dyDescent="0.35">
      <c r="A2908">
        <v>2018</v>
      </c>
      <c r="B2908" t="s">
        <v>156</v>
      </c>
      <c r="C2908">
        <v>9</v>
      </c>
      <c r="D2908" t="s">
        <v>108</v>
      </c>
      <c r="E2908">
        <v>8445</v>
      </c>
      <c r="F2908">
        <v>10499</v>
      </c>
      <c r="G2908">
        <v>5459</v>
      </c>
      <c r="H2908" t="s">
        <v>124</v>
      </c>
      <c r="I2908" t="s">
        <v>186</v>
      </c>
    </row>
    <row r="2909" spans="1:9" ht="15" customHeight="1" x14ac:dyDescent="0.35">
      <c r="A2909">
        <v>2018</v>
      </c>
      <c r="B2909" t="s">
        <v>157</v>
      </c>
      <c r="C2909">
        <v>10</v>
      </c>
      <c r="D2909" t="s">
        <v>108</v>
      </c>
      <c r="E2909">
        <v>8921</v>
      </c>
      <c r="F2909">
        <v>11142</v>
      </c>
      <c r="G2909">
        <v>7150</v>
      </c>
      <c r="H2909" t="s">
        <v>124</v>
      </c>
      <c r="I2909" t="s">
        <v>186</v>
      </c>
    </row>
    <row r="2910" spans="1:9" ht="15" customHeight="1" x14ac:dyDescent="0.35">
      <c r="A2910">
        <v>2018</v>
      </c>
      <c r="B2910" t="s">
        <v>158</v>
      </c>
      <c r="C2910">
        <v>11</v>
      </c>
      <c r="D2910" t="s">
        <v>108</v>
      </c>
      <c r="E2910">
        <v>9097</v>
      </c>
      <c r="F2910">
        <v>11611</v>
      </c>
      <c r="G2910">
        <v>6445</v>
      </c>
      <c r="H2910" t="s">
        <v>124</v>
      </c>
      <c r="I2910" t="s">
        <v>186</v>
      </c>
    </row>
    <row r="2911" spans="1:9" ht="15" customHeight="1" x14ac:dyDescent="0.35">
      <c r="A2911">
        <v>2018</v>
      </c>
      <c r="B2911" t="s">
        <v>159</v>
      </c>
      <c r="C2911">
        <v>12</v>
      </c>
      <c r="D2911" t="s">
        <v>108</v>
      </c>
      <c r="E2911">
        <v>9489</v>
      </c>
      <c r="F2911">
        <v>12472</v>
      </c>
      <c r="G2911">
        <v>6693</v>
      </c>
      <c r="H2911" t="s">
        <v>124</v>
      </c>
      <c r="I2911" t="s">
        <v>186</v>
      </c>
    </row>
    <row r="2912" spans="1:9" ht="15" customHeight="1" x14ac:dyDescent="0.35">
      <c r="A2912">
        <v>2019</v>
      </c>
      <c r="B2912" t="s">
        <v>147</v>
      </c>
      <c r="C2912">
        <v>1</v>
      </c>
      <c r="D2912" t="s">
        <v>108</v>
      </c>
      <c r="E2912">
        <v>9397</v>
      </c>
      <c r="F2912">
        <v>12396</v>
      </c>
      <c r="G2912">
        <v>4699</v>
      </c>
      <c r="H2912" t="s">
        <v>124</v>
      </c>
      <c r="I2912" t="s">
        <v>186</v>
      </c>
    </row>
    <row r="2913" spans="1:9" ht="15" customHeight="1" x14ac:dyDescent="0.35">
      <c r="A2913">
        <v>2019</v>
      </c>
      <c r="B2913" t="s">
        <v>149</v>
      </c>
      <c r="C2913">
        <v>2</v>
      </c>
      <c r="D2913" t="s">
        <v>108</v>
      </c>
      <c r="E2913">
        <v>9317</v>
      </c>
      <c r="F2913">
        <v>12317</v>
      </c>
      <c r="G2913">
        <v>5841</v>
      </c>
      <c r="H2913" t="s">
        <v>124</v>
      </c>
      <c r="I2913" t="s">
        <v>186</v>
      </c>
    </row>
    <row r="2914" spans="1:9" ht="15" customHeight="1" x14ac:dyDescent="0.35">
      <c r="A2914">
        <v>2019</v>
      </c>
      <c r="B2914" t="s">
        <v>150</v>
      </c>
      <c r="C2914">
        <v>3</v>
      </c>
      <c r="D2914" t="s">
        <v>108</v>
      </c>
      <c r="E2914">
        <v>8731</v>
      </c>
      <c r="F2914">
        <v>11396</v>
      </c>
      <c r="G2914">
        <v>5596</v>
      </c>
      <c r="H2914" t="s">
        <v>124</v>
      </c>
      <c r="I2914" t="s">
        <v>186</v>
      </c>
    </row>
    <row r="2915" spans="1:9" ht="15" customHeight="1" x14ac:dyDescent="0.35">
      <c r="A2915">
        <v>2019</v>
      </c>
      <c r="B2915" t="s">
        <v>151</v>
      </c>
      <c r="C2915">
        <v>4</v>
      </c>
      <c r="D2915" t="s">
        <v>108</v>
      </c>
      <c r="E2915">
        <v>8241</v>
      </c>
      <c r="F2915">
        <v>10293</v>
      </c>
      <c r="G2915">
        <v>4234</v>
      </c>
      <c r="H2915" t="s">
        <v>71</v>
      </c>
      <c r="I2915" t="s">
        <v>186</v>
      </c>
    </row>
    <row r="2916" spans="1:9" ht="15" customHeight="1" x14ac:dyDescent="0.35">
      <c r="A2916">
        <v>2019</v>
      </c>
      <c r="B2916" t="s">
        <v>152</v>
      </c>
      <c r="C2916">
        <v>5</v>
      </c>
      <c r="D2916" t="s">
        <v>108</v>
      </c>
      <c r="E2916">
        <v>9332</v>
      </c>
      <c r="F2916">
        <v>11451</v>
      </c>
      <c r="G2916">
        <v>5685</v>
      </c>
      <c r="H2916" t="s">
        <v>71</v>
      </c>
      <c r="I2916" t="s">
        <v>186</v>
      </c>
    </row>
    <row r="2917" spans="1:9" ht="15" customHeight="1" x14ac:dyDescent="0.35">
      <c r="A2917">
        <v>2019</v>
      </c>
      <c r="B2917" t="s">
        <v>153</v>
      </c>
      <c r="C2917">
        <v>6</v>
      </c>
      <c r="D2917" t="s">
        <v>108</v>
      </c>
      <c r="E2917">
        <v>10281</v>
      </c>
      <c r="F2917">
        <v>12302</v>
      </c>
      <c r="G2917">
        <v>7374</v>
      </c>
      <c r="H2917" t="s">
        <v>71</v>
      </c>
      <c r="I2917" t="s">
        <v>186</v>
      </c>
    </row>
    <row r="2918" spans="1:9" ht="15" customHeight="1" x14ac:dyDescent="0.35">
      <c r="A2918">
        <v>2019</v>
      </c>
      <c r="B2918" t="s">
        <v>154</v>
      </c>
      <c r="C2918">
        <v>7</v>
      </c>
      <c r="D2918" t="s">
        <v>108</v>
      </c>
      <c r="E2918">
        <v>9379</v>
      </c>
      <c r="F2918">
        <v>12003</v>
      </c>
      <c r="G2918">
        <v>5764</v>
      </c>
      <c r="H2918" t="s">
        <v>71</v>
      </c>
      <c r="I2918" t="s">
        <v>186</v>
      </c>
    </row>
    <row r="2919" spans="1:9" ht="15" customHeight="1" x14ac:dyDescent="0.35">
      <c r="A2919">
        <v>2019</v>
      </c>
      <c r="B2919" t="s">
        <v>155</v>
      </c>
      <c r="C2919">
        <v>8</v>
      </c>
      <c r="D2919" t="s">
        <v>108</v>
      </c>
      <c r="E2919">
        <v>8312</v>
      </c>
      <c r="F2919">
        <v>10598</v>
      </c>
      <c r="G2919">
        <v>5147</v>
      </c>
      <c r="H2919" t="s">
        <v>71</v>
      </c>
      <c r="I2919" t="s">
        <v>186</v>
      </c>
    </row>
    <row r="2920" spans="1:9" ht="15" customHeight="1" x14ac:dyDescent="0.35">
      <c r="A2920">
        <v>2019</v>
      </c>
      <c r="B2920" t="s">
        <v>156</v>
      </c>
      <c r="C2920">
        <v>9</v>
      </c>
      <c r="D2920" t="s">
        <v>108</v>
      </c>
      <c r="E2920">
        <v>9583</v>
      </c>
      <c r="F2920">
        <v>11460</v>
      </c>
      <c r="G2920">
        <v>7384</v>
      </c>
      <c r="H2920" t="s">
        <v>71</v>
      </c>
      <c r="I2920" t="s">
        <v>186</v>
      </c>
    </row>
    <row r="2921" spans="1:9" ht="15" customHeight="1" x14ac:dyDescent="0.35">
      <c r="A2921">
        <v>2019</v>
      </c>
      <c r="B2921" t="s">
        <v>157</v>
      </c>
      <c r="C2921">
        <v>10</v>
      </c>
      <c r="D2921" t="s">
        <v>108</v>
      </c>
      <c r="E2921">
        <v>8281</v>
      </c>
      <c r="F2921">
        <v>10453</v>
      </c>
      <c r="G2921">
        <v>6071</v>
      </c>
      <c r="H2921" t="s">
        <v>71</v>
      </c>
      <c r="I2921" t="s">
        <v>186</v>
      </c>
    </row>
    <row r="2922" spans="1:9" ht="15" customHeight="1" x14ac:dyDescent="0.35">
      <c r="A2922">
        <v>2019</v>
      </c>
      <c r="B2922" t="s">
        <v>158</v>
      </c>
      <c r="C2922">
        <v>11</v>
      </c>
      <c r="D2922" t="s">
        <v>108</v>
      </c>
      <c r="E2922">
        <v>8860</v>
      </c>
      <c r="F2922">
        <v>11926</v>
      </c>
      <c r="G2922">
        <v>5517</v>
      </c>
      <c r="H2922" t="s">
        <v>71</v>
      </c>
      <c r="I2922" t="s">
        <v>186</v>
      </c>
    </row>
    <row r="2923" spans="1:9" ht="15" customHeight="1" x14ac:dyDescent="0.35">
      <c r="A2923">
        <v>2019</v>
      </c>
      <c r="B2923" t="s">
        <v>159</v>
      </c>
      <c r="C2923">
        <v>12</v>
      </c>
      <c r="D2923" t="s">
        <v>108</v>
      </c>
      <c r="E2923">
        <v>9356</v>
      </c>
      <c r="F2923">
        <v>13158</v>
      </c>
      <c r="G2923">
        <v>5023</v>
      </c>
      <c r="H2923" t="s">
        <v>71</v>
      </c>
      <c r="I2923" t="s">
        <v>186</v>
      </c>
    </row>
    <row r="2924" spans="1:9" ht="15" customHeight="1" x14ac:dyDescent="0.35">
      <c r="A2924">
        <v>2020</v>
      </c>
      <c r="B2924" t="s">
        <v>147</v>
      </c>
      <c r="C2924">
        <v>1</v>
      </c>
      <c r="D2924" t="s">
        <v>108</v>
      </c>
      <c r="E2924">
        <v>9871</v>
      </c>
      <c r="F2924">
        <v>13706</v>
      </c>
      <c r="G2924">
        <v>5836</v>
      </c>
      <c r="H2924" t="s">
        <v>71</v>
      </c>
      <c r="I2924" t="s">
        <v>186</v>
      </c>
    </row>
    <row r="2925" spans="1:9" ht="15" customHeight="1" x14ac:dyDescent="0.35">
      <c r="A2925">
        <v>2020</v>
      </c>
      <c r="B2925" t="s">
        <v>149</v>
      </c>
      <c r="C2925">
        <v>2</v>
      </c>
      <c r="D2925" t="s">
        <v>108</v>
      </c>
      <c r="E2925">
        <v>10228</v>
      </c>
      <c r="F2925">
        <v>14135</v>
      </c>
      <c r="G2925">
        <v>6235</v>
      </c>
      <c r="H2925" t="s">
        <v>71</v>
      </c>
      <c r="I2925" t="s">
        <v>186</v>
      </c>
    </row>
    <row r="2926" spans="1:9" ht="15" customHeight="1" x14ac:dyDescent="0.35">
      <c r="A2926">
        <v>2020</v>
      </c>
      <c r="B2926" t="s">
        <v>150</v>
      </c>
      <c r="C2926">
        <v>3</v>
      </c>
      <c r="D2926" t="s">
        <v>108</v>
      </c>
      <c r="E2926">
        <v>7710</v>
      </c>
      <c r="F2926">
        <v>13248</v>
      </c>
      <c r="G2926">
        <v>2912</v>
      </c>
      <c r="H2926" t="s">
        <v>71</v>
      </c>
      <c r="I2926" t="s">
        <v>186</v>
      </c>
    </row>
    <row r="2927" spans="1:9" ht="15" customHeight="1" x14ac:dyDescent="0.35">
      <c r="A2927">
        <v>2020</v>
      </c>
      <c r="B2927" t="s">
        <v>151</v>
      </c>
      <c r="C2927">
        <v>4</v>
      </c>
      <c r="D2927" t="s">
        <v>108</v>
      </c>
      <c r="E2927">
        <v>6638</v>
      </c>
      <c r="F2927">
        <v>8961</v>
      </c>
      <c r="G2927">
        <v>4199</v>
      </c>
      <c r="H2927" t="s">
        <v>72</v>
      </c>
      <c r="I2927" t="s">
        <v>186</v>
      </c>
    </row>
    <row r="2928" spans="1:9" ht="15" customHeight="1" x14ac:dyDescent="0.35">
      <c r="A2928">
        <v>2020</v>
      </c>
      <c r="B2928" t="s">
        <v>152</v>
      </c>
      <c r="C2928">
        <v>5</v>
      </c>
      <c r="D2928" t="s">
        <v>108</v>
      </c>
      <c r="E2928">
        <v>8930</v>
      </c>
      <c r="F2928">
        <v>11694</v>
      </c>
      <c r="G2928">
        <v>5489</v>
      </c>
      <c r="H2928" t="s">
        <v>72</v>
      </c>
      <c r="I2928" t="s">
        <v>186</v>
      </c>
    </row>
    <row r="2929" spans="1:9" ht="15" customHeight="1" x14ac:dyDescent="0.35">
      <c r="A2929">
        <v>2020</v>
      </c>
      <c r="B2929" t="s">
        <v>153</v>
      </c>
      <c r="C2929">
        <v>6</v>
      </c>
      <c r="D2929" t="s">
        <v>108</v>
      </c>
      <c r="E2929">
        <v>9881</v>
      </c>
      <c r="F2929">
        <v>12634</v>
      </c>
      <c r="G2929">
        <v>6443</v>
      </c>
      <c r="H2929" t="s">
        <v>72</v>
      </c>
      <c r="I2929" t="s">
        <v>186</v>
      </c>
    </row>
    <row r="2930" spans="1:9" ht="15" customHeight="1" x14ac:dyDescent="0.35">
      <c r="A2930">
        <v>2020</v>
      </c>
      <c r="B2930" t="s">
        <v>154</v>
      </c>
      <c r="C2930">
        <v>7</v>
      </c>
      <c r="D2930" t="s">
        <v>108</v>
      </c>
      <c r="E2930">
        <v>10430</v>
      </c>
      <c r="F2930">
        <v>12812</v>
      </c>
      <c r="G2930">
        <v>7860</v>
      </c>
      <c r="H2930" t="s">
        <v>72</v>
      </c>
      <c r="I2930" t="s">
        <v>186</v>
      </c>
    </row>
    <row r="2931" spans="1:9" ht="15" customHeight="1" x14ac:dyDescent="0.35">
      <c r="A2931">
        <v>2020</v>
      </c>
      <c r="B2931" t="s">
        <v>155</v>
      </c>
      <c r="C2931">
        <v>8</v>
      </c>
      <c r="D2931" t="s">
        <v>108</v>
      </c>
      <c r="E2931">
        <v>9123</v>
      </c>
      <c r="F2931">
        <v>11978</v>
      </c>
      <c r="G2931">
        <v>6433</v>
      </c>
      <c r="H2931" t="s">
        <v>72</v>
      </c>
      <c r="I2931" t="s">
        <v>186</v>
      </c>
    </row>
    <row r="2932" spans="1:9" ht="15" customHeight="1" x14ac:dyDescent="0.35">
      <c r="A2932">
        <v>2020</v>
      </c>
      <c r="B2932" t="s">
        <v>156</v>
      </c>
      <c r="C2932">
        <v>9</v>
      </c>
      <c r="D2932" t="s">
        <v>108</v>
      </c>
      <c r="E2932">
        <v>9816</v>
      </c>
      <c r="F2932">
        <v>12475</v>
      </c>
      <c r="G2932">
        <v>6600</v>
      </c>
      <c r="H2932" t="s">
        <v>72</v>
      </c>
      <c r="I2932" t="s">
        <v>186</v>
      </c>
    </row>
    <row r="2933" spans="1:9" ht="15" customHeight="1" x14ac:dyDescent="0.35">
      <c r="A2933">
        <v>2020</v>
      </c>
      <c r="B2933" t="s">
        <v>157</v>
      </c>
      <c r="C2933">
        <v>10</v>
      </c>
      <c r="D2933" t="s">
        <v>108</v>
      </c>
      <c r="E2933">
        <v>10078</v>
      </c>
      <c r="F2933">
        <v>12654</v>
      </c>
      <c r="G2933">
        <v>7380</v>
      </c>
      <c r="H2933" t="s">
        <v>72</v>
      </c>
      <c r="I2933" t="s">
        <v>186</v>
      </c>
    </row>
    <row r="2934" spans="1:9" ht="15" customHeight="1" x14ac:dyDescent="0.35">
      <c r="A2934">
        <v>2020</v>
      </c>
      <c r="B2934" t="s">
        <v>158</v>
      </c>
      <c r="C2934">
        <v>11</v>
      </c>
      <c r="D2934" t="s">
        <v>108</v>
      </c>
      <c r="E2934">
        <v>9889</v>
      </c>
      <c r="F2934">
        <v>12970</v>
      </c>
      <c r="G2934">
        <v>5972</v>
      </c>
      <c r="H2934" t="s">
        <v>72</v>
      </c>
      <c r="I2934" t="s">
        <v>186</v>
      </c>
    </row>
    <row r="2935" spans="1:9" ht="15" customHeight="1" x14ac:dyDescent="0.35">
      <c r="A2935">
        <v>2020</v>
      </c>
      <c r="B2935" t="s">
        <v>159</v>
      </c>
      <c r="C2935">
        <v>12</v>
      </c>
      <c r="D2935" t="s">
        <v>108</v>
      </c>
      <c r="E2935">
        <v>10547</v>
      </c>
      <c r="F2935">
        <v>14063</v>
      </c>
      <c r="G2935">
        <v>6537</v>
      </c>
      <c r="H2935" t="s">
        <v>72</v>
      </c>
      <c r="I2935" t="s">
        <v>186</v>
      </c>
    </row>
    <row r="2936" spans="1:9" ht="15" customHeight="1" x14ac:dyDescent="0.35">
      <c r="A2936">
        <v>2021</v>
      </c>
      <c r="B2936" t="s">
        <v>147</v>
      </c>
      <c r="C2936">
        <v>1</v>
      </c>
      <c r="D2936" t="s">
        <v>108</v>
      </c>
      <c r="E2936">
        <v>10549</v>
      </c>
      <c r="F2936">
        <v>14111</v>
      </c>
      <c r="G2936">
        <v>5769</v>
      </c>
      <c r="H2936" t="s">
        <v>72</v>
      </c>
      <c r="I2936" t="s">
        <v>186</v>
      </c>
    </row>
    <row r="2937" spans="1:9" ht="15" customHeight="1" x14ac:dyDescent="0.35">
      <c r="A2937">
        <v>2021</v>
      </c>
      <c r="B2937" t="s">
        <v>149</v>
      </c>
      <c r="C2937">
        <v>2</v>
      </c>
      <c r="D2937" t="s">
        <v>108</v>
      </c>
      <c r="E2937">
        <v>11023</v>
      </c>
      <c r="F2937">
        <v>14328</v>
      </c>
      <c r="G2937">
        <v>7062</v>
      </c>
      <c r="H2937" t="s">
        <v>72</v>
      </c>
      <c r="I2937" t="s">
        <v>186</v>
      </c>
    </row>
    <row r="2938" spans="1:9" ht="15" customHeight="1" x14ac:dyDescent="0.35">
      <c r="A2938">
        <v>2021</v>
      </c>
      <c r="B2938" t="s">
        <v>150</v>
      </c>
      <c r="C2938">
        <v>3</v>
      </c>
      <c r="D2938" t="s">
        <v>108</v>
      </c>
      <c r="E2938">
        <v>9878</v>
      </c>
      <c r="F2938">
        <v>13938</v>
      </c>
      <c r="G2938">
        <v>5793</v>
      </c>
      <c r="H2938" t="s">
        <v>72</v>
      </c>
      <c r="I2938" t="s">
        <v>186</v>
      </c>
    </row>
    <row r="2939" spans="1:9" ht="15" customHeight="1" x14ac:dyDescent="0.35">
      <c r="A2939">
        <v>2021</v>
      </c>
      <c r="B2939" t="s">
        <v>151</v>
      </c>
      <c r="C2939">
        <v>4</v>
      </c>
      <c r="D2939" t="s">
        <v>108</v>
      </c>
      <c r="E2939">
        <v>9002</v>
      </c>
      <c r="F2939">
        <v>11458</v>
      </c>
      <c r="G2939">
        <v>7086</v>
      </c>
      <c r="H2939" t="s">
        <v>73</v>
      </c>
      <c r="I2939" t="s">
        <v>186</v>
      </c>
    </row>
    <row r="2940" spans="1:9" ht="15" customHeight="1" x14ac:dyDescent="0.35">
      <c r="A2940">
        <v>2021</v>
      </c>
      <c r="B2940" t="s">
        <v>152</v>
      </c>
      <c r="C2940">
        <v>5</v>
      </c>
      <c r="D2940" t="s">
        <v>108</v>
      </c>
      <c r="E2940">
        <v>8869</v>
      </c>
      <c r="F2940">
        <v>11296</v>
      </c>
      <c r="G2940">
        <v>4636</v>
      </c>
      <c r="H2940" t="s">
        <v>73</v>
      </c>
      <c r="I2940" t="s">
        <v>186</v>
      </c>
    </row>
    <row r="2941" spans="1:9" ht="15" customHeight="1" x14ac:dyDescent="0.35">
      <c r="A2941">
        <v>2021</v>
      </c>
      <c r="B2941" t="s">
        <v>153</v>
      </c>
      <c r="C2941">
        <v>6</v>
      </c>
      <c r="D2941" t="s">
        <v>108</v>
      </c>
      <c r="E2941">
        <v>10130</v>
      </c>
      <c r="F2941">
        <v>12740</v>
      </c>
      <c r="G2941">
        <v>5893</v>
      </c>
      <c r="H2941" t="s">
        <v>73</v>
      </c>
      <c r="I2941" t="s">
        <v>186</v>
      </c>
    </row>
    <row r="2942" spans="1:9" ht="15" customHeight="1" x14ac:dyDescent="0.35">
      <c r="A2942">
        <v>2021</v>
      </c>
      <c r="B2942" t="s">
        <v>154</v>
      </c>
      <c r="C2942">
        <v>7</v>
      </c>
      <c r="D2942" t="s">
        <v>108</v>
      </c>
      <c r="E2942">
        <v>10919</v>
      </c>
      <c r="F2942">
        <v>13909</v>
      </c>
      <c r="G2942">
        <v>7343</v>
      </c>
      <c r="H2942" t="s">
        <v>73</v>
      </c>
      <c r="I2942" t="s">
        <v>186</v>
      </c>
    </row>
    <row r="2943" spans="1:9" ht="15" customHeight="1" x14ac:dyDescent="0.35">
      <c r="A2943">
        <v>2021</v>
      </c>
      <c r="B2943" t="s">
        <v>155</v>
      </c>
      <c r="C2943">
        <v>8</v>
      </c>
      <c r="D2943" t="s">
        <v>108</v>
      </c>
      <c r="E2943">
        <v>10965</v>
      </c>
      <c r="F2943">
        <v>14476</v>
      </c>
      <c r="G2943">
        <v>6857</v>
      </c>
      <c r="H2943" t="s">
        <v>73</v>
      </c>
      <c r="I2943" t="s">
        <v>186</v>
      </c>
    </row>
    <row r="2944" spans="1:9" ht="15" customHeight="1" x14ac:dyDescent="0.35">
      <c r="A2944">
        <v>2021</v>
      </c>
      <c r="B2944" t="s">
        <v>156</v>
      </c>
      <c r="C2944">
        <v>9</v>
      </c>
      <c r="D2944" t="s">
        <v>108</v>
      </c>
      <c r="E2944">
        <v>9132</v>
      </c>
      <c r="F2944">
        <v>11910</v>
      </c>
      <c r="G2944">
        <v>6871</v>
      </c>
      <c r="H2944" t="s">
        <v>73</v>
      </c>
      <c r="I2944" t="s">
        <v>186</v>
      </c>
    </row>
    <row r="2945" spans="1:9" ht="15" customHeight="1" x14ac:dyDescent="0.35">
      <c r="A2945">
        <v>2021</v>
      </c>
      <c r="B2945" t="s">
        <v>157</v>
      </c>
      <c r="C2945">
        <v>10</v>
      </c>
      <c r="D2945" t="s">
        <v>108</v>
      </c>
      <c r="E2945">
        <v>9575</v>
      </c>
      <c r="F2945">
        <v>12694</v>
      </c>
      <c r="G2945">
        <v>7059</v>
      </c>
      <c r="H2945" t="s">
        <v>73</v>
      </c>
      <c r="I2945" t="s">
        <v>186</v>
      </c>
    </row>
    <row r="2946" spans="1:9" ht="15" customHeight="1" x14ac:dyDescent="0.35">
      <c r="A2946">
        <v>2021</v>
      </c>
      <c r="B2946" t="s">
        <v>158</v>
      </c>
      <c r="C2946">
        <v>11</v>
      </c>
      <c r="D2946" t="s">
        <v>108</v>
      </c>
      <c r="E2946">
        <v>10102</v>
      </c>
      <c r="F2946">
        <v>14045</v>
      </c>
      <c r="G2946">
        <v>6023</v>
      </c>
      <c r="H2946" t="s">
        <v>73</v>
      </c>
      <c r="I2946" t="s">
        <v>186</v>
      </c>
    </row>
    <row r="2947" spans="1:9" ht="15" customHeight="1" x14ac:dyDescent="0.35">
      <c r="A2947">
        <v>2021</v>
      </c>
      <c r="B2947" t="s">
        <v>159</v>
      </c>
      <c r="C2947">
        <v>12</v>
      </c>
      <c r="D2947" t="s">
        <v>108</v>
      </c>
      <c r="E2947">
        <v>11219</v>
      </c>
      <c r="F2947">
        <v>17201</v>
      </c>
      <c r="G2947">
        <v>5951</v>
      </c>
      <c r="H2947" t="s">
        <v>73</v>
      </c>
      <c r="I2947" t="s">
        <v>186</v>
      </c>
    </row>
    <row r="2948" spans="1:9" ht="15" customHeight="1" x14ac:dyDescent="0.35">
      <c r="A2948">
        <v>2022</v>
      </c>
      <c r="B2948" t="s">
        <v>147</v>
      </c>
      <c r="C2948">
        <v>1</v>
      </c>
      <c r="D2948" t="s">
        <v>108</v>
      </c>
      <c r="E2948">
        <v>10429</v>
      </c>
      <c r="F2948">
        <v>15733</v>
      </c>
      <c r="G2948">
        <v>4488</v>
      </c>
      <c r="H2948" t="s">
        <v>73</v>
      </c>
      <c r="I2948" t="s">
        <v>186</v>
      </c>
    </row>
    <row r="2949" spans="1:9" ht="15" customHeight="1" x14ac:dyDescent="0.35">
      <c r="A2949">
        <v>2022</v>
      </c>
      <c r="B2949" t="s">
        <v>149</v>
      </c>
      <c r="C2949">
        <v>2</v>
      </c>
      <c r="D2949" t="s">
        <v>108</v>
      </c>
      <c r="E2949">
        <v>11726</v>
      </c>
      <c r="F2949">
        <v>15884</v>
      </c>
      <c r="G2949">
        <v>7135</v>
      </c>
      <c r="H2949" t="s">
        <v>73</v>
      </c>
      <c r="I2949" t="s">
        <v>186</v>
      </c>
    </row>
    <row r="2950" spans="1:9" ht="15" customHeight="1" x14ac:dyDescent="0.35">
      <c r="A2950">
        <v>2022</v>
      </c>
      <c r="B2950" t="s">
        <v>150</v>
      </c>
      <c r="C2950">
        <v>3</v>
      </c>
      <c r="D2950" t="s">
        <v>108</v>
      </c>
      <c r="E2950">
        <v>11040</v>
      </c>
      <c r="F2950">
        <v>15676</v>
      </c>
      <c r="G2950">
        <v>7265</v>
      </c>
      <c r="H2950" t="s">
        <v>73</v>
      </c>
      <c r="I2950" t="s">
        <v>186</v>
      </c>
    </row>
    <row r="2951" spans="1:9" ht="15" customHeight="1" x14ac:dyDescent="0.35">
      <c r="A2951">
        <v>2022</v>
      </c>
      <c r="B2951" t="s">
        <v>151</v>
      </c>
      <c r="C2951">
        <v>4</v>
      </c>
      <c r="D2951" t="s">
        <v>108</v>
      </c>
      <c r="E2951">
        <v>10899</v>
      </c>
      <c r="F2951">
        <v>14103</v>
      </c>
      <c r="G2951">
        <v>8610</v>
      </c>
      <c r="H2951" t="s">
        <v>74</v>
      </c>
      <c r="I2951" t="s">
        <v>186</v>
      </c>
    </row>
    <row r="2952" spans="1:9" ht="15" customHeight="1" x14ac:dyDescent="0.35">
      <c r="A2952">
        <v>2022</v>
      </c>
      <c r="B2952" t="s">
        <v>152</v>
      </c>
      <c r="C2952">
        <v>5</v>
      </c>
      <c r="D2952" t="s">
        <v>108</v>
      </c>
      <c r="E2952">
        <v>12033</v>
      </c>
      <c r="F2952">
        <v>15918</v>
      </c>
      <c r="G2952">
        <v>6369</v>
      </c>
      <c r="H2952" t="s">
        <v>74</v>
      </c>
      <c r="I2952" t="s">
        <v>186</v>
      </c>
    </row>
    <row r="2953" spans="1:9" ht="15" customHeight="1" x14ac:dyDescent="0.35">
      <c r="A2953">
        <v>2022</v>
      </c>
      <c r="B2953" t="s">
        <v>153</v>
      </c>
      <c r="C2953">
        <v>6</v>
      </c>
      <c r="D2953" t="s">
        <v>108</v>
      </c>
      <c r="E2953">
        <v>12211</v>
      </c>
      <c r="F2953">
        <v>15925</v>
      </c>
      <c r="G2953">
        <v>7840</v>
      </c>
      <c r="H2953" t="s">
        <v>74</v>
      </c>
      <c r="I2953" t="s">
        <v>186</v>
      </c>
    </row>
    <row r="2954" spans="1:9" ht="15" customHeight="1" x14ac:dyDescent="0.35">
      <c r="A2954">
        <v>2022</v>
      </c>
      <c r="B2954" t="s">
        <v>154</v>
      </c>
      <c r="C2954">
        <v>7</v>
      </c>
      <c r="D2954" t="s">
        <v>108</v>
      </c>
      <c r="E2954">
        <v>9812</v>
      </c>
      <c r="F2954">
        <v>12321</v>
      </c>
      <c r="G2954">
        <v>7883</v>
      </c>
      <c r="H2954" t="s">
        <v>74</v>
      </c>
      <c r="I2954" t="s">
        <v>186</v>
      </c>
    </row>
    <row r="2955" spans="1:9" ht="15" customHeight="1" x14ac:dyDescent="0.35">
      <c r="A2955">
        <v>2022</v>
      </c>
      <c r="B2955" t="s">
        <v>155</v>
      </c>
      <c r="C2955">
        <v>8</v>
      </c>
      <c r="D2955" t="s">
        <v>108</v>
      </c>
      <c r="E2955">
        <v>9933</v>
      </c>
      <c r="F2955">
        <v>13925</v>
      </c>
      <c r="G2955">
        <v>7196</v>
      </c>
      <c r="H2955" t="s">
        <v>74</v>
      </c>
      <c r="I2955" t="s">
        <v>186</v>
      </c>
    </row>
    <row r="2956" spans="1:9" ht="15" customHeight="1" x14ac:dyDescent="0.35">
      <c r="A2956">
        <v>2022</v>
      </c>
      <c r="B2956" t="s">
        <v>156</v>
      </c>
      <c r="C2956">
        <v>9</v>
      </c>
      <c r="D2956" t="s">
        <v>108</v>
      </c>
      <c r="E2956">
        <v>12185</v>
      </c>
      <c r="F2956">
        <v>15846</v>
      </c>
      <c r="G2956">
        <v>9301</v>
      </c>
      <c r="H2956" t="s">
        <v>74</v>
      </c>
      <c r="I2956" t="s">
        <v>186</v>
      </c>
    </row>
    <row r="2957" spans="1:9" ht="15" customHeight="1" x14ac:dyDescent="0.35">
      <c r="A2957">
        <v>2022</v>
      </c>
      <c r="B2957" t="s">
        <v>157</v>
      </c>
      <c r="C2957">
        <v>10</v>
      </c>
      <c r="D2957" t="s">
        <v>108</v>
      </c>
      <c r="E2957">
        <v>10667</v>
      </c>
      <c r="F2957">
        <v>14014</v>
      </c>
      <c r="G2957">
        <v>7031</v>
      </c>
      <c r="H2957" t="s">
        <v>74</v>
      </c>
      <c r="I2957" t="s">
        <v>186</v>
      </c>
    </row>
    <row r="2958" spans="1:9" ht="15" customHeight="1" x14ac:dyDescent="0.35">
      <c r="A2958">
        <v>2022</v>
      </c>
      <c r="B2958" t="s">
        <v>158</v>
      </c>
      <c r="C2958">
        <v>11</v>
      </c>
      <c r="D2958" t="s">
        <v>108</v>
      </c>
      <c r="E2958">
        <v>12246</v>
      </c>
      <c r="F2958">
        <v>15969</v>
      </c>
      <c r="G2958">
        <v>8459</v>
      </c>
      <c r="H2958" t="s">
        <v>74</v>
      </c>
      <c r="I2958" t="s">
        <v>186</v>
      </c>
    </row>
    <row r="2959" spans="1:9" ht="15" customHeight="1" x14ac:dyDescent="0.35">
      <c r="A2959">
        <v>2022</v>
      </c>
      <c r="B2959" t="s">
        <v>159</v>
      </c>
      <c r="C2959">
        <v>12</v>
      </c>
      <c r="D2959" t="s">
        <v>108</v>
      </c>
      <c r="E2959">
        <v>12826</v>
      </c>
      <c r="F2959">
        <v>16533</v>
      </c>
      <c r="G2959">
        <v>8775</v>
      </c>
      <c r="H2959" t="s">
        <v>74</v>
      </c>
      <c r="I2959" t="s">
        <v>186</v>
      </c>
    </row>
    <row r="2960" spans="1:9" ht="15" customHeight="1" x14ac:dyDescent="0.35">
      <c r="A2960">
        <v>2023</v>
      </c>
      <c r="B2960" t="s">
        <v>147</v>
      </c>
      <c r="C2960">
        <v>1</v>
      </c>
      <c r="D2960" t="s">
        <v>108</v>
      </c>
      <c r="E2960">
        <v>12530</v>
      </c>
      <c r="F2960">
        <v>17444</v>
      </c>
      <c r="G2960">
        <v>6737</v>
      </c>
      <c r="H2960" t="s">
        <v>74</v>
      </c>
      <c r="I2960" t="s">
        <v>186</v>
      </c>
    </row>
    <row r="2961" spans="1:9" ht="15" customHeight="1" x14ac:dyDescent="0.35">
      <c r="A2961">
        <v>2023</v>
      </c>
      <c r="B2961" t="s">
        <v>149</v>
      </c>
      <c r="C2961">
        <v>2</v>
      </c>
      <c r="D2961" t="s">
        <v>108</v>
      </c>
      <c r="E2961">
        <v>12564</v>
      </c>
      <c r="F2961">
        <v>16719</v>
      </c>
      <c r="G2961">
        <v>8837</v>
      </c>
      <c r="H2961" t="s">
        <v>74</v>
      </c>
      <c r="I2961" t="s">
        <v>186</v>
      </c>
    </row>
    <row r="2962" spans="1:9" ht="15" customHeight="1" x14ac:dyDescent="0.35">
      <c r="A2962">
        <v>2023</v>
      </c>
      <c r="B2962" t="s">
        <v>150</v>
      </c>
      <c r="C2962">
        <v>3</v>
      </c>
      <c r="D2962" t="s">
        <v>108</v>
      </c>
      <c r="E2962">
        <v>10206</v>
      </c>
      <c r="F2962">
        <v>15627</v>
      </c>
      <c r="G2962">
        <v>6271</v>
      </c>
      <c r="H2962" t="s">
        <v>74</v>
      </c>
      <c r="I2962" t="s">
        <v>186</v>
      </c>
    </row>
    <row r="2963" spans="1:9" ht="15" customHeight="1" x14ac:dyDescent="0.35">
      <c r="A2963">
        <v>2023</v>
      </c>
      <c r="B2963" t="s">
        <v>151</v>
      </c>
      <c r="C2963">
        <v>4</v>
      </c>
      <c r="D2963" t="s">
        <v>108</v>
      </c>
      <c r="E2963">
        <v>10285</v>
      </c>
      <c r="F2963">
        <v>13767</v>
      </c>
      <c r="G2963">
        <v>6615</v>
      </c>
      <c r="H2963" t="s">
        <v>75</v>
      </c>
      <c r="I2963" t="s">
        <v>186</v>
      </c>
    </row>
    <row r="2964" spans="1:9" ht="15" customHeight="1" x14ac:dyDescent="0.35">
      <c r="A2964">
        <v>2023</v>
      </c>
      <c r="B2964" t="s">
        <v>152</v>
      </c>
      <c r="C2964">
        <v>5</v>
      </c>
      <c r="D2964" t="s">
        <v>108</v>
      </c>
      <c r="E2964">
        <v>11109</v>
      </c>
      <c r="F2964">
        <v>16389</v>
      </c>
      <c r="G2964">
        <v>4917</v>
      </c>
      <c r="H2964" t="s">
        <v>75</v>
      </c>
      <c r="I2964" t="s">
        <v>186</v>
      </c>
    </row>
    <row r="2965" spans="1:9" ht="15" customHeight="1" x14ac:dyDescent="0.35">
      <c r="A2965">
        <v>2023</v>
      </c>
      <c r="B2965" t="s">
        <v>153</v>
      </c>
      <c r="C2965">
        <v>6</v>
      </c>
      <c r="D2965" t="s">
        <v>108</v>
      </c>
      <c r="E2965">
        <v>11184</v>
      </c>
      <c r="F2965">
        <v>15466</v>
      </c>
      <c r="G2965">
        <v>7139</v>
      </c>
      <c r="H2965" t="s">
        <v>75</v>
      </c>
      <c r="I2965" t="s">
        <v>186</v>
      </c>
    </row>
    <row r="2966" spans="1:9" ht="15" customHeight="1" x14ac:dyDescent="0.35">
      <c r="A2966">
        <v>2023</v>
      </c>
      <c r="B2966" t="s">
        <v>154</v>
      </c>
      <c r="C2966">
        <v>7</v>
      </c>
      <c r="D2966" t="s">
        <v>108</v>
      </c>
      <c r="E2966">
        <v>10955</v>
      </c>
      <c r="F2966">
        <v>13939</v>
      </c>
      <c r="G2966">
        <v>8596</v>
      </c>
      <c r="H2966" t="s">
        <v>75</v>
      </c>
      <c r="I2966" t="s">
        <v>186</v>
      </c>
    </row>
    <row r="2967" spans="1:9" ht="15" customHeight="1" x14ac:dyDescent="0.35">
      <c r="A2967">
        <v>2023</v>
      </c>
      <c r="B2967" t="s">
        <v>155</v>
      </c>
      <c r="C2967">
        <v>8</v>
      </c>
      <c r="D2967" t="s">
        <v>108</v>
      </c>
      <c r="E2967">
        <v>13605</v>
      </c>
      <c r="F2967">
        <v>17263</v>
      </c>
      <c r="G2967">
        <v>9912</v>
      </c>
      <c r="H2967" t="s">
        <v>75</v>
      </c>
      <c r="I2967" t="s">
        <v>186</v>
      </c>
    </row>
    <row r="2968" spans="1:9" ht="15" customHeight="1" x14ac:dyDescent="0.35">
      <c r="A2968">
        <v>2023</v>
      </c>
      <c r="B2968" t="s">
        <v>156</v>
      </c>
      <c r="C2968">
        <v>9</v>
      </c>
      <c r="D2968" t="s">
        <v>108</v>
      </c>
      <c r="E2968">
        <v>13056</v>
      </c>
      <c r="F2968">
        <v>17860</v>
      </c>
      <c r="G2968">
        <v>8510</v>
      </c>
      <c r="H2968" t="s">
        <v>75</v>
      </c>
      <c r="I2968" t="s">
        <v>186</v>
      </c>
    </row>
    <row r="2969" spans="1:9" ht="15" customHeight="1" x14ac:dyDescent="0.35">
      <c r="A2969">
        <v>2023</v>
      </c>
      <c r="B2969" t="s">
        <v>157</v>
      </c>
      <c r="C2969">
        <v>10</v>
      </c>
      <c r="D2969" t="s">
        <v>108</v>
      </c>
      <c r="E2969">
        <v>12403</v>
      </c>
      <c r="F2969">
        <v>15648</v>
      </c>
      <c r="G2969">
        <v>8499</v>
      </c>
      <c r="H2969" t="s">
        <v>75</v>
      </c>
      <c r="I2969" t="s">
        <v>186</v>
      </c>
    </row>
    <row r="2970" spans="1:9" ht="15" customHeight="1" x14ac:dyDescent="0.35">
      <c r="A2970">
        <v>2023</v>
      </c>
      <c r="B2970" t="s">
        <v>158</v>
      </c>
      <c r="C2970">
        <v>11</v>
      </c>
      <c r="D2970" t="s">
        <v>108</v>
      </c>
      <c r="E2970">
        <v>12264</v>
      </c>
      <c r="F2970">
        <v>16314</v>
      </c>
      <c r="G2970">
        <v>6124</v>
      </c>
      <c r="H2970" t="s">
        <v>75</v>
      </c>
      <c r="I2970" t="s">
        <v>186</v>
      </c>
    </row>
    <row r="2971" spans="1:9" ht="15" customHeight="1" x14ac:dyDescent="0.35">
      <c r="A2971">
        <v>2023</v>
      </c>
      <c r="B2971" t="s">
        <v>159</v>
      </c>
      <c r="C2971">
        <v>12</v>
      </c>
      <c r="D2971" t="s">
        <v>108</v>
      </c>
      <c r="E2971">
        <v>12718</v>
      </c>
      <c r="F2971">
        <v>17492</v>
      </c>
      <c r="G2971">
        <v>7255</v>
      </c>
      <c r="H2971" t="s">
        <v>75</v>
      </c>
      <c r="I2971" t="s">
        <v>186</v>
      </c>
    </row>
    <row r="2972" spans="1:9" ht="15" customHeight="1" x14ac:dyDescent="0.35">
      <c r="A2972">
        <v>2024</v>
      </c>
      <c r="B2972" t="s">
        <v>147</v>
      </c>
      <c r="C2972">
        <v>1</v>
      </c>
      <c r="D2972" t="s">
        <v>108</v>
      </c>
      <c r="E2972">
        <v>13720</v>
      </c>
      <c r="F2972">
        <v>18163</v>
      </c>
      <c r="G2972">
        <v>8624</v>
      </c>
      <c r="H2972" t="s">
        <v>75</v>
      </c>
      <c r="I2972" t="s">
        <v>186</v>
      </c>
    </row>
    <row r="2973" spans="1:9" ht="15" customHeight="1" x14ac:dyDescent="0.35">
      <c r="A2973">
        <v>2024</v>
      </c>
      <c r="B2973" t="s">
        <v>149</v>
      </c>
      <c r="C2973">
        <v>2</v>
      </c>
      <c r="D2973" t="s">
        <v>108</v>
      </c>
      <c r="E2973">
        <v>13346</v>
      </c>
      <c r="F2973">
        <v>17898</v>
      </c>
      <c r="G2973">
        <v>7426</v>
      </c>
      <c r="H2973" t="s">
        <v>75</v>
      </c>
      <c r="I2973" t="s">
        <v>186</v>
      </c>
    </row>
    <row r="2974" spans="1:9" ht="15" customHeight="1" x14ac:dyDescent="0.35">
      <c r="A2974">
        <v>2024</v>
      </c>
      <c r="B2974" t="s">
        <v>150</v>
      </c>
      <c r="C2974">
        <v>3</v>
      </c>
      <c r="D2974" t="s">
        <v>108</v>
      </c>
      <c r="E2974">
        <v>12246</v>
      </c>
      <c r="F2974">
        <v>16980</v>
      </c>
      <c r="G2974">
        <v>6932</v>
      </c>
      <c r="H2974" t="s">
        <v>75</v>
      </c>
      <c r="I2974" t="s">
        <v>186</v>
      </c>
    </row>
    <row r="2975" spans="1:9" ht="15" customHeight="1" x14ac:dyDescent="0.35">
      <c r="A2975">
        <v>2024</v>
      </c>
      <c r="B2975" t="s">
        <v>151</v>
      </c>
      <c r="C2975">
        <v>4</v>
      </c>
      <c r="D2975" t="s">
        <v>108</v>
      </c>
      <c r="E2975">
        <v>12267</v>
      </c>
      <c r="F2975">
        <v>16980</v>
      </c>
      <c r="G2975">
        <v>6932</v>
      </c>
      <c r="H2975" t="s">
        <v>77</v>
      </c>
      <c r="I2975" t="s">
        <v>186</v>
      </c>
    </row>
    <row r="2976" spans="1:9" ht="15" customHeight="1" x14ac:dyDescent="0.35">
      <c r="A2976">
        <v>2024</v>
      </c>
      <c r="B2976" t="s">
        <v>152</v>
      </c>
      <c r="C2976">
        <v>5</v>
      </c>
      <c r="D2976" t="s">
        <v>108</v>
      </c>
      <c r="E2976">
        <v>13905</v>
      </c>
      <c r="F2976">
        <v>17653</v>
      </c>
      <c r="G2976">
        <v>9747</v>
      </c>
      <c r="H2976" t="s">
        <v>77</v>
      </c>
      <c r="I2976" t="s">
        <v>186</v>
      </c>
    </row>
    <row r="2977" spans="1:9" ht="15" customHeight="1" x14ac:dyDescent="0.35">
      <c r="A2977">
        <v>2024</v>
      </c>
      <c r="B2977" t="s">
        <v>153</v>
      </c>
      <c r="C2977">
        <v>6</v>
      </c>
      <c r="D2977" t="s">
        <v>108</v>
      </c>
      <c r="E2977">
        <v>14551</v>
      </c>
      <c r="F2977">
        <v>17975</v>
      </c>
      <c r="G2977">
        <v>10798</v>
      </c>
      <c r="H2977" t="s">
        <v>77</v>
      </c>
      <c r="I2977" t="s">
        <v>186</v>
      </c>
    </row>
    <row r="2978" spans="1:9" ht="15" customHeight="1" x14ac:dyDescent="0.35">
      <c r="A2978">
        <v>2024</v>
      </c>
      <c r="B2978" t="s">
        <v>154</v>
      </c>
      <c r="C2978">
        <v>7</v>
      </c>
      <c r="D2978" t="s">
        <v>108</v>
      </c>
      <c r="E2978">
        <v>13180</v>
      </c>
      <c r="F2978">
        <v>16539</v>
      </c>
      <c r="G2978">
        <v>10009</v>
      </c>
      <c r="H2978" t="s">
        <v>77</v>
      </c>
      <c r="I2978" t="s">
        <v>186</v>
      </c>
    </row>
    <row r="2979" spans="1:9" ht="15" customHeight="1" x14ac:dyDescent="0.35">
      <c r="A2979">
        <v>2024</v>
      </c>
      <c r="B2979" t="s">
        <v>155</v>
      </c>
      <c r="C2979">
        <v>8</v>
      </c>
      <c r="D2979" t="s">
        <v>108</v>
      </c>
      <c r="E2979">
        <v>10666</v>
      </c>
      <c r="F2979">
        <v>13510</v>
      </c>
      <c r="G2979">
        <v>8203</v>
      </c>
      <c r="H2979" t="s">
        <v>77</v>
      </c>
      <c r="I2979" t="s">
        <v>186</v>
      </c>
    </row>
    <row r="2980" spans="1:9" ht="15" customHeight="1" x14ac:dyDescent="0.35">
      <c r="A2980">
        <v>2024</v>
      </c>
      <c r="B2980" t="s">
        <v>156</v>
      </c>
      <c r="C2980">
        <v>9</v>
      </c>
      <c r="D2980" t="s">
        <v>108</v>
      </c>
      <c r="E2980">
        <v>12530</v>
      </c>
      <c r="F2980">
        <v>16432</v>
      </c>
      <c r="G2980">
        <v>9096</v>
      </c>
      <c r="H2980" t="s">
        <v>77</v>
      </c>
      <c r="I2980" t="s">
        <v>186</v>
      </c>
    </row>
    <row r="2981" spans="1:9" ht="15" customHeight="1" x14ac:dyDescent="0.35">
      <c r="A2981">
        <v>2024</v>
      </c>
      <c r="B2981" t="s">
        <v>157</v>
      </c>
      <c r="C2981">
        <v>10</v>
      </c>
      <c r="D2981" t="s">
        <v>108</v>
      </c>
      <c r="E2981">
        <v>13412</v>
      </c>
      <c r="F2981">
        <v>16271</v>
      </c>
      <c r="G2981">
        <v>9598</v>
      </c>
      <c r="H2981" t="s">
        <v>77</v>
      </c>
      <c r="I2981" t="s">
        <v>186</v>
      </c>
    </row>
    <row r="2982" spans="1:9" ht="15" customHeight="1" x14ac:dyDescent="0.35">
      <c r="A2982">
        <v>2024</v>
      </c>
      <c r="B2982" t="s">
        <v>158</v>
      </c>
      <c r="C2982">
        <v>11</v>
      </c>
      <c r="D2982" t="s">
        <v>108</v>
      </c>
      <c r="E2982">
        <v>13463</v>
      </c>
      <c r="F2982">
        <v>17488</v>
      </c>
      <c r="G2982">
        <v>9243</v>
      </c>
      <c r="H2982" t="s">
        <v>77</v>
      </c>
      <c r="I2982" t="s">
        <v>186</v>
      </c>
    </row>
    <row r="2983" spans="1:9" ht="15" customHeight="1" x14ac:dyDescent="0.35">
      <c r="A2983">
        <v>2024</v>
      </c>
      <c r="B2983" t="s">
        <v>159</v>
      </c>
      <c r="C2983">
        <v>12</v>
      </c>
      <c r="D2983" t="s">
        <v>108</v>
      </c>
      <c r="E2983">
        <v>13608</v>
      </c>
      <c r="F2983">
        <v>18761</v>
      </c>
      <c r="G2983">
        <v>7287</v>
      </c>
      <c r="H2983" t="s">
        <v>77</v>
      </c>
      <c r="I2983" t="s">
        <v>186</v>
      </c>
    </row>
    <row r="2984" spans="1:9" ht="15" customHeight="1" x14ac:dyDescent="0.35">
      <c r="A2984">
        <v>2025</v>
      </c>
      <c r="B2984" t="s">
        <v>147</v>
      </c>
      <c r="C2984">
        <v>1</v>
      </c>
      <c r="D2984" t="s">
        <v>108</v>
      </c>
      <c r="E2984">
        <v>13603</v>
      </c>
      <c r="F2984">
        <v>18753</v>
      </c>
      <c r="G2984">
        <v>7922</v>
      </c>
      <c r="H2984" t="s">
        <v>77</v>
      </c>
      <c r="I2984" t="s">
        <v>186</v>
      </c>
    </row>
    <row r="2985" spans="1:9" ht="15" customHeight="1" x14ac:dyDescent="0.35">
      <c r="A2985">
        <v>2025</v>
      </c>
      <c r="B2985" t="s">
        <v>149</v>
      </c>
      <c r="C2985">
        <v>2</v>
      </c>
      <c r="D2985" t="s">
        <v>108</v>
      </c>
      <c r="E2985">
        <v>14338</v>
      </c>
      <c r="F2985">
        <v>19141</v>
      </c>
      <c r="G2985">
        <v>8899</v>
      </c>
      <c r="H2985" t="s">
        <v>77</v>
      </c>
      <c r="I2985" t="s">
        <v>186</v>
      </c>
    </row>
    <row r="2986" spans="1:9" ht="15" customHeight="1" x14ac:dyDescent="0.35">
      <c r="A2986">
        <v>2025</v>
      </c>
      <c r="B2986" t="s">
        <v>150</v>
      </c>
      <c r="C2986">
        <v>3</v>
      </c>
      <c r="D2986" t="s">
        <v>108</v>
      </c>
      <c r="E2986">
        <v>12595</v>
      </c>
      <c r="F2986">
        <v>17438</v>
      </c>
      <c r="G2986">
        <v>7839</v>
      </c>
      <c r="H2986" t="s">
        <v>77</v>
      </c>
      <c r="I2986" t="s">
        <v>186</v>
      </c>
    </row>
    <row r="2987" spans="1:9" ht="15" customHeight="1" x14ac:dyDescent="0.35">
      <c r="A2987">
        <v>2025</v>
      </c>
      <c r="B2987" t="s">
        <v>151</v>
      </c>
      <c r="C2987">
        <v>4</v>
      </c>
      <c r="D2987" t="s">
        <v>108</v>
      </c>
      <c r="E2987">
        <v>12401</v>
      </c>
      <c r="F2987">
        <v>15840</v>
      </c>
      <c r="G2987">
        <v>7945</v>
      </c>
      <c r="H2987" t="s">
        <v>78</v>
      </c>
      <c r="I2987" t="s">
        <v>186</v>
      </c>
    </row>
    <row r="2988" spans="1:9" ht="15" customHeight="1" x14ac:dyDescent="0.35">
      <c r="A2988">
        <v>2025</v>
      </c>
      <c r="B2988" t="s">
        <v>152</v>
      </c>
      <c r="C2988">
        <v>5</v>
      </c>
      <c r="D2988" t="s">
        <v>108</v>
      </c>
      <c r="E2988">
        <v>13124</v>
      </c>
      <c r="F2988">
        <v>17344</v>
      </c>
      <c r="G2988">
        <v>8512</v>
      </c>
      <c r="H2988" t="s">
        <v>78</v>
      </c>
      <c r="I2988" t="s">
        <v>186</v>
      </c>
    </row>
    <row r="2989" spans="1:9" ht="15" customHeight="1" x14ac:dyDescent="0.35">
      <c r="A2989">
        <v>2025</v>
      </c>
      <c r="B2989" t="s">
        <v>153</v>
      </c>
      <c r="C2989">
        <v>6</v>
      </c>
      <c r="D2989" t="s">
        <v>108</v>
      </c>
      <c r="E2989">
        <v>13243</v>
      </c>
      <c r="F2989">
        <v>18350</v>
      </c>
      <c r="G2989">
        <v>9791</v>
      </c>
      <c r="H2989" t="s">
        <v>78</v>
      </c>
      <c r="I2989" t="s">
        <v>186</v>
      </c>
    </row>
    <row r="2990" spans="1:9" ht="15" customHeight="1" x14ac:dyDescent="0.35">
      <c r="A2990">
        <v>2025</v>
      </c>
      <c r="B2990" t="s">
        <v>154</v>
      </c>
      <c r="C2990">
        <v>7</v>
      </c>
      <c r="D2990" t="s">
        <v>108</v>
      </c>
      <c r="E2990">
        <v>11482</v>
      </c>
      <c r="F2990">
        <v>14390</v>
      </c>
      <c r="G2990">
        <v>8375</v>
      </c>
      <c r="H2990" t="s">
        <v>78</v>
      </c>
      <c r="I2990" t="s">
        <v>186</v>
      </c>
    </row>
    <row r="2991" spans="1:9" ht="15" customHeight="1" x14ac:dyDescent="0.35">
      <c r="A2991">
        <v>2025</v>
      </c>
      <c r="B2991" t="s">
        <v>155</v>
      </c>
      <c r="C2991">
        <v>8</v>
      </c>
      <c r="D2991" t="s">
        <v>108</v>
      </c>
      <c r="E2991">
        <v>13228</v>
      </c>
      <c r="F2991">
        <v>17305</v>
      </c>
      <c r="G2991">
        <v>9251</v>
      </c>
      <c r="H2991" t="s">
        <v>78</v>
      </c>
      <c r="I2991" t="s">
        <v>186</v>
      </c>
    </row>
    <row r="2992" spans="1:9" ht="15" customHeight="1" x14ac:dyDescent="0.35">
      <c r="A2992">
        <v>2025</v>
      </c>
      <c r="B2992" t="s">
        <v>156</v>
      </c>
      <c r="C2992">
        <v>9</v>
      </c>
      <c r="D2992" t="s">
        <v>108</v>
      </c>
      <c r="E2992">
        <v>12434</v>
      </c>
      <c r="F2992">
        <v>15931</v>
      </c>
      <c r="G2992">
        <v>7951</v>
      </c>
      <c r="H2992" t="s">
        <v>78</v>
      </c>
      <c r="I2992" t="s">
        <v>186</v>
      </c>
    </row>
    <row r="2993" spans="1:9" ht="15" customHeight="1" x14ac:dyDescent="0.35">
      <c r="A2993">
        <v>2025</v>
      </c>
      <c r="B2993" t="s">
        <v>157</v>
      </c>
      <c r="C2993">
        <v>10</v>
      </c>
      <c r="D2993" t="s">
        <v>108</v>
      </c>
      <c r="E2993">
        <v>10657</v>
      </c>
      <c r="F2993">
        <v>13630</v>
      </c>
      <c r="G2993">
        <v>7334</v>
      </c>
      <c r="H2993" t="s">
        <v>78</v>
      </c>
      <c r="I2993" t="s">
        <v>186</v>
      </c>
    </row>
    <row r="2994" spans="1:9" ht="15" customHeight="1" x14ac:dyDescent="0.35">
      <c r="A2994">
        <v>2025</v>
      </c>
      <c r="B2994" t="s">
        <v>158</v>
      </c>
      <c r="C2994">
        <v>11</v>
      </c>
      <c r="D2994" t="s">
        <v>108</v>
      </c>
      <c r="E2994">
        <v>12089</v>
      </c>
      <c r="F2994">
        <v>16826</v>
      </c>
      <c r="G2994">
        <v>7672</v>
      </c>
      <c r="H2994" t="s">
        <v>78</v>
      </c>
      <c r="I2994" t="s">
        <v>186</v>
      </c>
    </row>
    <row r="2995" spans="1:9" ht="15" customHeight="1" x14ac:dyDescent="0.35">
      <c r="A2995">
        <v>2025</v>
      </c>
      <c r="B2995" t="s">
        <v>159</v>
      </c>
      <c r="C2995">
        <v>12</v>
      </c>
      <c r="D2995" t="s">
        <v>108</v>
      </c>
      <c r="E2995">
        <v>13909</v>
      </c>
      <c r="F2995">
        <v>18955</v>
      </c>
      <c r="G2995">
        <v>8566</v>
      </c>
      <c r="H2995" t="s">
        <v>78</v>
      </c>
      <c r="I2995" t="s">
        <v>186</v>
      </c>
    </row>
    <row r="2996" spans="1:9" ht="15" customHeight="1" x14ac:dyDescent="0.35">
      <c r="A2996">
        <v>2026</v>
      </c>
      <c r="B2996" t="s">
        <v>147</v>
      </c>
      <c r="C2996">
        <v>1</v>
      </c>
      <c r="D2996" t="s">
        <v>108</v>
      </c>
      <c r="E2996">
        <v>13623</v>
      </c>
      <c r="F2996">
        <v>18973</v>
      </c>
      <c r="G2996">
        <v>7516</v>
      </c>
      <c r="H2996" t="s">
        <v>78</v>
      </c>
      <c r="I2996" t="s">
        <v>186</v>
      </c>
    </row>
    <row r="2997" spans="1:9" ht="15" customHeight="1" x14ac:dyDescent="0.35">
      <c r="A2997">
        <v>2026</v>
      </c>
      <c r="B2997" t="s">
        <v>149</v>
      </c>
      <c r="C2997">
        <v>2</v>
      </c>
      <c r="D2997" t="s">
        <v>108</v>
      </c>
      <c r="E2997">
        <v>13406</v>
      </c>
      <c r="F2997">
        <v>18294</v>
      </c>
      <c r="G2997">
        <v>8199</v>
      </c>
      <c r="H2997" t="s">
        <v>78</v>
      </c>
      <c r="I2997" t="s">
        <v>186</v>
      </c>
    </row>
    <row r="2998" spans="1:9" ht="15" customHeight="1" x14ac:dyDescent="0.35">
      <c r="A2998">
        <v>2026</v>
      </c>
      <c r="B2998" t="s">
        <v>150</v>
      </c>
      <c r="C2998">
        <v>3</v>
      </c>
      <c r="D2998" t="s">
        <v>108</v>
      </c>
      <c r="E2998">
        <v>13623</v>
      </c>
      <c r="F2998">
        <v>18973</v>
      </c>
      <c r="G2998">
        <v>7516</v>
      </c>
      <c r="H2998" t="s">
        <v>78</v>
      </c>
      <c r="I2998" t="s">
        <v>186</v>
      </c>
    </row>
    <row r="2999" spans="1:9" ht="15" customHeight="1" x14ac:dyDescent="0.35">
      <c r="A2999">
        <v>2017</v>
      </c>
      <c r="B2999" t="s">
        <v>147</v>
      </c>
      <c r="C2999">
        <v>1</v>
      </c>
      <c r="D2999" t="s">
        <v>109</v>
      </c>
      <c r="E2999">
        <v>56</v>
      </c>
      <c r="F2999">
        <v>115</v>
      </c>
      <c r="G2999">
        <v>18</v>
      </c>
      <c r="H2999" t="s">
        <v>122</v>
      </c>
      <c r="I2999" t="s">
        <v>187</v>
      </c>
    </row>
    <row r="3000" spans="1:9" ht="15" customHeight="1" x14ac:dyDescent="0.35">
      <c r="A3000">
        <v>2017</v>
      </c>
      <c r="B3000" t="s">
        <v>149</v>
      </c>
      <c r="C3000">
        <v>2</v>
      </c>
      <c r="D3000" t="s">
        <v>109</v>
      </c>
      <c r="E3000">
        <v>54</v>
      </c>
      <c r="F3000">
        <v>96</v>
      </c>
      <c r="G3000">
        <v>24</v>
      </c>
      <c r="H3000" t="s">
        <v>122</v>
      </c>
      <c r="I3000" t="s">
        <v>187</v>
      </c>
    </row>
    <row r="3001" spans="1:9" ht="15" customHeight="1" x14ac:dyDescent="0.35">
      <c r="A3001">
        <v>2017</v>
      </c>
      <c r="B3001" t="s">
        <v>150</v>
      </c>
      <c r="C3001">
        <v>3</v>
      </c>
      <c r="D3001" t="s">
        <v>109</v>
      </c>
      <c r="E3001">
        <v>53</v>
      </c>
      <c r="F3001">
        <v>94</v>
      </c>
      <c r="G3001">
        <v>21</v>
      </c>
      <c r="H3001" t="s">
        <v>122</v>
      </c>
      <c r="I3001" t="s">
        <v>187</v>
      </c>
    </row>
    <row r="3002" spans="1:9" ht="15" customHeight="1" x14ac:dyDescent="0.35">
      <c r="A3002">
        <v>2017</v>
      </c>
      <c r="B3002" t="s">
        <v>151</v>
      </c>
      <c r="C3002">
        <v>4</v>
      </c>
      <c r="D3002" t="s">
        <v>109</v>
      </c>
      <c r="E3002">
        <v>44</v>
      </c>
      <c r="F3002">
        <v>89</v>
      </c>
      <c r="G3002">
        <v>12</v>
      </c>
      <c r="H3002" t="s">
        <v>123</v>
      </c>
      <c r="I3002" t="s">
        <v>187</v>
      </c>
    </row>
    <row r="3003" spans="1:9" ht="15" customHeight="1" x14ac:dyDescent="0.35">
      <c r="A3003">
        <v>2017</v>
      </c>
      <c r="B3003" t="s">
        <v>152</v>
      </c>
      <c r="C3003">
        <v>5</v>
      </c>
      <c r="D3003" t="s">
        <v>109</v>
      </c>
      <c r="E3003">
        <v>41</v>
      </c>
      <c r="F3003">
        <v>73</v>
      </c>
      <c r="G3003">
        <v>16</v>
      </c>
      <c r="H3003" t="s">
        <v>123</v>
      </c>
      <c r="I3003" t="s">
        <v>187</v>
      </c>
    </row>
    <row r="3004" spans="1:9" ht="15" customHeight="1" x14ac:dyDescent="0.35">
      <c r="A3004">
        <v>2017</v>
      </c>
      <c r="B3004" t="s">
        <v>153</v>
      </c>
      <c r="C3004">
        <v>6</v>
      </c>
      <c r="D3004" t="s">
        <v>109</v>
      </c>
      <c r="E3004">
        <v>41</v>
      </c>
      <c r="F3004">
        <v>69</v>
      </c>
      <c r="G3004">
        <v>17</v>
      </c>
      <c r="H3004" t="s">
        <v>123</v>
      </c>
      <c r="I3004" t="s">
        <v>187</v>
      </c>
    </row>
    <row r="3005" spans="1:9" ht="15" customHeight="1" x14ac:dyDescent="0.35">
      <c r="A3005">
        <v>2017</v>
      </c>
      <c r="B3005" t="s">
        <v>154</v>
      </c>
      <c r="C3005">
        <v>7</v>
      </c>
      <c r="D3005" t="s">
        <v>109</v>
      </c>
      <c r="E3005">
        <v>46</v>
      </c>
      <c r="F3005">
        <v>106</v>
      </c>
      <c r="G3005">
        <v>1</v>
      </c>
      <c r="H3005" t="s">
        <v>123</v>
      </c>
      <c r="I3005" t="s">
        <v>187</v>
      </c>
    </row>
    <row r="3006" spans="1:9" ht="15" customHeight="1" x14ac:dyDescent="0.35">
      <c r="A3006">
        <v>2017</v>
      </c>
      <c r="B3006" t="s">
        <v>155</v>
      </c>
      <c r="C3006">
        <v>8</v>
      </c>
      <c r="D3006" t="s">
        <v>109</v>
      </c>
      <c r="E3006">
        <v>53</v>
      </c>
      <c r="F3006">
        <v>92</v>
      </c>
      <c r="G3006">
        <v>13</v>
      </c>
      <c r="H3006" t="s">
        <v>123</v>
      </c>
      <c r="I3006" t="s">
        <v>187</v>
      </c>
    </row>
    <row r="3007" spans="1:9" ht="15" customHeight="1" x14ac:dyDescent="0.35">
      <c r="A3007">
        <v>2017</v>
      </c>
      <c r="B3007" t="s">
        <v>156</v>
      </c>
      <c r="C3007">
        <v>9</v>
      </c>
      <c r="D3007" t="s">
        <v>109</v>
      </c>
      <c r="E3007">
        <v>54</v>
      </c>
      <c r="F3007">
        <v>93</v>
      </c>
      <c r="G3007">
        <v>23</v>
      </c>
      <c r="H3007" t="s">
        <v>123</v>
      </c>
      <c r="I3007" t="s">
        <v>187</v>
      </c>
    </row>
    <row r="3008" spans="1:9" ht="15" customHeight="1" x14ac:dyDescent="0.35">
      <c r="A3008">
        <v>2017</v>
      </c>
      <c r="B3008" t="s">
        <v>157</v>
      </c>
      <c r="C3008">
        <v>10</v>
      </c>
      <c r="D3008" t="s">
        <v>109</v>
      </c>
      <c r="E3008">
        <v>57</v>
      </c>
      <c r="F3008">
        <v>95</v>
      </c>
      <c r="G3008">
        <v>25</v>
      </c>
      <c r="H3008" t="s">
        <v>123</v>
      </c>
      <c r="I3008" t="s">
        <v>187</v>
      </c>
    </row>
    <row r="3009" spans="1:9" ht="15" customHeight="1" x14ac:dyDescent="0.35">
      <c r="A3009">
        <v>2017</v>
      </c>
      <c r="B3009" t="s">
        <v>158</v>
      </c>
      <c r="C3009">
        <v>11</v>
      </c>
      <c r="D3009" t="s">
        <v>109</v>
      </c>
      <c r="E3009">
        <v>65</v>
      </c>
      <c r="F3009">
        <v>100</v>
      </c>
      <c r="G3009">
        <v>31</v>
      </c>
      <c r="H3009" t="s">
        <v>123</v>
      </c>
      <c r="I3009" t="s">
        <v>187</v>
      </c>
    </row>
    <row r="3010" spans="1:9" ht="15" customHeight="1" x14ac:dyDescent="0.35">
      <c r="A3010">
        <v>2017</v>
      </c>
      <c r="B3010" t="s">
        <v>159</v>
      </c>
      <c r="C3010">
        <v>12</v>
      </c>
      <c r="D3010" t="s">
        <v>109</v>
      </c>
      <c r="E3010">
        <v>69</v>
      </c>
      <c r="F3010">
        <v>107</v>
      </c>
      <c r="G3010">
        <v>35</v>
      </c>
      <c r="H3010" t="s">
        <v>123</v>
      </c>
      <c r="I3010" t="s">
        <v>187</v>
      </c>
    </row>
    <row r="3011" spans="1:9" ht="15" customHeight="1" x14ac:dyDescent="0.35">
      <c r="A3011">
        <v>2018</v>
      </c>
      <c r="B3011" t="s">
        <v>147</v>
      </c>
      <c r="C3011">
        <v>1</v>
      </c>
      <c r="D3011" t="s">
        <v>109</v>
      </c>
      <c r="E3011">
        <v>70</v>
      </c>
      <c r="F3011">
        <v>104</v>
      </c>
      <c r="G3011">
        <v>38</v>
      </c>
      <c r="H3011" t="s">
        <v>123</v>
      </c>
      <c r="I3011" t="s">
        <v>187</v>
      </c>
    </row>
    <row r="3012" spans="1:9" ht="15" customHeight="1" x14ac:dyDescent="0.35">
      <c r="A3012">
        <v>2018</v>
      </c>
      <c r="B3012" t="s">
        <v>149</v>
      </c>
      <c r="C3012">
        <v>2</v>
      </c>
      <c r="D3012" t="s">
        <v>109</v>
      </c>
      <c r="E3012">
        <v>69</v>
      </c>
      <c r="F3012">
        <v>106</v>
      </c>
      <c r="G3012">
        <v>23</v>
      </c>
      <c r="H3012" t="s">
        <v>123</v>
      </c>
      <c r="I3012" t="s">
        <v>187</v>
      </c>
    </row>
    <row r="3013" spans="1:9" ht="15" customHeight="1" x14ac:dyDescent="0.35">
      <c r="A3013">
        <v>2018</v>
      </c>
      <c r="B3013" t="s">
        <v>150</v>
      </c>
      <c r="C3013">
        <v>3</v>
      </c>
      <c r="D3013" t="s">
        <v>109</v>
      </c>
      <c r="E3013">
        <v>62</v>
      </c>
      <c r="F3013">
        <v>98</v>
      </c>
      <c r="G3013">
        <v>11</v>
      </c>
      <c r="H3013" t="s">
        <v>123</v>
      </c>
      <c r="I3013" t="s">
        <v>187</v>
      </c>
    </row>
    <row r="3014" spans="1:9" ht="15" customHeight="1" x14ac:dyDescent="0.35">
      <c r="A3014">
        <v>2018</v>
      </c>
      <c r="B3014" t="s">
        <v>151</v>
      </c>
      <c r="C3014">
        <v>4</v>
      </c>
      <c r="D3014" t="s">
        <v>109</v>
      </c>
      <c r="E3014">
        <v>63</v>
      </c>
      <c r="F3014">
        <v>95</v>
      </c>
      <c r="G3014">
        <v>29</v>
      </c>
      <c r="H3014" t="s">
        <v>124</v>
      </c>
      <c r="I3014" t="s">
        <v>187</v>
      </c>
    </row>
    <row r="3015" spans="1:9" ht="15" customHeight="1" x14ac:dyDescent="0.35">
      <c r="A3015">
        <v>2018</v>
      </c>
      <c r="B3015" t="s">
        <v>152</v>
      </c>
      <c r="C3015">
        <v>5</v>
      </c>
      <c r="D3015" t="s">
        <v>109</v>
      </c>
      <c r="E3015">
        <v>57</v>
      </c>
      <c r="F3015">
        <v>96</v>
      </c>
      <c r="G3015">
        <v>12</v>
      </c>
      <c r="H3015" t="s">
        <v>124</v>
      </c>
      <c r="I3015" t="s">
        <v>187</v>
      </c>
    </row>
    <row r="3016" spans="1:9" ht="15" customHeight="1" x14ac:dyDescent="0.35">
      <c r="A3016">
        <v>2018</v>
      </c>
      <c r="B3016" t="s">
        <v>153</v>
      </c>
      <c r="C3016">
        <v>6</v>
      </c>
      <c r="D3016" t="s">
        <v>109</v>
      </c>
      <c r="E3016">
        <v>55</v>
      </c>
      <c r="F3016">
        <v>84</v>
      </c>
      <c r="G3016">
        <v>21</v>
      </c>
      <c r="H3016" t="s">
        <v>124</v>
      </c>
      <c r="I3016" t="s">
        <v>187</v>
      </c>
    </row>
    <row r="3017" spans="1:9" ht="15" customHeight="1" x14ac:dyDescent="0.35">
      <c r="A3017">
        <v>2018</v>
      </c>
      <c r="B3017" t="s">
        <v>154</v>
      </c>
      <c r="C3017">
        <v>7</v>
      </c>
      <c r="D3017" t="s">
        <v>109</v>
      </c>
      <c r="E3017">
        <v>55</v>
      </c>
      <c r="F3017">
        <v>90</v>
      </c>
      <c r="G3017">
        <v>24</v>
      </c>
      <c r="H3017" t="s">
        <v>124</v>
      </c>
      <c r="I3017" t="s">
        <v>187</v>
      </c>
    </row>
    <row r="3018" spans="1:9" ht="15" customHeight="1" x14ac:dyDescent="0.35">
      <c r="A3018">
        <v>2018</v>
      </c>
      <c r="B3018" t="s">
        <v>155</v>
      </c>
      <c r="C3018">
        <v>8</v>
      </c>
      <c r="D3018" t="s">
        <v>109</v>
      </c>
      <c r="E3018">
        <v>53</v>
      </c>
      <c r="F3018">
        <v>94</v>
      </c>
      <c r="G3018">
        <v>11</v>
      </c>
      <c r="H3018" t="s">
        <v>124</v>
      </c>
      <c r="I3018" t="s">
        <v>187</v>
      </c>
    </row>
    <row r="3019" spans="1:9" ht="15" customHeight="1" x14ac:dyDescent="0.35">
      <c r="A3019">
        <v>2018</v>
      </c>
      <c r="B3019" t="s">
        <v>156</v>
      </c>
      <c r="C3019">
        <v>9</v>
      </c>
      <c r="D3019" t="s">
        <v>109</v>
      </c>
      <c r="E3019">
        <v>54</v>
      </c>
      <c r="F3019">
        <v>95</v>
      </c>
      <c r="G3019">
        <v>15</v>
      </c>
      <c r="H3019" t="s">
        <v>124</v>
      </c>
      <c r="I3019" t="s">
        <v>187</v>
      </c>
    </row>
    <row r="3020" spans="1:9" ht="15" customHeight="1" x14ac:dyDescent="0.35">
      <c r="A3020">
        <v>2018</v>
      </c>
      <c r="B3020" t="s">
        <v>157</v>
      </c>
      <c r="C3020">
        <v>10</v>
      </c>
      <c r="D3020" t="s">
        <v>109</v>
      </c>
      <c r="E3020">
        <v>58</v>
      </c>
      <c r="F3020">
        <v>95</v>
      </c>
      <c r="G3020">
        <v>23</v>
      </c>
      <c r="H3020" t="s">
        <v>124</v>
      </c>
      <c r="I3020" t="s">
        <v>187</v>
      </c>
    </row>
    <row r="3021" spans="1:9" ht="15" customHeight="1" x14ac:dyDescent="0.35">
      <c r="A3021">
        <v>2018</v>
      </c>
      <c r="B3021" t="s">
        <v>158</v>
      </c>
      <c r="C3021">
        <v>11</v>
      </c>
      <c r="D3021" t="s">
        <v>109</v>
      </c>
      <c r="E3021">
        <v>64</v>
      </c>
      <c r="F3021">
        <v>124</v>
      </c>
      <c r="G3021">
        <v>33</v>
      </c>
      <c r="H3021" t="s">
        <v>124</v>
      </c>
      <c r="I3021" t="s">
        <v>187</v>
      </c>
    </row>
    <row r="3022" spans="1:9" ht="15" customHeight="1" x14ac:dyDescent="0.35">
      <c r="A3022">
        <v>2018</v>
      </c>
      <c r="B3022" t="s">
        <v>159</v>
      </c>
      <c r="C3022">
        <v>12</v>
      </c>
      <c r="D3022" t="s">
        <v>109</v>
      </c>
      <c r="E3022">
        <v>70</v>
      </c>
      <c r="F3022">
        <v>104</v>
      </c>
      <c r="G3022">
        <v>34</v>
      </c>
      <c r="H3022" t="s">
        <v>124</v>
      </c>
      <c r="I3022" t="s">
        <v>187</v>
      </c>
    </row>
    <row r="3023" spans="1:9" ht="15" customHeight="1" x14ac:dyDescent="0.35">
      <c r="A3023">
        <v>2019</v>
      </c>
      <c r="B3023" t="s">
        <v>147</v>
      </c>
      <c r="C3023">
        <v>1</v>
      </c>
      <c r="D3023" t="s">
        <v>109</v>
      </c>
      <c r="E3023">
        <v>66</v>
      </c>
      <c r="F3023">
        <v>104</v>
      </c>
      <c r="G3023">
        <v>33</v>
      </c>
      <c r="H3023" t="s">
        <v>124</v>
      </c>
      <c r="I3023" t="s">
        <v>187</v>
      </c>
    </row>
    <row r="3024" spans="1:9" ht="15" customHeight="1" x14ac:dyDescent="0.35">
      <c r="A3024">
        <v>2019</v>
      </c>
      <c r="B3024" t="s">
        <v>149</v>
      </c>
      <c r="C3024">
        <v>2</v>
      </c>
      <c r="D3024" t="s">
        <v>109</v>
      </c>
      <c r="E3024">
        <v>66</v>
      </c>
      <c r="F3024">
        <v>106</v>
      </c>
      <c r="G3024">
        <v>31</v>
      </c>
      <c r="H3024" t="s">
        <v>124</v>
      </c>
      <c r="I3024" t="s">
        <v>187</v>
      </c>
    </row>
    <row r="3025" spans="1:9" ht="15" customHeight="1" x14ac:dyDescent="0.35">
      <c r="A3025">
        <v>2019</v>
      </c>
      <c r="B3025" t="s">
        <v>150</v>
      </c>
      <c r="C3025">
        <v>3</v>
      </c>
      <c r="D3025" t="s">
        <v>109</v>
      </c>
      <c r="E3025">
        <v>63</v>
      </c>
      <c r="F3025">
        <v>108</v>
      </c>
      <c r="G3025">
        <v>18</v>
      </c>
      <c r="H3025" t="s">
        <v>124</v>
      </c>
      <c r="I3025" t="s">
        <v>187</v>
      </c>
    </row>
    <row r="3026" spans="1:9" ht="15" customHeight="1" x14ac:dyDescent="0.35">
      <c r="A3026">
        <v>2019</v>
      </c>
      <c r="B3026" t="s">
        <v>151</v>
      </c>
      <c r="C3026">
        <v>4</v>
      </c>
      <c r="D3026" t="s">
        <v>109</v>
      </c>
      <c r="E3026">
        <v>60</v>
      </c>
      <c r="F3026">
        <v>100</v>
      </c>
      <c r="G3026">
        <v>12</v>
      </c>
      <c r="H3026" t="s">
        <v>71</v>
      </c>
      <c r="I3026" t="s">
        <v>187</v>
      </c>
    </row>
    <row r="3027" spans="1:9" ht="15" customHeight="1" x14ac:dyDescent="0.35">
      <c r="A3027">
        <v>2019</v>
      </c>
      <c r="B3027" t="s">
        <v>152</v>
      </c>
      <c r="C3027">
        <v>5</v>
      </c>
      <c r="D3027" t="s">
        <v>109</v>
      </c>
      <c r="E3027">
        <v>57</v>
      </c>
      <c r="F3027">
        <v>93</v>
      </c>
      <c r="G3027">
        <v>25</v>
      </c>
      <c r="H3027" t="s">
        <v>71</v>
      </c>
      <c r="I3027" t="s">
        <v>187</v>
      </c>
    </row>
    <row r="3028" spans="1:9" ht="15" customHeight="1" x14ac:dyDescent="0.35">
      <c r="A3028">
        <v>2019</v>
      </c>
      <c r="B3028" t="s">
        <v>153</v>
      </c>
      <c r="C3028">
        <v>6</v>
      </c>
      <c r="D3028" t="s">
        <v>109</v>
      </c>
      <c r="E3028">
        <v>59</v>
      </c>
      <c r="F3028">
        <v>93</v>
      </c>
      <c r="G3028">
        <v>21</v>
      </c>
      <c r="H3028" t="s">
        <v>71</v>
      </c>
      <c r="I3028" t="s">
        <v>187</v>
      </c>
    </row>
    <row r="3029" spans="1:9" ht="15" customHeight="1" x14ac:dyDescent="0.35">
      <c r="A3029">
        <v>2019</v>
      </c>
      <c r="B3029" t="s">
        <v>154</v>
      </c>
      <c r="C3029">
        <v>7</v>
      </c>
      <c r="D3029" t="s">
        <v>109</v>
      </c>
      <c r="E3029">
        <v>52</v>
      </c>
      <c r="F3029">
        <v>99</v>
      </c>
      <c r="G3029">
        <v>2</v>
      </c>
      <c r="H3029" t="s">
        <v>71</v>
      </c>
      <c r="I3029" t="s">
        <v>187</v>
      </c>
    </row>
    <row r="3030" spans="1:9" ht="15" customHeight="1" x14ac:dyDescent="0.35">
      <c r="A3030">
        <v>2019</v>
      </c>
      <c r="B3030" t="s">
        <v>155</v>
      </c>
      <c r="C3030">
        <v>8</v>
      </c>
      <c r="D3030" t="s">
        <v>109</v>
      </c>
      <c r="E3030">
        <v>44</v>
      </c>
      <c r="F3030">
        <v>86</v>
      </c>
      <c r="G3030">
        <v>8</v>
      </c>
      <c r="H3030" t="s">
        <v>71</v>
      </c>
      <c r="I3030" t="s">
        <v>187</v>
      </c>
    </row>
    <row r="3031" spans="1:9" ht="15" customHeight="1" x14ac:dyDescent="0.35">
      <c r="A3031">
        <v>2019</v>
      </c>
      <c r="B3031" t="s">
        <v>156</v>
      </c>
      <c r="C3031">
        <v>9</v>
      </c>
      <c r="D3031" t="s">
        <v>109</v>
      </c>
      <c r="E3031">
        <v>50</v>
      </c>
      <c r="F3031">
        <v>98</v>
      </c>
      <c r="G3031">
        <v>6</v>
      </c>
      <c r="H3031" t="s">
        <v>71</v>
      </c>
      <c r="I3031" t="s">
        <v>187</v>
      </c>
    </row>
    <row r="3032" spans="1:9" ht="15" customHeight="1" x14ac:dyDescent="0.35">
      <c r="A3032">
        <v>2019</v>
      </c>
      <c r="B3032" t="s">
        <v>157</v>
      </c>
      <c r="C3032">
        <v>10</v>
      </c>
      <c r="D3032" t="s">
        <v>109</v>
      </c>
      <c r="E3032">
        <v>44</v>
      </c>
      <c r="F3032">
        <v>100</v>
      </c>
      <c r="G3032">
        <v>0</v>
      </c>
      <c r="H3032" t="s">
        <v>71</v>
      </c>
      <c r="I3032" t="s">
        <v>187</v>
      </c>
    </row>
    <row r="3033" spans="1:9" ht="15" customHeight="1" x14ac:dyDescent="0.35">
      <c r="A3033">
        <v>2019</v>
      </c>
      <c r="B3033" t="s">
        <v>158</v>
      </c>
      <c r="C3033">
        <v>11</v>
      </c>
      <c r="D3033" t="s">
        <v>109</v>
      </c>
      <c r="E3033">
        <v>67</v>
      </c>
      <c r="F3033">
        <v>132</v>
      </c>
      <c r="G3033">
        <v>17</v>
      </c>
      <c r="H3033" t="s">
        <v>71</v>
      </c>
      <c r="I3033" t="s">
        <v>187</v>
      </c>
    </row>
    <row r="3034" spans="1:9" ht="15" customHeight="1" x14ac:dyDescent="0.35">
      <c r="A3034">
        <v>2019</v>
      </c>
      <c r="B3034" t="s">
        <v>159</v>
      </c>
      <c r="C3034">
        <v>12</v>
      </c>
      <c r="D3034" t="s">
        <v>109</v>
      </c>
      <c r="E3034">
        <v>84</v>
      </c>
      <c r="F3034">
        <v>128</v>
      </c>
      <c r="G3034">
        <v>29</v>
      </c>
      <c r="H3034" t="s">
        <v>71</v>
      </c>
      <c r="I3034" t="s">
        <v>187</v>
      </c>
    </row>
    <row r="3035" spans="1:9" ht="15" customHeight="1" x14ac:dyDescent="0.35">
      <c r="A3035">
        <v>2020</v>
      </c>
      <c r="B3035" t="s">
        <v>147</v>
      </c>
      <c r="C3035">
        <v>1</v>
      </c>
      <c r="D3035" t="s">
        <v>109</v>
      </c>
      <c r="E3035">
        <v>93</v>
      </c>
      <c r="F3035">
        <v>182</v>
      </c>
      <c r="G3035">
        <v>39</v>
      </c>
      <c r="H3035" t="s">
        <v>71</v>
      </c>
      <c r="I3035" t="s">
        <v>187</v>
      </c>
    </row>
    <row r="3036" spans="1:9" ht="15" customHeight="1" x14ac:dyDescent="0.35">
      <c r="A3036">
        <v>2020</v>
      </c>
      <c r="B3036" t="s">
        <v>149</v>
      </c>
      <c r="C3036">
        <v>2</v>
      </c>
      <c r="D3036" t="s">
        <v>109</v>
      </c>
      <c r="E3036">
        <v>84</v>
      </c>
      <c r="F3036">
        <v>138</v>
      </c>
      <c r="G3036">
        <v>18</v>
      </c>
      <c r="H3036" t="s">
        <v>71</v>
      </c>
      <c r="I3036" t="s">
        <v>187</v>
      </c>
    </row>
    <row r="3037" spans="1:9" ht="15" customHeight="1" x14ac:dyDescent="0.35">
      <c r="A3037">
        <v>2020</v>
      </c>
      <c r="B3037" t="s">
        <v>150</v>
      </c>
      <c r="C3037">
        <v>3</v>
      </c>
      <c r="D3037" t="s">
        <v>109</v>
      </c>
      <c r="E3037">
        <v>67</v>
      </c>
      <c r="F3037">
        <v>129</v>
      </c>
      <c r="G3037">
        <v>30</v>
      </c>
      <c r="H3037" t="s">
        <v>71</v>
      </c>
      <c r="I3037" t="s">
        <v>187</v>
      </c>
    </row>
    <row r="3038" spans="1:9" ht="15" customHeight="1" x14ac:dyDescent="0.35">
      <c r="A3038">
        <v>2020</v>
      </c>
      <c r="B3038" t="s">
        <v>151</v>
      </c>
      <c r="C3038">
        <v>4</v>
      </c>
      <c r="D3038" t="s">
        <v>109</v>
      </c>
      <c r="E3038">
        <v>61</v>
      </c>
      <c r="F3038">
        <v>105</v>
      </c>
      <c r="G3038">
        <v>24</v>
      </c>
      <c r="H3038" t="s">
        <v>72</v>
      </c>
      <c r="I3038" t="s">
        <v>187</v>
      </c>
    </row>
    <row r="3039" spans="1:9" ht="15" customHeight="1" x14ac:dyDescent="0.35">
      <c r="A3039">
        <v>2020</v>
      </c>
      <c r="B3039" t="s">
        <v>152</v>
      </c>
      <c r="C3039">
        <v>5</v>
      </c>
      <c r="D3039" t="s">
        <v>109</v>
      </c>
      <c r="E3039">
        <v>60</v>
      </c>
      <c r="F3039">
        <v>98</v>
      </c>
      <c r="G3039">
        <v>22</v>
      </c>
      <c r="H3039" t="s">
        <v>72</v>
      </c>
      <c r="I3039" t="s">
        <v>187</v>
      </c>
    </row>
    <row r="3040" spans="1:9" ht="15" customHeight="1" x14ac:dyDescent="0.35">
      <c r="A3040">
        <v>2020</v>
      </c>
      <c r="B3040" t="s">
        <v>153</v>
      </c>
      <c r="C3040">
        <v>6</v>
      </c>
      <c r="D3040" t="s">
        <v>109</v>
      </c>
      <c r="E3040">
        <v>62</v>
      </c>
      <c r="F3040">
        <v>94</v>
      </c>
      <c r="G3040">
        <v>26</v>
      </c>
      <c r="H3040" t="s">
        <v>72</v>
      </c>
      <c r="I3040" t="s">
        <v>187</v>
      </c>
    </row>
    <row r="3041" spans="1:9" ht="15" customHeight="1" x14ac:dyDescent="0.35">
      <c r="A3041">
        <v>2020</v>
      </c>
      <c r="B3041" t="s">
        <v>154</v>
      </c>
      <c r="C3041">
        <v>7</v>
      </c>
      <c r="D3041" t="s">
        <v>109</v>
      </c>
      <c r="E3041">
        <v>58</v>
      </c>
      <c r="F3041">
        <v>95</v>
      </c>
      <c r="G3041">
        <v>21</v>
      </c>
      <c r="H3041" t="s">
        <v>72</v>
      </c>
      <c r="I3041" t="s">
        <v>187</v>
      </c>
    </row>
    <row r="3042" spans="1:9" ht="15" customHeight="1" x14ac:dyDescent="0.35">
      <c r="A3042">
        <v>2020</v>
      </c>
      <c r="B3042" t="s">
        <v>155</v>
      </c>
      <c r="C3042">
        <v>8</v>
      </c>
      <c r="D3042" t="s">
        <v>109</v>
      </c>
      <c r="E3042">
        <v>48</v>
      </c>
      <c r="F3042">
        <v>84</v>
      </c>
      <c r="G3042">
        <v>17</v>
      </c>
      <c r="H3042" t="s">
        <v>72</v>
      </c>
      <c r="I3042" t="s">
        <v>187</v>
      </c>
    </row>
    <row r="3043" spans="1:9" ht="15" customHeight="1" x14ac:dyDescent="0.35">
      <c r="A3043">
        <v>2020</v>
      </c>
      <c r="B3043" t="s">
        <v>156</v>
      </c>
      <c r="C3043">
        <v>9</v>
      </c>
      <c r="D3043" t="s">
        <v>109</v>
      </c>
      <c r="E3043">
        <v>52</v>
      </c>
      <c r="F3043">
        <v>94</v>
      </c>
      <c r="G3043">
        <v>16</v>
      </c>
      <c r="H3043" t="s">
        <v>72</v>
      </c>
      <c r="I3043" t="s">
        <v>187</v>
      </c>
    </row>
    <row r="3044" spans="1:9" ht="15" customHeight="1" x14ac:dyDescent="0.35">
      <c r="A3044">
        <v>2020</v>
      </c>
      <c r="B3044" t="s">
        <v>157</v>
      </c>
      <c r="C3044">
        <v>10</v>
      </c>
      <c r="D3044" t="s">
        <v>109</v>
      </c>
      <c r="E3044">
        <v>51</v>
      </c>
      <c r="F3044">
        <v>90</v>
      </c>
      <c r="G3044">
        <v>13</v>
      </c>
      <c r="H3044" t="s">
        <v>72</v>
      </c>
      <c r="I3044" t="s">
        <v>187</v>
      </c>
    </row>
    <row r="3045" spans="1:9" ht="15" customHeight="1" x14ac:dyDescent="0.35">
      <c r="A3045">
        <v>2020</v>
      </c>
      <c r="B3045" t="s">
        <v>158</v>
      </c>
      <c r="C3045">
        <v>11</v>
      </c>
      <c r="D3045" t="s">
        <v>109</v>
      </c>
      <c r="E3045">
        <v>61</v>
      </c>
      <c r="F3045">
        <v>109</v>
      </c>
      <c r="G3045">
        <v>25</v>
      </c>
      <c r="H3045" t="s">
        <v>72</v>
      </c>
      <c r="I3045" t="s">
        <v>187</v>
      </c>
    </row>
    <row r="3046" spans="1:9" ht="15" customHeight="1" x14ac:dyDescent="0.35">
      <c r="A3046">
        <v>2020</v>
      </c>
      <c r="B3046" t="s">
        <v>159</v>
      </c>
      <c r="C3046">
        <v>12</v>
      </c>
      <c r="D3046" t="s">
        <v>109</v>
      </c>
      <c r="E3046">
        <v>86</v>
      </c>
      <c r="F3046">
        <v>136</v>
      </c>
      <c r="G3046">
        <v>33</v>
      </c>
      <c r="H3046" t="s">
        <v>72</v>
      </c>
      <c r="I3046" t="s">
        <v>187</v>
      </c>
    </row>
    <row r="3047" spans="1:9" ht="15" customHeight="1" x14ac:dyDescent="0.35">
      <c r="A3047">
        <v>2021</v>
      </c>
      <c r="B3047" t="s">
        <v>147</v>
      </c>
      <c r="C3047">
        <v>1</v>
      </c>
      <c r="D3047" t="s">
        <v>109</v>
      </c>
      <c r="E3047">
        <v>82</v>
      </c>
      <c r="F3047">
        <v>141</v>
      </c>
      <c r="G3047">
        <v>11</v>
      </c>
      <c r="H3047" t="s">
        <v>72</v>
      </c>
      <c r="I3047" t="s">
        <v>187</v>
      </c>
    </row>
    <row r="3048" spans="1:9" ht="15" customHeight="1" x14ac:dyDescent="0.35">
      <c r="A3048">
        <v>2021</v>
      </c>
      <c r="B3048" t="s">
        <v>149</v>
      </c>
      <c r="C3048">
        <v>2</v>
      </c>
      <c r="D3048" t="s">
        <v>109</v>
      </c>
      <c r="E3048">
        <v>64</v>
      </c>
      <c r="F3048">
        <v>126</v>
      </c>
      <c r="G3048">
        <v>19</v>
      </c>
      <c r="H3048" t="s">
        <v>72</v>
      </c>
      <c r="I3048" t="s">
        <v>187</v>
      </c>
    </row>
    <row r="3049" spans="1:9" ht="15" customHeight="1" x14ac:dyDescent="0.35">
      <c r="A3049">
        <v>2021</v>
      </c>
      <c r="B3049" t="s">
        <v>150</v>
      </c>
      <c r="C3049">
        <v>3</v>
      </c>
      <c r="D3049" t="s">
        <v>109</v>
      </c>
      <c r="E3049">
        <v>51</v>
      </c>
      <c r="F3049">
        <v>116</v>
      </c>
      <c r="G3049">
        <v>9</v>
      </c>
      <c r="H3049" t="s">
        <v>72</v>
      </c>
      <c r="I3049" t="s">
        <v>187</v>
      </c>
    </row>
    <row r="3050" spans="1:9" ht="15" customHeight="1" x14ac:dyDescent="0.35">
      <c r="A3050">
        <v>2021</v>
      </c>
      <c r="B3050" t="s">
        <v>151</v>
      </c>
      <c r="C3050">
        <v>4</v>
      </c>
      <c r="D3050" t="s">
        <v>109</v>
      </c>
      <c r="E3050">
        <v>39</v>
      </c>
      <c r="F3050">
        <v>75</v>
      </c>
      <c r="G3050">
        <v>1</v>
      </c>
      <c r="H3050" t="s">
        <v>73</v>
      </c>
      <c r="I3050" t="s">
        <v>187</v>
      </c>
    </row>
    <row r="3051" spans="1:9" ht="15" customHeight="1" x14ac:dyDescent="0.35">
      <c r="A3051">
        <v>2021</v>
      </c>
      <c r="B3051" t="s">
        <v>152</v>
      </c>
      <c r="C3051">
        <v>5</v>
      </c>
      <c r="D3051" t="s">
        <v>109</v>
      </c>
      <c r="E3051">
        <v>48</v>
      </c>
      <c r="F3051">
        <v>91</v>
      </c>
      <c r="G3051">
        <v>7</v>
      </c>
      <c r="H3051" t="s">
        <v>73</v>
      </c>
      <c r="I3051" t="s">
        <v>187</v>
      </c>
    </row>
    <row r="3052" spans="1:9" ht="15" customHeight="1" x14ac:dyDescent="0.35">
      <c r="A3052">
        <v>2021</v>
      </c>
      <c r="B3052" t="s">
        <v>153</v>
      </c>
      <c r="C3052">
        <v>6</v>
      </c>
      <c r="D3052" t="s">
        <v>109</v>
      </c>
      <c r="E3052">
        <v>55</v>
      </c>
      <c r="F3052">
        <v>85</v>
      </c>
      <c r="G3052">
        <v>21</v>
      </c>
      <c r="H3052" t="s">
        <v>73</v>
      </c>
      <c r="I3052" t="s">
        <v>187</v>
      </c>
    </row>
    <row r="3053" spans="1:9" ht="15" customHeight="1" x14ac:dyDescent="0.35">
      <c r="A3053">
        <v>2021</v>
      </c>
      <c r="B3053" t="s">
        <v>154</v>
      </c>
      <c r="C3053">
        <v>7</v>
      </c>
      <c r="D3053" t="s">
        <v>109</v>
      </c>
      <c r="E3053">
        <v>64</v>
      </c>
      <c r="F3053">
        <v>116</v>
      </c>
      <c r="G3053">
        <v>25</v>
      </c>
      <c r="H3053" t="s">
        <v>73</v>
      </c>
      <c r="I3053" t="s">
        <v>187</v>
      </c>
    </row>
    <row r="3054" spans="1:9" ht="15" customHeight="1" x14ac:dyDescent="0.35">
      <c r="A3054">
        <v>2021</v>
      </c>
      <c r="B3054" t="s">
        <v>155</v>
      </c>
      <c r="C3054">
        <v>8</v>
      </c>
      <c r="D3054" t="s">
        <v>109</v>
      </c>
      <c r="E3054">
        <v>57</v>
      </c>
      <c r="F3054">
        <v>84</v>
      </c>
      <c r="G3054">
        <v>31</v>
      </c>
      <c r="H3054" t="s">
        <v>73</v>
      </c>
      <c r="I3054" t="s">
        <v>187</v>
      </c>
    </row>
    <row r="3055" spans="1:9" ht="15" customHeight="1" x14ac:dyDescent="0.35">
      <c r="A3055">
        <v>2021</v>
      </c>
      <c r="B3055" t="s">
        <v>156</v>
      </c>
      <c r="C3055">
        <v>9</v>
      </c>
      <c r="D3055" t="s">
        <v>109</v>
      </c>
      <c r="E3055">
        <v>61</v>
      </c>
      <c r="F3055">
        <v>99</v>
      </c>
      <c r="G3055">
        <v>30</v>
      </c>
      <c r="H3055" t="s">
        <v>73</v>
      </c>
      <c r="I3055" t="s">
        <v>187</v>
      </c>
    </row>
    <row r="3056" spans="1:9" ht="15" customHeight="1" x14ac:dyDescent="0.35">
      <c r="A3056">
        <v>2021</v>
      </c>
      <c r="B3056" t="s">
        <v>157</v>
      </c>
      <c r="C3056">
        <v>10</v>
      </c>
      <c r="D3056" t="s">
        <v>109</v>
      </c>
      <c r="E3056">
        <v>59</v>
      </c>
      <c r="F3056">
        <v>101</v>
      </c>
      <c r="G3056">
        <v>19</v>
      </c>
      <c r="H3056" t="s">
        <v>73</v>
      </c>
      <c r="I3056" t="s">
        <v>187</v>
      </c>
    </row>
    <row r="3057" spans="1:9" ht="15" customHeight="1" x14ac:dyDescent="0.35">
      <c r="A3057">
        <v>2021</v>
      </c>
      <c r="B3057" t="s">
        <v>158</v>
      </c>
      <c r="C3057">
        <v>11</v>
      </c>
      <c r="D3057" t="s">
        <v>109</v>
      </c>
      <c r="E3057">
        <v>66</v>
      </c>
      <c r="F3057">
        <v>114</v>
      </c>
      <c r="G3057">
        <v>28</v>
      </c>
      <c r="H3057" t="s">
        <v>73</v>
      </c>
      <c r="I3057" t="s">
        <v>187</v>
      </c>
    </row>
    <row r="3058" spans="1:9" ht="15" customHeight="1" x14ac:dyDescent="0.35">
      <c r="A3058">
        <v>2021</v>
      </c>
      <c r="B3058" t="s">
        <v>159</v>
      </c>
      <c r="C3058">
        <v>12</v>
      </c>
      <c r="D3058" t="s">
        <v>109</v>
      </c>
      <c r="E3058">
        <v>74</v>
      </c>
      <c r="F3058">
        <v>118</v>
      </c>
      <c r="G3058">
        <v>35</v>
      </c>
      <c r="H3058" t="s">
        <v>73</v>
      </c>
      <c r="I3058" t="s">
        <v>187</v>
      </c>
    </row>
    <row r="3059" spans="1:9" ht="15" customHeight="1" x14ac:dyDescent="0.35">
      <c r="A3059">
        <v>2022</v>
      </c>
      <c r="B3059" t="s">
        <v>147</v>
      </c>
      <c r="C3059">
        <v>1</v>
      </c>
      <c r="D3059" t="s">
        <v>109</v>
      </c>
      <c r="E3059">
        <v>74</v>
      </c>
      <c r="F3059">
        <v>116</v>
      </c>
      <c r="G3059">
        <v>2</v>
      </c>
      <c r="H3059" t="s">
        <v>73</v>
      </c>
      <c r="I3059" t="s">
        <v>187</v>
      </c>
    </row>
    <row r="3060" spans="1:9" ht="15" customHeight="1" x14ac:dyDescent="0.35">
      <c r="A3060">
        <v>2022</v>
      </c>
      <c r="B3060" t="s">
        <v>149</v>
      </c>
      <c r="C3060">
        <v>2</v>
      </c>
      <c r="D3060" t="s">
        <v>109</v>
      </c>
      <c r="E3060">
        <v>78</v>
      </c>
      <c r="F3060">
        <v>116</v>
      </c>
      <c r="G3060">
        <v>33</v>
      </c>
      <c r="H3060" t="s">
        <v>73</v>
      </c>
      <c r="I3060" t="s">
        <v>187</v>
      </c>
    </row>
    <row r="3061" spans="1:9" ht="15" customHeight="1" x14ac:dyDescent="0.35">
      <c r="A3061">
        <v>2022</v>
      </c>
      <c r="B3061" t="s">
        <v>150</v>
      </c>
      <c r="C3061">
        <v>3</v>
      </c>
      <c r="D3061" t="s">
        <v>109</v>
      </c>
      <c r="E3061">
        <v>70</v>
      </c>
      <c r="F3061">
        <v>117</v>
      </c>
      <c r="G3061">
        <v>32</v>
      </c>
      <c r="H3061" t="s">
        <v>73</v>
      </c>
      <c r="I3061" t="s">
        <v>187</v>
      </c>
    </row>
    <row r="3062" spans="1:9" ht="15" customHeight="1" x14ac:dyDescent="0.35">
      <c r="A3062">
        <v>2022</v>
      </c>
      <c r="B3062" t="s">
        <v>151</v>
      </c>
      <c r="C3062">
        <v>4</v>
      </c>
      <c r="D3062" t="s">
        <v>109</v>
      </c>
      <c r="E3062">
        <v>67</v>
      </c>
      <c r="F3062">
        <v>109</v>
      </c>
      <c r="G3062">
        <v>16</v>
      </c>
      <c r="H3062" t="s">
        <v>74</v>
      </c>
      <c r="I3062" t="s">
        <v>187</v>
      </c>
    </row>
    <row r="3063" spans="1:9" ht="15" customHeight="1" x14ac:dyDescent="0.35">
      <c r="A3063">
        <v>2022</v>
      </c>
      <c r="B3063" t="s">
        <v>152</v>
      </c>
      <c r="C3063">
        <v>5</v>
      </c>
      <c r="D3063" t="s">
        <v>109</v>
      </c>
      <c r="E3063">
        <v>63</v>
      </c>
      <c r="F3063">
        <v>103</v>
      </c>
      <c r="G3063">
        <v>20</v>
      </c>
      <c r="H3063" t="s">
        <v>74</v>
      </c>
      <c r="I3063" t="s">
        <v>187</v>
      </c>
    </row>
    <row r="3064" spans="1:9" ht="15" customHeight="1" x14ac:dyDescent="0.35">
      <c r="A3064">
        <v>2022</v>
      </c>
      <c r="B3064" t="s">
        <v>153</v>
      </c>
      <c r="C3064">
        <v>6</v>
      </c>
      <c r="D3064" t="s">
        <v>109</v>
      </c>
      <c r="E3064">
        <v>62</v>
      </c>
      <c r="F3064">
        <v>98</v>
      </c>
      <c r="G3064">
        <v>25</v>
      </c>
      <c r="H3064" t="s">
        <v>74</v>
      </c>
      <c r="I3064" t="s">
        <v>187</v>
      </c>
    </row>
    <row r="3065" spans="1:9" ht="15" customHeight="1" x14ac:dyDescent="0.35">
      <c r="A3065">
        <v>2022</v>
      </c>
      <c r="B3065" t="s">
        <v>154</v>
      </c>
      <c r="C3065">
        <v>7</v>
      </c>
      <c r="D3065" t="s">
        <v>109</v>
      </c>
      <c r="E3065">
        <v>62</v>
      </c>
      <c r="F3065">
        <v>94</v>
      </c>
      <c r="G3065">
        <v>25</v>
      </c>
      <c r="H3065" t="s">
        <v>74</v>
      </c>
      <c r="I3065" t="s">
        <v>187</v>
      </c>
    </row>
    <row r="3066" spans="1:9" ht="15" customHeight="1" x14ac:dyDescent="0.35">
      <c r="A3066">
        <v>2022</v>
      </c>
      <c r="B3066" t="s">
        <v>155</v>
      </c>
      <c r="C3066">
        <v>8</v>
      </c>
      <c r="D3066" t="s">
        <v>109</v>
      </c>
      <c r="E3066">
        <v>62</v>
      </c>
      <c r="F3066">
        <v>101</v>
      </c>
      <c r="G3066">
        <v>24</v>
      </c>
      <c r="H3066" t="s">
        <v>74</v>
      </c>
      <c r="I3066" t="s">
        <v>187</v>
      </c>
    </row>
    <row r="3067" spans="1:9" ht="15" customHeight="1" x14ac:dyDescent="0.35">
      <c r="A3067">
        <v>2022</v>
      </c>
      <c r="B3067" t="s">
        <v>156</v>
      </c>
      <c r="C3067">
        <v>9</v>
      </c>
      <c r="D3067" t="s">
        <v>109</v>
      </c>
      <c r="E3067">
        <v>67</v>
      </c>
      <c r="F3067">
        <v>104</v>
      </c>
      <c r="G3067">
        <v>27</v>
      </c>
      <c r="H3067" t="s">
        <v>74</v>
      </c>
      <c r="I3067" t="s">
        <v>187</v>
      </c>
    </row>
    <row r="3068" spans="1:9" ht="15" customHeight="1" x14ac:dyDescent="0.35">
      <c r="A3068">
        <v>2022</v>
      </c>
      <c r="B3068" t="s">
        <v>157</v>
      </c>
      <c r="C3068">
        <v>10</v>
      </c>
      <c r="D3068" t="s">
        <v>109</v>
      </c>
      <c r="E3068">
        <v>58</v>
      </c>
      <c r="F3068">
        <v>105</v>
      </c>
      <c r="G3068">
        <v>23</v>
      </c>
      <c r="H3068" t="s">
        <v>74</v>
      </c>
      <c r="I3068" t="s">
        <v>187</v>
      </c>
    </row>
    <row r="3069" spans="1:9" ht="15" customHeight="1" x14ac:dyDescent="0.35">
      <c r="A3069">
        <v>2022</v>
      </c>
      <c r="B3069" t="s">
        <v>158</v>
      </c>
      <c r="C3069">
        <v>11</v>
      </c>
      <c r="D3069" t="s">
        <v>109</v>
      </c>
      <c r="E3069">
        <v>70</v>
      </c>
      <c r="F3069">
        <v>115</v>
      </c>
      <c r="G3069">
        <v>31</v>
      </c>
      <c r="H3069" t="s">
        <v>74</v>
      </c>
      <c r="I3069" t="s">
        <v>187</v>
      </c>
    </row>
    <row r="3070" spans="1:9" ht="15" customHeight="1" x14ac:dyDescent="0.35">
      <c r="A3070">
        <v>2022</v>
      </c>
      <c r="B3070" t="s">
        <v>159</v>
      </c>
      <c r="C3070">
        <v>12</v>
      </c>
      <c r="D3070" t="s">
        <v>109</v>
      </c>
      <c r="E3070">
        <v>77</v>
      </c>
      <c r="F3070">
        <v>125</v>
      </c>
      <c r="G3070">
        <v>26</v>
      </c>
      <c r="H3070" t="s">
        <v>74</v>
      </c>
      <c r="I3070" t="s">
        <v>187</v>
      </c>
    </row>
    <row r="3071" spans="1:9" ht="15" customHeight="1" x14ac:dyDescent="0.35">
      <c r="A3071">
        <v>2023</v>
      </c>
      <c r="B3071" t="s">
        <v>147</v>
      </c>
      <c r="C3071">
        <v>1</v>
      </c>
      <c r="D3071" t="s">
        <v>109</v>
      </c>
      <c r="E3071">
        <v>81</v>
      </c>
      <c r="F3071">
        <v>124</v>
      </c>
      <c r="G3071">
        <v>36</v>
      </c>
      <c r="H3071" t="s">
        <v>74</v>
      </c>
      <c r="I3071" t="s">
        <v>187</v>
      </c>
    </row>
    <row r="3072" spans="1:9" ht="15" customHeight="1" x14ac:dyDescent="0.35">
      <c r="A3072">
        <v>2023</v>
      </c>
      <c r="B3072" t="s">
        <v>149</v>
      </c>
      <c r="C3072">
        <v>2</v>
      </c>
      <c r="D3072" t="s">
        <v>109</v>
      </c>
      <c r="E3072">
        <v>80</v>
      </c>
      <c r="F3072">
        <v>114</v>
      </c>
      <c r="G3072">
        <v>35</v>
      </c>
      <c r="H3072" t="s">
        <v>74</v>
      </c>
      <c r="I3072" t="s">
        <v>187</v>
      </c>
    </row>
    <row r="3073" spans="1:9" ht="15" customHeight="1" x14ac:dyDescent="0.35">
      <c r="A3073">
        <v>2023</v>
      </c>
      <c r="B3073" t="s">
        <v>150</v>
      </c>
      <c r="C3073">
        <v>3</v>
      </c>
      <c r="D3073" t="s">
        <v>109</v>
      </c>
      <c r="E3073">
        <v>64</v>
      </c>
      <c r="F3073">
        <v>109</v>
      </c>
      <c r="G3073">
        <v>20</v>
      </c>
      <c r="H3073" t="s">
        <v>74</v>
      </c>
      <c r="I3073" t="s">
        <v>187</v>
      </c>
    </row>
    <row r="3074" spans="1:9" ht="15" customHeight="1" x14ac:dyDescent="0.35">
      <c r="A3074">
        <v>2023</v>
      </c>
      <c r="B3074" t="s">
        <v>151</v>
      </c>
      <c r="C3074">
        <v>4</v>
      </c>
      <c r="D3074" t="s">
        <v>109</v>
      </c>
      <c r="E3074">
        <v>61</v>
      </c>
      <c r="F3074">
        <v>99</v>
      </c>
      <c r="G3074">
        <v>20</v>
      </c>
      <c r="H3074" t="s">
        <v>75</v>
      </c>
      <c r="I3074" t="s">
        <v>187</v>
      </c>
    </row>
    <row r="3075" spans="1:9" ht="15" customHeight="1" x14ac:dyDescent="0.35">
      <c r="A3075">
        <v>2023</v>
      </c>
      <c r="B3075" t="s">
        <v>152</v>
      </c>
      <c r="C3075">
        <v>5</v>
      </c>
      <c r="D3075" t="s">
        <v>109</v>
      </c>
      <c r="E3075">
        <v>62</v>
      </c>
      <c r="F3075">
        <v>98</v>
      </c>
      <c r="G3075">
        <v>22</v>
      </c>
      <c r="H3075" t="s">
        <v>75</v>
      </c>
      <c r="I3075" t="s">
        <v>187</v>
      </c>
    </row>
    <row r="3076" spans="1:9" ht="15" customHeight="1" x14ac:dyDescent="0.35">
      <c r="A3076">
        <v>2023</v>
      </c>
      <c r="B3076" t="s">
        <v>153</v>
      </c>
      <c r="C3076">
        <v>6</v>
      </c>
      <c r="D3076" t="s">
        <v>109</v>
      </c>
      <c r="E3076">
        <v>58</v>
      </c>
      <c r="F3076">
        <v>97</v>
      </c>
      <c r="G3076">
        <v>20</v>
      </c>
      <c r="H3076" t="s">
        <v>75</v>
      </c>
      <c r="I3076" t="s">
        <v>187</v>
      </c>
    </row>
    <row r="3077" spans="1:9" ht="15" customHeight="1" x14ac:dyDescent="0.35">
      <c r="A3077">
        <v>2023</v>
      </c>
      <c r="B3077" t="s">
        <v>154</v>
      </c>
      <c r="C3077">
        <v>7</v>
      </c>
      <c r="D3077" t="s">
        <v>109</v>
      </c>
      <c r="E3077">
        <v>51</v>
      </c>
      <c r="F3077">
        <v>91</v>
      </c>
      <c r="G3077">
        <v>14</v>
      </c>
      <c r="H3077" t="s">
        <v>75</v>
      </c>
      <c r="I3077" t="s">
        <v>187</v>
      </c>
    </row>
    <row r="3078" spans="1:9" ht="15" customHeight="1" x14ac:dyDescent="0.35">
      <c r="A3078">
        <v>2023</v>
      </c>
      <c r="B3078" t="s">
        <v>155</v>
      </c>
      <c r="C3078">
        <v>8</v>
      </c>
      <c r="D3078" t="s">
        <v>109</v>
      </c>
      <c r="E3078">
        <v>50</v>
      </c>
      <c r="F3078">
        <v>86</v>
      </c>
      <c r="G3078">
        <v>13</v>
      </c>
      <c r="H3078" t="s">
        <v>75</v>
      </c>
      <c r="I3078" t="s">
        <v>187</v>
      </c>
    </row>
    <row r="3079" spans="1:9" ht="15" customHeight="1" x14ac:dyDescent="0.35">
      <c r="A3079">
        <v>2023</v>
      </c>
      <c r="B3079" t="s">
        <v>156</v>
      </c>
      <c r="C3079">
        <v>9</v>
      </c>
      <c r="D3079" t="s">
        <v>109</v>
      </c>
      <c r="E3079">
        <v>53</v>
      </c>
      <c r="F3079">
        <v>93</v>
      </c>
      <c r="G3079">
        <v>18</v>
      </c>
      <c r="H3079" t="s">
        <v>75</v>
      </c>
      <c r="I3079" t="s">
        <v>187</v>
      </c>
    </row>
    <row r="3080" spans="1:9" ht="15" customHeight="1" x14ac:dyDescent="0.35">
      <c r="A3080">
        <v>2023</v>
      </c>
      <c r="B3080" t="s">
        <v>157</v>
      </c>
      <c r="C3080">
        <v>10</v>
      </c>
      <c r="D3080" t="s">
        <v>109</v>
      </c>
      <c r="E3080">
        <v>43</v>
      </c>
      <c r="F3080">
        <v>82</v>
      </c>
      <c r="G3080">
        <v>12</v>
      </c>
      <c r="H3080" t="s">
        <v>75</v>
      </c>
      <c r="I3080" t="s">
        <v>187</v>
      </c>
    </row>
    <row r="3081" spans="1:9" ht="15" customHeight="1" x14ac:dyDescent="0.35">
      <c r="A3081">
        <v>2023</v>
      </c>
      <c r="B3081" t="s">
        <v>158</v>
      </c>
      <c r="C3081">
        <v>11</v>
      </c>
      <c r="D3081" t="s">
        <v>109</v>
      </c>
      <c r="E3081">
        <v>56</v>
      </c>
      <c r="F3081">
        <v>97</v>
      </c>
      <c r="G3081">
        <v>10</v>
      </c>
      <c r="H3081" t="s">
        <v>75</v>
      </c>
      <c r="I3081" t="s">
        <v>187</v>
      </c>
    </row>
    <row r="3082" spans="1:9" ht="15" customHeight="1" x14ac:dyDescent="0.35">
      <c r="A3082">
        <v>2023</v>
      </c>
      <c r="B3082" t="s">
        <v>159</v>
      </c>
      <c r="C3082">
        <v>12</v>
      </c>
      <c r="D3082" t="s">
        <v>109</v>
      </c>
      <c r="E3082">
        <v>72</v>
      </c>
      <c r="F3082">
        <v>112</v>
      </c>
      <c r="G3082">
        <v>28</v>
      </c>
      <c r="H3082" t="s">
        <v>75</v>
      </c>
      <c r="I3082" t="s">
        <v>187</v>
      </c>
    </row>
    <row r="3083" spans="1:9" ht="15" customHeight="1" x14ac:dyDescent="0.35">
      <c r="A3083">
        <v>2024</v>
      </c>
      <c r="B3083" t="s">
        <v>147</v>
      </c>
      <c r="C3083">
        <v>1</v>
      </c>
      <c r="D3083" t="s">
        <v>109</v>
      </c>
      <c r="E3083">
        <v>81</v>
      </c>
      <c r="F3083">
        <v>124</v>
      </c>
      <c r="G3083">
        <v>36</v>
      </c>
      <c r="H3083" t="s">
        <v>75</v>
      </c>
      <c r="I3083" t="s">
        <v>187</v>
      </c>
    </row>
    <row r="3084" spans="1:9" ht="15" customHeight="1" x14ac:dyDescent="0.35">
      <c r="A3084">
        <v>2024</v>
      </c>
      <c r="B3084" t="s">
        <v>149</v>
      </c>
      <c r="C3084">
        <v>2</v>
      </c>
      <c r="D3084" t="s">
        <v>109</v>
      </c>
      <c r="E3084">
        <v>83</v>
      </c>
      <c r="F3084">
        <v>127</v>
      </c>
      <c r="G3084">
        <v>38</v>
      </c>
      <c r="H3084" t="s">
        <v>75</v>
      </c>
      <c r="I3084" t="s">
        <v>187</v>
      </c>
    </row>
    <row r="3085" spans="1:9" ht="15" customHeight="1" x14ac:dyDescent="0.35">
      <c r="A3085">
        <v>2024</v>
      </c>
      <c r="B3085" t="s">
        <v>150</v>
      </c>
      <c r="C3085">
        <v>3</v>
      </c>
      <c r="D3085" t="s">
        <v>109</v>
      </c>
      <c r="E3085">
        <v>72</v>
      </c>
      <c r="F3085">
        <v>115</v>
      </c>
      <c r="G3085">
        <v>23</v>
      </c>
      <c r="H3085" t="s">
        <v>75</v>
      </c>
      <c r="I3085" t="s">
        <v>187</v>
      </c>
    </row>
    <row r="3086" spans="1:9" ht="15" customHeight="1" x14ac:dyDescent="0.35">
      <c r="A3086">
        <v>2024</v>
      </c>
      <c r="B3086" t="s">
        <v>151</v>
      </c>
      <c r="C3086">
        <v>4</v>
      </c>
      <c r="D3086" t="s">
        <v>109</v>
      </c>
      <c r="E3086">
        <v>73</v>
      </c>
      <c r="F3086">
        <v>115</v>
      </c>
      <c r="G3086">
        <v>23</v>
      </c>
      <c r="H3086" t="s">
        <v>77</v>
      </c>
      <c r="I3086" t="s">
        <v>187</v>
      </c>
    </row>
    <row r="3087" spans="1:9" ht="15" customHeight="1" x14ac:dyDescent="0.35">
      <c r="A3087">
        <v>2024</v>
      </c>
      <c r="B3087" t="s">
        <v>152</v>
      </c>
      <c r="C3087">
        <v>5</v>
      </c>
      <c r="D3087" t="s">
        <v>109</v>
      </c>
      <c r="E3087">
        <v>61</v>
      </c>
      <c r="F3087">
        <v>101</v>
      </c>
      <c r="G3087">
        <v>19</v>
      </c>
      <c r="H3087" t="s">
        <v>77</v>
      </c>
      <c r="I3087" t="s">
        <v>187</v>
      </c>
    </row>
    <row r="3088" spans="1:9" ht="15" customHeight="1" x14ac:dyDescent="0.35">
      <c r="A3088">
        <v>2024</v>
      </c>
      <c r="B3088" t="s">
        <v>153</v>
      </c>
      <c r="C3088">
        <v>6</v>
      </c>
      <c r="D3088" t="s">
        <v>109</v>
      </c>
      <c r="E3088">
        <v>57</v>
      </c>
      <c r="F3088">
        <v>97</v>
      </c>
      <c r="G3088">
        <v>13</v>
      </c>
      <c r="H3088" t="s">
        <v>77</v>
      </c>
      <c r="I3088" t="s">
        <v>187</v>
      </c>
    </row>
    <row r="3089" spans="1:9" ht="15" customHeight="1" x14ac:dyDescent="0.35">
      <c r="A3089">
        <v>2024</v>
      </c>
      <c r="B3089" t="s">
        <v>154</v>
      </c>
      <c r="C3089">
        <v>7</v>
      </c>
      <c r="D3089" t="s">
        <v>109</v>
      </c>
      <c r="E3089">
        <v>54</v>
      </c>
      <c r="F3089">
        <v>89</v>
      </c>
      <c r="G3089">
        <v>19</v>
      </c>
      <c r="H3089" t="s">
        <v>77</v>
      </c>
      <c r="I3089" t="s">
        <v>187</v>
      </c>
    </row>
    <row r="3090" spans="1:9" ht="15" customHeight="1" x14ac:dyDescent="0.35">
      <c r="A3090">
        <v>2024</v>
      </c>
      <c r="B3090" t="s">
        <v>155</v>
      </c>
      <c r="C3090">
        <v>8</v>
      </c>
      <c r="D3090" t="s">
        <v>109</v>
      </c>
      <c r="E3090">
        <v>51</v>
      </c>
      <c r="F3090">
        <v>101</v>
      </c>
      <c r="G3090">
        <v>12</v>
      </c>
      <c r="H3090" t="s">
        <v>77</v>
      </c>
      <c r="I3090" t="s">
        <v>187</v>
      </c>
    </row>
    <row r="3091" spans="1:9" ht="15" customHeight="1" x14ac:dyDescent="0.35">
      <c r="A3091">
        <v>2024</v>
      </c>
      <c r="B3091" t="s">
        <v>156</v>
      </c>
      <c r="C3091">
        <v>9</v>
      </c>
      <c r="D3091" t="s">
        <v>109</v>
      </c>
      <c r="E3091">
        <v>54</v>
      </c>
      <c r="F3091">
        <v>96</v>
      </c>
      <c r="G3091">
        <v>8</v>
      </c>
      <c r="H3091" t="s">
        <v>77</v>
      </c>
      <c r="I3091" t="s">
        <v>187</v>
      </c>
    </row>
    <row r="3092" spans="1:9" ht="15" customHeight="1" x14ac:dyDescent="0.35">
      <c r="A3092">
        <v>2024</v>
      </c>
      <c r="B3092" t="s">
        <v>157</v>
      </c>
      <c r="C3092">
        <v>10</v>
      </c>
      <c r="D3092" t="s">
        <v>109</v>
      </c>
      <c r="E3092">
        <v>52</v>
      </c>
      <c r="F3092">
        <v>97</v>
      </c>
      <c r="G3092">
        <v>14</v>
      </c>
      <c r="H3092" t="s">
        <v>77</v>
      </c>
      <c r="I3092" t="s">
        <v>187</v>
      </c>
    </row>
    <row r="3093" spans="1:9" ht="15" customHeight="1" x14ac:dyDescent="0.35">
      <c r="A3093">
        <v>2024</v>
      </c>
      <c r="B3093" t="s">
        <v>158</v>
      </c>
      <c r="C3093">
        <v>11</v>
      </c>
      <c r="D3093" t="s">
        <v>109</v>
      </c>
      <c r="E3093">
        <v>63</v>
      </c>
      <c r="F3093">
        <v>110</v>
      </c>
      <c r="G3093">
        <v>18</v>
      </c>
      <c r="H3093" t="s">
        <v>77</v>
      </c>
      <c r="I3093" t="s">
        <v>187</v>
      </c>
    </row>
    <row r="3094" spans="1:9" ht="15" customHeight="1" x14ac:dyDescent="0.35">
      <c r="A3094">
        <v>2024</v>
      </c>
      <c r="B3094" t="s">
        <v>159</v>
      </c>
      <c r="C3094">
        <v>12</v>
      </c>
      <c r="D3094" t="s">
        <v>109</v>
      </c>
      <c r="E3094">
        <v>75</v>
      </c>
      <c r="F3094">
        <v>122</v>
      </c>
      <c r="G3094">
        <v>19</v>
      </c>
      <c r="H3094" t="s">
        <v>77</v>
      </c>
      <c r="I3094" t="s">
        <v>187</v>
      </c>
    </row>
    <row r="3095" spans="1:9" ht="15" customHeight="1" x14ac:dyDescent="0.35">
      <c r="A3095">
        <v>2025</v>
      </c>
      <c r="B3095" t="s">
        <v>147</v>
      </c>
      <c r="C3095">
        <v>1</v>
      </c>
      <c r="D3095" t="s">
        <v>109</v>
      </c>
      <c r="E3095">
        <v>79</v>
      </c>
      <c r="F3095">
        <v>128</v>
      </c>
      <c r="G3095">
        <v>24</v>
      </c>
      <c r="H3095" t="s">
        <v>77</v>
      </c>
      <c r="I3095" t="s">
        <v>187</v>
      </c>
    </row>
    <row r="3096" spans="1:9" ht="15" customHeight="1" x14ac:dyDescent="0.35">
      <c r="A3096">
        <v>2025</v>
      </c>
      <c r="B3096" t="s">
        <v>149</v>
      </c>
      <c r="C3096">
        <v>2</v>
      </c>
      <c r="D3096" t="s">
        <v>109</v>
      </c>
      <c r="E3096">
        <v>83</v>
      </c>
      <c r="F3096">
        <v>136</v>
      </c>
      <c r="G3096">
        <v>22</v>
      </c>
      <c r="H3096" t="s">
        <v>77</v>
      </c>
      <c r="I3096" t="s">
        <v>187</v>
      </c>
    </row>
    <row r="3097" spans="1:9" ht="15" customHeight="1" x14ac:dyDescent="0.35">
      <c r="A3097">
        <v>2025</v>
      </c>
      <c r="B3097" t="s">
        <v>150</v>
      </c>
      <c r="C3097">
        <v>3</v>
      </c>
      <c r="D3097" t="s">
        <v>109</v>
      </c>
      <c r="E3097">
        <v>69</v>
      </c>
      <c r="F3097">
        <v>114</v>
      </c>
      <c r="G3097">
        <v>24</v>
      </c>
      <c r="H3097" t="s">
        <v>77</v>
      </c>
      <c r="I3097" t="s">
        <v>187</v>
      </c>
    </row>
    <row r="3098" spans="1:9" ht="15" customHeight="1" x14ac:dyDescent="0.35">
      <c r="A3098">
        <v>2025</v>
      </c>
      <c r="B3098" t="s">
        <v>151</v>
      </c>
      <c r="C3098">
        <v>4</v>
      </c>
      <c r="D3098" t="s">
        <v>109</v>
      </c>
      <c r="E3098">
        <v>63</v>
      </c>
      <c r="F3098">
        <v>103</v>
      </c>
      <c r="G3098">
        <v>17</v>
      </c>
      <c r="H3098" t="s">
        <v>78</v>
      </c>
      <c r="I3098" t="s">
        <v>187</v>
      </c>
    </row>
    <row r="3099" spans="1:9" ht="15" customHeight="1" x14ac:dyDescent="0.35">
      <c r="A3099">
        <v>2025</v>
      </c>
      <c r="B3099" t="s">
        <v>152</v>
      </c>
      <c r="C3099">
        <v>5</v>
      </c>
      <c r="D3099" t="s">
        <v>109</v>
      </c>
      <c r="E3099">
        <v>55</v>
      </c>
      <c r="F3099">
        <v>110</v>
      </c>
      <c r="G3099">
        <v>8</v>
      </c>
      <c r="H3099" t="s">
        <v>78</v>
      </c>
      <c r="I3099" t="s">
        <v>187</v>
      </c>
    </row>
    <row r="3100" spans="1:9" ht="15" customHeight="1" x14ac:dyDescent="0.35">
      <c r="A3100">
        <v>2025</v>
      </c>
      <c r="B3100" t="s">
        <v>153</v>
      </c>
      <c r="C3100">
        <v>6</v>
      </c>
      <c r="D3100" t="s">
        <v>109</v>
      </c>
      <c r="E3100">
        <v>57</v>
      </c>
      <c r="F3100">
        <v>105</v>
      </c>
      <c r="G3100">
        <v>19</v>
      </c>
      <c r="H3100" t="s">
        <v>78</v>
      </c>
      <c r="I3100" t="s">
        <v>187</v>
      </c>
    </row>
    <row r="3101" spans="1:9" ht="15" customHeight="1" x14ac:dyDescent="0.35">
      <c r="A3101">
        <v>2025</v>
      </c>
      <c r="B3101" t="s">
        <v>154</v>
      </c>
      <c r="C3101">
        <v>7</v>
      </c>
      <c r="D3101" t="s">
        <v>109</v>
      </c>
      <c r="E3101">
        <v>54</v>
      </c>
      <c r="F3101">
        <v>95</v>
      </c>
      <c r="G3101">
        <v>13</v>
      </c>
      <c r="H3101" t="s">
        <v>78</v>
      </c>
      <c r="I3101" t="s">
        <v>187</v>
      </c>
    </row>
    <row r="3102" spans="1:9" ht="15" customHeight="1" x14ac:dyDescent="0.35">
      <c r="A3102">
        <v>2025</v>
      </c>
      <c r="B3102" t="s">
        <v>155</v>
      </c>
      <c r="C3102">
        <v>8</v>
      </c>
      <c r="D3102" t="s">
        <v>109</v>
      </c>
      <c r="E3102">
        <v>51</v>
      </c>
      <c r="F3102">
        <v>101</v>
      </c>
      <c r="G3102">
        <v>13</v>
      </c>
      <c r="H3102" t="s">
        <v>78</v>
      </c>
      <c r="I3102" t="s">
        <v>187</v>
      </c>
    </row>
    <row r="3103" spans="1:9" ht="15" customHeight="1" x14ac:dyDescent="0.35">
      <c r="A3103">
        <v>2025</v>
      </c>
      <c r="B3103" t="s">
        <v>156</v>
      </c>
      <c r="C3103">
        <v>9</v>
      </c>
      <c r="D3103" t="s">
        <v>109</v>
      </c>
      <c r="E3103">
        <v>49</v>
      </c>
      <c r="F3103">
        <v>86</v>
      </c>
      <c r="G3103">
        <v>14</v>
      </c>
      <c r="H3103" t="s">
        <v>78</v>
      </c>
      <c r="I3103" t="s">
        <v>187</v>
      </c>
    </row>
    <row r="3104" spans="1:9" ht="15" customHeight="1" x14ac:dyDescent="0.35">
      <c r="A3104">
        <v>2025</v>
      </c>
      <c r="B3104" t="s">
        <v>157</v>
      </c>
      <c r="C3104">
        <v>10</v>
      </c>
      <c r="D3104" t="s">
        <v>109</v>
      </c>
      <c r="E3104">
        <v>47</v>
      </c>
      <c r="F3104">
        <v>90</v>
      </c>
      <c r="G3104">
        <v>15</v>
      </c>
      <c r="H3104" t="s">
        <v>78</v>
      </c>
      <c r="I3104" t="s">
        <v>187</v>
      </c>
    </row>
    <row r="3105" spans="1:9" ht="15" customHeight="1" x14ac:dyDescent="0.35">
      <c r="A3105">
        <v>2025</v>
      </c>
      <c r="B3105" t="s">
        <v>158</v>
      </c>
      <c r="C3105">
        <v>11</v>
      </c>
      <c r="D3105" t="s">
        <v>109</v>
      </c>
      <c r="E3105">
        <v>58</v>
      </c>
      <c r="F3105">
        <v>100</v>
      </c>
      <c r="G3105">
        <v>17</v>
      </c>
      <c r="H3105" t="s">
        <v>78</v>
      </c>
      <c r="I3105" t="s">
        <v>187</v>
      </c>
    </row>
    <row r="3106" spans="1:9" ht="15" customHeight="1" x14ac:dyDescent="0.35">
      <c r="A3106">
        <v>2025</v>
      </c>
      <c r="B3106" t="s">
        <v>159</v>
      </c>
      <c r="C3106">
        <v>12</v>
      </c>
      <c r="D3106" t="s">
        <v>109</v>
      </c>
      <c r="E3106">
        <v>73</v>
      </c>
      <c r="F3106">
        <v>125</v>
      </c>
      <c r="G3106">
        <v>25</v>
      </c>
      <c r="H3106" t="s">
        <v>78</v>
      </c>
      <c r="I3106" t="s">
        <v>187</v>
      </c>
    </row>
    <row r="3107" spans="1:9" ht="15" customHeight="1" x14ac:dyDescent="0.35">
      <c r="A3107">
        <v>2026</v>
      </c>
      <c r="B3107" t="s">
        <v>147</v>
      </c>
      <c r="C3107">
        <v>1</v>
      </c>
      <c r="D3107" t="s">
        <v>109</v>
      </c>
      <c r="E3107">
        <v>78</v>
      </c>
      <c r="F3107">
        <v>125</v>
      </c>
      <c r="G3107">
        <v>33</v>
      </c>
      <c r="H3107" t="s">
        <v>78</v>
      </c>
      <c r="I3107" t="s">
        <v>187</v>
      </c>
    </row>
    <row r="3108" spans="1:9" ht="15" customHeight="1" x14ac:dyDescent="0.35">
      <c r="A3108">
        <v>2026</v>
      </c>
      <c r="B3108" t="s">
        <v>149</v>
      </c>
      <c r="C3108">
        <v>2</v>
      </c>
      <c r="D3108" t="s">
        <v>109</v>
      </c>
      <c r="E3108">
        <v>80</v>
      </c>
      <c r="F3108">
        <v>119</v>
      </c>
      <c r="G3108">
        <v>34</v>
      </c>
      <c r="H3108" t="s">
        <v>78</v>
      </c>
      <c r="I3108" t="s">
        <v>187</v>
      </c>
    </row>
    <row r="3109" spans="1:9" ht="15" customHeight="1" x14ac:dyDescent="0.35">
      <c r="A3109">
        <v>2026</v>
      </c>
      <c r="B3109" t="s">
        <v>150</v>
      </c>
      <c r="C3109">
        <v>3</v>
      </c>
      <c r="D3109" t="s">
        <v>109</v>
      </c>
      <c r="E3109">
        <v>78</v>
      </c>
      <c r="F3109">
        <v>125</v>
      </c>
      <c r="G3109">
        <v>33</v>
      </c>
      <c r="H3109" t="s">
        <v>78</v>
      </c>
      <c r="I3109" t="s">
        <v>187</v>
      </c>
    </row>
    <row r="3110" spans="1:9" ht="15" customHeight="1" x14ac:dyDescent="0.35">
      <c r="A3110">
        <v>2017</v>
      </c>
      <c r="B3110" t="s">
        <v>147</v>
      </c>
      <c r="C3110">
        <v>1</v>
      </c>
      <c r="D3110" t="s">
        <v>110</v>
      </c>
      <c r="E3110">
        <v>11035</v>
      </c>
      <c r="F3110">
        <v>12951</v>
      </c>
      <c r="G3110">
        <v>8557</v>
      </c>
      <c r="H3110" t="s">
        <v>122</v>
      </c>
      <c r="I3110" t="s">
        <v>188</v>
      </c>
    </row>
    <row r="3111" spans="1:9" ht="15" customHeight="1" x14ac:dyDescent="0.35">
      <c r="A3111">
        <v>2017</v>
      </c>
      <c r="B3111" t="s">
        <v>149</v>
      </c>
      <c r="C3111">
        <v>2</v>
      </c>
      <c r="D3111" t="s">
        <v>110</v>
      </c>
      <c r="E3111">
        <v>11269</v>
      </c>
      <c r="F3111">
        <v>13170</v>
      </c>
      <c r="G3111">
        <v>9220</v>
      </c>
      <c r="H3111" t="s">
        <v>122</v>
      </c>
      <c r="I3111" t="s">
        <v>188</v>
      </c>
    </row>
    <row r="3112" spans="1:9" ht="15" customHeight="1" x14ac:dyDescent="0.35">
      <c r="A3112">
        <v>2017</v>
      </c>
      <c r="B3112" t="s">
        <v>150</v>
      </c>
      <c r="C3112">
        <v>3</v>
      </c>
      <c r="D3112" t="s">
        <v>110</v>
      </c>
      <c r="E3112">
        <v>12153</v>
      </c>
      <c r="F3112">
        <v>13563</v>
      </c>
      <c r="G3112">
        <v>10314</v>
      </c>
      <c r="H3112" t="s">
        <v>122</v>
      </c>
      <c r="I3112" t="s">
        <v>188</v>
      </c>
    </row>
    <row r="3113" spans="1:9" ht="15" customHeight="1" x14ac:dyDescent="0.35">
      <c r="A3113">
        <v>2017</v>
      </c>
      <c r="B3113" t="s">
        <v>151</v>
      </c>
      <c r="C3113">
        <v>4</v>
      </c>
      <c r="D3113" t="s">
        <v>110</v>
      </c>
      <c r="E3113">
        <v>12258</v>
      </c>
      <c r="F3113">
        <v>14019</v>
      </c>
      <c r="G3113">
        <v>9832</v>
      </c>
      <c r="H3113" t="s">
        <v>123</v>
      </c>
      <c r="I3113" t="s">
        <v>188</v>
      </c>
    </row>
    <row r="3114" spans="1:9" ht="15" customHeight="1" x14ac:dyDescent="0.35">
      <c r="A3114">
        <v>2017</v>
      </c>
      <c r="B3114" t="s">
        <v>152</v>
      </c>
      <c r="C3114">
        <v>5</v>
      </c>
      <c r="D3114" t="s">
        <v>110</v>
      </c>
      <c r="E3114">
        <v>12131</v>
      </c>
      <c r="F3114">
        <v>13942</v>
      </c>
      <c r="G3114">
        <v>9891</v>
      </c>
      <c r="H3114" t="s">
        <v>123</v>
      </c>
      <c r="I3114" t="s">
        <v>188</v>
      </c>
    </row>
    <row r="3115" spans="1:9" ht="15" customHeight="1" x14ac:dyDescent="0.35">
      <c r="A3115">
        <v>2017</v>
      </c>
      <c r="B3115" t="s">
        <v>153</v>
      </c>
      <c r="C3115">
        <v>6</v>
      </c>
      <c r="D3115" t="s">
        <v>110</v>
      </c>
      <c r="E3115">
        <v>11979</v>
      </c>
      <c r="F3115">
        <v>14060</v>
      </c>
      <c r="G3115">
        <v>9629</v>
      </c>
      <c r="H3115" t="s">
        <v>123</v>
      </c>
      <c r="I3115" t="s">
        <v>188</v>
      </c>
    </row>
    <row r="3116" spans="1:9" ht="15" customHeight="1" x14ac:dyDescent="0.35">
      <c r="A3116">
        <v>2017</v>
      </c>
      <c r="B3116" t="s">
        <v>154</v>
      </c>
      <c r="C3116">
        <v>7</v>
      </c>
      <c r="D3116" t="s">
        <v>110</v>
      </c>
      <c r="E3116">
        <v>11698</v>
      </c>
      <c r="F3116">
        <v>13764</v>
      </c>
      <c r="G3116">
        <v>9593</v>
      </c>
      <c r="H3116" t="s">
        <v>123</v>
      </c>
      <c r="I3116" t="s">
        <v>188</v>
      </c>
    </row>
    <row r="3117" spans="1:9" ht="15" customHeight="1" x14ac:dyDescent="0.35">
      <c r="A3117">
        <v>2017</v>
      </c>
      <c r="B3117" t="s">
        <v>155</v>
      </c>
      <c r="C3117">
        <v>8</v>
      </c>
      <c r="D3117" t="s">
        <v>110</v>
      </c>
      <c r="E3117">
        <v>10967</v>
      </c>
      <c r="F3117">
        <v>13711</v>
      </c>
      <c r="G3117">
        <v>8965</v>
      </c>
      <c r="H3117" t="s">
        <v>123</v>
      </c>
      <c r="I3117" t="s">
        <v>188</v>
      </c>
    </row>
    <row r="3118" spans="1:9" ht="15" customHeight="1" x14ac:dyDescent="0.35">
      <c r="A3118">
        <v>2017</v>
      </c>
      <c r="B3118" t="s">
        <v>156</v>
      </c>
      <c r="C3118">
        <v>9</v>
      </c>
      <c r="D3118" t="s">
        <v>110</v>
      </c>
      <c r="E3118">
        <v>11371</v>
      </c>
      <c r="F3118">
        <v>15319</v>
      </c>
      <c r="G3118">
        <v>8766</v>
      </c>
      <c r="H3118" t="s">
        <v>123</v>
      </c>
      <c r="I3118" t="s">
        <v>188</v>
      </c>
    </row>
    <row r="3119" spans="1:9" ht="15" customHeight="1" x14ac:dyDescent="0.35">
      <c r="A3119">
        <v>2017</v>
      </c>
      <c r="B3119" t="s">
        <v>157</v>
      </c>
      <c r="C3119">
        <v>10</v>
      </c>
      <c r="D3119" t="s">
        <v>110</v>
      </c>
      <c r="E3119">
        <v>11410</v>
      </c>
      <c r="F3119">
        <v>13581</v>
      </c>
      <c r="G3119">
        <v>7962</v>
      </c>
      <c r="H3119" t="s">
        <v>123</v>
      </c>
      <c r="I3119" t="s">
        <v>188</v>
      </c>
    </row>
    <row r="3120" spans="1:9" ht="15" customHeight="1" x14ac:dyDescent="0.35">
      <c r="A3120">
        <v>2017</v>
      </c>
      <c r="B3120" t="s">
        <v>158</v>
      </c>
      <c r="C3120">
        <v>11</v>
      </c>
      <c r="D3120" t="s">
        <v>110</v>
      </c>
      <c r="E3120">
        <v>11114</v>
      </c>
      <c r="F3120">
        <v>13480</v>
      </c>
      <c r="G3120">
        <v>8476</v>
      </c>
      <c r="H3120" t="s">
        <v>123</v>
      </c>
      <c r="I3120" t="s">
        <v>188</v>
      </c>
    </row>
    <row r="3121" spans="1:9" ht="15" customHeight="1" x14ac:dyDescent="0.35">
      <c r="A3121">
        <v>2017</v>
      </c>
      <c r="B3121" t="s">
        <v>159</v>
      </c>
      <c r="C3121">
        <v>12</v>
      </c>
      <c r="D3121" t="s">
        <v>110</v>
      </c>
      <c r="E3121">
        <v>11217</v>
      </c>
      <c r="F3121">
        <v>13572</v>
      </c>
      <c r="G3121">
        <v>7927</v>
      </c>
      <c r="H3121" t="s">
        <v>123</v>
      </c>
      <c r="I3121" t="s">
        <v>188</v>
      </c>
    </row>
    <row r="3122" spans="1:9" ht="15" customHeight="1" x14ac:dyDescent="0.35">
      <c r="A3122">
        <v>2018</v>
      </c>
      <c r="B3122" t="s">
        <v>147</v>
      </c>
      <c r="C3122">
        <v>1</v>
      </c>
      <c r="D3122" t="s">
        <v>110</v>
      </c>
      <c r="E3122">
        <v>11092</v>
      </c>
      <c r="F3122">
        <v>13327</v>
      </c>
      <c r="G3122">
        <v>7923</v>
      </c>
      <c r="H3122" t="s">
        <v>123</v>
      </c>
      <c r="I3122" t="s">
        <v>188</v>
      </c>
    </row>
    <row r="3123" spans="1:9" ht="15" customHeight="1" x14ac:dyDescent="0.35">
      <c r="A3123">
        <v>2018</v>
      </c>
      <c r="B3123" t="s">
        <v>149</v>
      </c>
      <c r="C3123">
        <v>2</v>
      </c>
      <c r="D3123" t="s">
        <v>110</v>
      </c>
      <c r="E3123">
        <v>11904</v>
      </c>
      <c r="F3123">
        <v>13918</v>
      </c>
      <c r="G3123">
        <v>8957</v>
      </c>
      <c r="H3123" t="s">
        <v>123</v>
      </c>
      <c r="I3123" t="s">
        <v>188</v>
      </c>
    </row>
    <row r="3124" spans="1:9" ht="15" customHeight="1" x14ac:dyDescent="0.35">
      <c r="A3124">
        <v>2018</v>
      </c>
      <c r="B3124" t="s">
        <v>150</v>
      </c>
      <c r="C3124">
        <v>3</v>
      </c>
      <c r="D3124" t="s">
        <v>110</v>
      </c>
      <c r="E3124">
        <v>12813</v>
      </c>
      <c r="F3124">
        <v>15282</v>
      </c>
      <c r="G3124">
        <v>10185</v>
      </c>
      <c r="H3124" t="s">
        <v>123</v>
      </c>
      <c r="I3124" t="s">
        <v>188</v>
      </c>
    </row>
    <row r="3125" spans="1:9" ht="15" customHeight="1" x14ac:dyDescent="0.35">
      <c r="A3125">
        <v>2018</v>
      </c>
      <c r="B3125" t="s">
        <v>151</v>
      </c>
      <c r="C3125">
        <v>4</v>
      </c>
      <c r="D3125" t="s">
        <v>110</v>
      </c>
      <c r="E3125">
        <v>13924</v>
      </c>
      <c r="F3125">
        <v>15527</v>
      </c>
      <c r="G3125">
        <v>11940</v>
      </c>
      <c r="H3125" t="s">
        <v>124</v>
      </c>
      <c r="I3125" t="s">
        <v>188</v>
      </c>
    </row>
    <row r="3126" spans="1:9" ht="15" customHeight="1" x14ac:dyDescent="0.35">
      <c r="A3126">
        <v>2018</v>
      </c>
      <c r="B3126" t="s">
        <v>152</v>
      </c>
      <c r="C3126">
        <v>5</v>
      </c>
      <c r="D3126" t="s">
        <v>110</v>
      </c>
      <c r="E3126">
        <v>13314</v>
      </c>
      <c r="F3126">
        <v>14895</v>
      </c>
      <c r="G3126">
        <v>11192</v>
      </c>
      <c r="H3126" t="s">
        <v>124</v>
      </c>
      <c r="I3126" t="s">
        <v>188</v>
      </c>
    </row>
    <row r="3127" spans="1:9" ht="15" customHeight="1" x14ac:dyDescent="0.35">
      <c r="A3127">
        <v>2018</v>
      </c>
      <c r="B3127" t="s">
        <v>153</v>
      </c>
      <c r="C3127">
        <v>6</v>
      </c>
      <c r="D3127" t="s">
        <v>110</v>
      </c>
      <c r="E3127">
        <v>13355</v>
      </c>
      <c r="F3127">
        <v>15037</v>
      </c>
      <c r="G3127">
        <v>11311</v>
      </c>
      <c r="H3127" t="s">
        <v>124</v>
      </c>
      <c r="I3127" t="s">
        <v>188</v>
      </c>
    </row>
    <row r="3128" spans="1:9" ht="15" customHeight="1" x14ac:dyDescent="0.35">
      <c r="A3128">
        <v>2018</v>
      </c>
      <c r="B3128" t="s">
        <v>154</v>
      </c>
      <c r="C3128">
        <v>7</v>
      </c>
      <c r="D3128" t="s">
        <v>110</v>
      </c>
      <c r="E3128">
        <v>13099</v>
      </c>
      <c r="F3128">
        <v>15211</v>
      </c>
      <c r="G3128">
        <v>9831</v>
      </c>
      <c r="H3128" t="s">
        <v>124</v>
      </c>
      <c r="I3128" t="s">
        <v>188</v>
      </c>
    </row>
    <row r="3129" spans="1:9" ht="15" customHeight="1" x14ac:dyDescent="0.35">
      <c r="A3129">
        <v>2018</v>
      </c>
      <c r="B3129" t="s">
        <v>155</v>
      </c>
      <c r="C3129">
        <v>8</v>
      </c>
      <c r="D3129" t="s">
        <v>110</v>
      </c>
      <c r="E3129">
        <v>12718</v>
      </c>
      <c r="F3129">
        <v>15102</v>
      </c>
      <c r="G3129">
        <v>10085</v>
      </c>
      <c r="H3129" t="s">
        <v>124</v>
      </c>
      <c r="I3129" t="s">
        <v>188</v>
      </c>
    </row>
    <row r="3130" spans="1:9" ht="15" customHeight="1" x14ac:dyDescent="0.35">
      <c r="A3130">
        <v>2018</v>
      </c>
      <c r="B3130" t="s">
        <v>156</v>
      </c>
      <c r="C3130">
        <v>9</v>
      </c>
      <c r="D3130" t="s">
        <v>110</v>
      </c>
      <c r="E3130">
        <v>12867</v>
      </c>
      <c r="F3130">
        <v>14794</v>
      </c>
      <c r="G3130">
        <v>10179</v>
      </c>
      <c r="H3130" t="s">
        <v>124</v>
      </c>
      <c r="I3130" t="s">
        <v>188</v>
      </c>
    </row>
    <row r="3131" spans="1:9" ht="15" customHeight="1" x14ac:dyDescent="0.35">
      <c r="A3131">
        <v>2018</v>
      </c>
      <c r="B3131" t="s">
        <v>157</v>
      </c>
      <c r="C3131">
        <v>10</v>
      </c>
      <c r="D3131" t="s">
        <v>110</v>
      </c>
      <c r="E3131">
        <v>11975</v>
      </c>
      <c r="F3131">
        <v>14974</v>
      </c>
      <c r="G3131">
        <v>9060</v>
      </c>
      <c r="H3131" t="s">
        <v>124</v>
      </c>
      <c r="I3131" t="s">
        <v>188</v>
      </c>
    </row>
    <row r="3132" spans="1:9" ht="15" customHeight="1" x14ac:dyDescent="0.35">
      <c r="A3132">
        <v>2018</v>
      </c>
      <c r="B3132" t="s">
        <v>158</v>
      </c>
      <c r="C3132">
        <v>11</v>
      </c>
      <c r="D3132" t="s">
        <v>110</v>
      </c>
      <c r="E3132">
        <v>11316</v>
      </c>
      <c r="F3132">
        <v>14598</v>
      </c>
      <c r="G3132">
        <v>7915</v>
      </c>
      <c r="H3132" t="s">
        <v>124</v>
      </c>
      <c r="I3132" t="s">
        <v>188</v>
      </c>
    </row>
    <row r="3133" spans="1:9" ht="15" customHeight="1" x14ac:dyDescent="0.35">
      <c r="A3133">
        <v>2018</v>
      </c>
      <c r="B3133" t="s">
        <v>159</v>
      </c>
      <c r="C3133">
        <v>12</v>
      </c>
      <c r="D3133" t="s">
        <v>110</v>
      </c>
      <c r="E3133">
        <v>12114</v>
      </c>
      <c r="F3133">
        <v>14985</v>
      </c>
      <c r="G3133">
        <v>9138</v>
      </c>
      <c r="H3133" t="s">
        <v>124</v>
      </c>
      <c r="I3133" t="s">
        <v>188</v>
      </c>
    </row>
    <row r="3134" spans="1:9" ht="15" customHeight="1" x14ac:dyDescent="0.35">
      <c r="A3134">
        <v>2019</v>
      </c>
      <c r="B3134" t="s">
        <v>147</v>
      </c>
      <c r="C3134">
        <v>1</v>
      </c>
      <c r="D3134" t="s">
        <v>110</v>
      </c>
      <c r="E3134">
        <v>11824</v>
      </c>
      <c r="F3134">
        <v>14306</v>
      </c>
      <c r="G3134">
        <v>7717</v>
      </c>
      <c r="H3134" t="s">
        <v>124</v>
      </c>
      <c r="I3134" t="s">
        <v>188</v>
      </c>
    </row>
    <row r="3135" spans="1:9" ht="15" customHeight="1" x14ac:dyDescent="0.35">
      <c r="A3135">
        <v>2019</v>
      </c>
      <c r="B3135" t="s">
        <v>149</v>
      </c>
      <c r="C3135">
        <v>2</v>
      </c>
      <c r="D3135" t="s">
        <v>110</v>
      </c>
      <c r="E3135">
        <v>13104</v>
      </c>
      <c r="F3135">
        <v>15326</v>
      </c>
      <c r="G3135">
        <v>10310</v>
      </c>
      <c r="H3135" t="s">
        <v>124</v>
      </c>
      <c r="I3135" t="s">
        <v>188</v>
      </c>
    </row>
    <row r="3136" spans="1:9" ht="15" customHeight="1" x14ac:dyDescent="0.35">
      <c r="A3136">
        <v>2019</v>
      </c>
      <c r="B3136" t="s">
        <v>150</v>
      </c>
      <c r="C3136">
        <v>3</v>
      </c>
      <c r="D3136" t="s">
        <v>110</v>
      </c>
      <c r="E3136">
        <v>14154</v>
      </c>
      <c r="F3136">
        <v>15982</v>
      </c>
      <c r="G3136">
        <v>10718</v>
      </c>
      <c r="H3136" t="s">
        <v>124</v>
      </c>
      <c r="I3136" t="s">
        <v>188</v>
      </c>
    </row>
    <row r="3137" spans="1:9" ht="15" customHeight="1" x14ac:dyDescent="0.35">
      <c r="A3137">
        <v>2019</v>
      </c>
      <c r="B3137" t="s">
        <v>151</v>
      </c>
      <c r="C3137">
        <v>4</v>
      </c>
      <c r="D3137" t="s">
        <v>110</v>
      </c>
      <c r="E3137">
        <v>14319</v>
      </c>
      <c r="F3137">
        <v>16203</v>
      </c>
      <c r="G3137">
        <v>11302</v>
      </c>
      <c r="H3137" t="s">
        <v>71</v>
      </c>
      <c r="I3137" t="s">
        <v>188</v>
      </c>
    </row>
    <row r="3138" spans="1:9" ht="15" customHeight="1" x14ac:dyDescent="0.35">
      <c r="A3138">
        <v>2019</v>
      </c>
      <c r="B3138" t="s">
        <v>152</v>
      </c>
      <c r="C3138">
        <v>5</v>
      </c>
      <c r="D3138" t="s">
        <v>110</v>
      </c>
      <c r="E3138">
        <v>14055</v>
      </c>
      <c r="F3138">
        <v>15854</v>
      </c>
      <c r="G3138">
        <v>11574</v>
      </c>
      <c r="H3138" t="s">
        <v>71</v>
      </c>
      <c r="I3138" t="s">
        <v>188</v>
      </c>
    </row>
    <row r="3139" spans="1:9" ht="15" customHeight="1" x14ac:dyDescent="0.35">
      <c r="A3139">
        <v>2019</v>
      </c>
      <c r="B3139" t="s">
        <v>153</v>
      </c>
      <c r="C3139">
        <v>6</v>
      </c>
      <c r="D3139" t="s">
        <v>110</v>
      </c>
      <c r="E3139">
        <v>13573</v>
      </c>
      <c r="F3139">
        <v>15876</v>
      </c>
      <c r="G3139">
        <v>11368</v>
      </c>
      <c r="H3139" t="s">
        <v>71</v>
      </c>
      <c r="I3139" t="s">
        <v>188</v>
      </c>
    </row>
    <row r="3140" spans="1:9" ht="15" customHeight="1" x14ac:dyDescent="0.35">
      <c r="A3140">
        <v>2019</v>
      </c>
      <c r="B3140" t="s">
        <v>154</v>
      </c>
      <c r="C3140">
        <v>7</v>
      </c>
      <c r="D3140" t="s">
        <v>110</v>
      </c>
      <c r="E3140">
        <v>13045</v>
      </c>
      <c r="F3140">
        <v>15763</v>
      </c>
      <c r="G3140">
        <v>10659</v>
      </c>
      <c r="H3140" t="s">
        <v>71</v>
      </c>
      <c r="I3140" t="s">
        <v>188</v>
      </c>
    </row>
    <row r="3141" spans="1:9" ht="15" customHeight="1" x14ac:dyDescent="0.35">
      <c r="A3141">
        <v>2019</v>
      </c>
      <c r="B3141" t="s">
        <v>155</v>
      </c>
      <c r="C3141">
        <v>8</v>
      </c>
      <c r="D3141" t="s">
        <v>110</v>
      </c>
      <c r="E3141">
        <v>12038</v>
      </c>
      <c r="F3141">
        <v>14598</v>
      </c>
      <c r="G3141">
        <v>9148</v>
      </c>
      <c r="H3141" t="s">
        <v>71</v>
      </c>
      <c r="I3141" t="s">
        <v>188</v>
      </c>
    </row>
    <row r="3142" spans="1:9" ht="15" customHeight="1" x14ac:dyDescent="0.35">
      <c r="A3142">
        <v>2019</v>
      </c>
      <c r="B3142" t="s">
        <v>156</v>
      </c>
      <c r="C3142">
        <v>9</v>
      </c>
      <c r="D3142" t="s">
        <v>110</v>
      </c>
      <c r="E3142">
        <v>11765</v>
      </c>
      <c r="F3142">
        <v>14721</v>
      </c>
      <c r="G3142">
        <v>9253</v>
      </c>
      <c r="H3142" t="s">
        <v>71</v>
      </c>
      <c r="I3142" t="s">
        <v>188</v>
      </c>
    </row>
    <row r="3143" spans="1:9" ht="15" customHeight="1" x14ac:dyDescent="0.35">
      <c r="A3143">
        <v>2019</v>
      </c>
      <c r="B3143" t="s">
        <v>157</v>
      </c>
      <c r="C3143">
        <v>10</v>
      </c>
      <c r="D3143" t="s">
        <v>110</v>
      </c>
      <c r="E3143">
        <v>11152</v>
      </c>
      <c r="F3143">
        <v>14448</v>
      </c>
      <c r="G3143">
        <v>6363</v>
      </c>
      <c r="H3143" t="s">
        <v>71</v>
      </c>
      <c r="I3143" t="s">
        <v>188</v>
      </c>
    </row>
    <row r="3144" spans="1:9" ht="15" customHeight="1" x14ac:dyDescent="0.35">
      <c r="A3144">
        <v>2019</v>
      </c>
      <c r="B3144" t="s">
        <v>158</v>
      </c>
      <c r="C3144">
        <v>11</v>
      </c>
      <c r="D3144" t="s">
        <v>110</v>
      </c>
      <c r="E3144">
        <v>11261</v>
      </c>
      <c r="F3144">
        <v>13874</v>
      </c>
      <c r="G3144">
        <v>7870</v>
      </c>
      <c r="H3144" t="s">
        <v>71</v>
      </c>
      <c r="I3144" t="s">
        <v>188</v>
      </c>
    </row>
    <row r="3145" spans="1:9" ht="15" customHeight="1" x14ac:dyDescent="0.35">
      <c r="A3145">
        <v>2019</v>
      </c>
      <c r="B3145" t="s">
        <v>159</v>
      </c>
      <c r="C3145">
        <v>12</v>
      </c>
      <c r="D3145" t="s">
        <v>110</v>
      </c>
      <c r="E3145">
        <v>10869</v>
      </c>
      <c r="F3145">
        <v>13788</v>
      </c>
      <c r="G3145">
        <v>7297</v>
      </c>
      <c r="H3145" t="s">
        <v>71</v>
      </c>
      <c r="I3145" t="s">
        <v>188</v>
      </c>
    </row>
    <row r="3146" spans="1:9" ht="15" customHeight="1" x14ac:dyDescent="0.35">
      <c r="A3146">
        <v>2020</v>
      </c>
      <c r="B3146" t="s">
        <v>147</v>
      </c>
      <c r="C3146">
        <v>1</v>
      </c>
      <c r="D3146" t="s">
        <v>110</v>
      </c>
      <c r="E3146">
        <v>11763</v>
      </c>
      <c r="F3146">
        <v>14570</v>
      </c>
      <c r="G3146">
        <v>7842</v>
      </c>
      <c r="H3146" t="s">
        <v>71</v>
      </c>
      <c r="I3146" t="s">
        <v>188</v>
      </c>
    </row>
    <row r="3147" spans="1:9" ht="15" customHeight="1" x14ac:dyDescent="0.35">
      <c r="A3147">
        <v>2020</v>
      </c>
      <c r="B3147" t="s">
        <v>149</v>
      </c>
      <c r="C3147">
        <v>2</v>
      </c>
      <c r="D3147" t="s">
        <v>110</v>
      </c>
      <c r="E3147">
        <v>12923</v>
      </c>
      <c r="F3147">
        <v>14883</v>
      </c>
      <c r="G3147">
        <v>10214</v>
      </c>
      <c r="H3147" t="s">
        <v>71</v>
      </c>
      <c r="I3147" t="s">
        <v>188</v>
      </c>
    </row>
    <row r="3148" spans="1:9" ht="15" customHeight="1" x14ac:dyDescent="0.35">
      <c r="A3148">
        <v>2020</v>
      </c>
      <c r="B3148" t="s">
        <v>150</v>
      </c>
      <c r="C3148">
        <v>3</v>
      </c>
      <c r="D3148" t="s">
        <v>110</v>
      </c>
      <c r="E3148">
        <v>12703</v>
      </c>
      <c r="F3148">
        <v>15476</v>
      </c>
      <c r="G3148">
        <v>8975</v>
      </c>
      <c r="H3148" t="s">
        <v>71</v>
      </c>
      <c r="I3148" t="s">
        <v>188</v>
      </c>
    </row>
    <row r="3149" spans="1:9" ht="15" customHeight="1" x14ac:dyDescent="0.35">
      <c r="A3149">
        <v>2020</v>
      </c>
      <c r="B3149" t="s">
        <v>151</v>
      </c>
      <c r="C3149">
        <v>4</v>
      </c>
      <c r="D3149" t="s">
        <v>110</v>
      </c>
      <c r="E3149">
        <v>9860</v>
      </c>
      <c r="F3149">
        <v>11281</v>
      </c>
      <c r="G3149">
        <v>6764</v>
      </c>
      <c r="H3149" t="s">
        <v>72</v>
      </c>
      <c r="I3149" t="s">
        <v>188</v>
      </c>
    </row>
    <row r="3150" spans="1:9" ht="15" customHeight="1" x14ac:dyDescent="0.35">
      <c r="A3150">
        <v>2020</v>
      </c>
      <c r="B3150" t="s">
        <v>152</v>
      </c>
      <c r="C3150">
        <v>5</v>
      </c>
      <c r="D3150" t="s">
        <v>110</v>
      </c>
      <c r="E3150">
        <v>11884</v>
      </c>
      <c r="F3150">
        <v>14378</v>
      </c>
      <c r="G3150">
        <v>8723</v>
      </c>
      <c r="H3150" t="s">
        <v>72</v>
      </c>
      <c r="I3150" t="s">
        <v>188</v>
      </c>
    </row>
    <row r="3151" spans="1:9" ht="15" customHeight="1" x14ac:dyDescent="0.35">
      <c r="A3151">
        <v>2020</v>
      </c>
      <c r="B3151" t="s">
        <v>153</v>
      </c>
      <c r="C3151">
        <v>6</v>
      </c>
      <c r="D3151" t="s">
        <v>110</v>
      </c>
      <c r="E3151">
        <v>12377</v>
      </c>
      <c r="F3151">
        <v>14321</v>
      </c>
      <c r="G3151">
        <v>10220</v>
      </c>
      <c r="H3151" t="s">
        <v>72</v>
      </c>
      <c r="I3151" t="s">
        <v>188</v>
      </c>
    </row>
    <row r="3152" spans="1:9" ht="15" customHeight="1" x14ac:dyDescent="0.35">
      <c r="A3152">
        <v>2020</v>
      </c>
      <c r="B3152" t="s">
        <v>154</v>
      </c>
      <c r="C3152">
        <v>7</v>
      </c>
      <c r="D3152" t="s">
        <v>110</v>
      </c>
      <c r="E3152">
        <v>11285</v>
      </c>
      <c r="F3152">
        <v>13688</v>
      </c>
      <c r="G3152">
        <v>8621</v>
      </c>
      <c r="H3152" t="s">
        <v>72</v>
      </c>
      <c r="I3152" t="s">
        <v>188</v>
      </c>
    </row>
    <row r="3153" spans="1:9" ht="15" customHeight="1" x14ac:dyDescent="0.35">
      <c r="A3153">
        <v>2020</v>
      </c>
      <c r="B3153" t="s">
        <v>155</v>
      </c>
      <c r="C3153">
        <v>8</v>
      </c>
      <c r="D3153" t="s">
        <v>110</v>
      </c>
      <c r="E3153">
        <v>11870</v>
      </c>
      <c r="F3153">
        <v>14831</v>
      </c>
      <c r="G3153">
        <v>8285</v>
      </c>
      <c r="H3153" t="s">
        <v>72</v>
      </c>
      <c r="I3153" t="s">
        <v>188</v>
      </c>
    </row>
    <row r="3154" spans="1:9" ht="15" customHeight="1" x14ac:dyDescent="0.35">
      <c r="A3154">
        <v>2020</v>
      </c>
      <c r="B3154" t="s">
        <v>156</v>
      </c>
      <c r="C3154">
        <v>9</v>
      </c>
      <c r="D3154" t="s">
        <v>110</v>
      </c>
      <c r="E3154">
        <v>11776</v>
      </c>
      <c r="F3154">
        <v>14562</v>
      </c>
      <c r="G3154">
        <v>8424</v>
      </c>
      <c r="H3154" t="s">
        <v>72</v>
      </c>
      <c r="I3154" t="s">
        <v>188</v>
      </c>
    </row>
    <row r="3155" spans="1:9" ht="15" customHeight="1" x14ac:dyDescent="0.35">
      <c r="A3155">
        <v>2020</v>
      </c>
      <c r="B3155" t="s">
        <v>157</v>
      </c>
      <c r="C3155">
        <v>10</v>
      </c>
      <c r="D3155" t="s">
        <v>110</v>
      </c>
      <c r="E3155">
        <v>12273</v>
      </c>
      <c r="F3155">
        <v>14563</v>
      </c>
      <c r="G3155">
        <v>9151</v>
      </c>
      <c r="H3155" t="s">
        <v>72</v>
      </c>
      <c r="I3155" t="s">
        <v>188</v>
      </c>
    </row>
    <row r="3156" spans="1:9" ht="15" customHeight="1" x14ac:dyDescent="0.35">
      <c r="A3156">
        <v>2020</v>
      </c>
      <c r="B3156" t="s">
        <v>158</v>
      </c>
      <c r="C3156">
        <v>11</v>
      </c>
      <c r="D3156" t="s">
        <v>110</v>
      </c>
      <c r="E3156">
        <v>11270</v>
      </c>
      <c r="F3156">
        <v>15363</v>
      </c>
      <c r="G3156">
        <v>6758</v>
      </c>
      <c r="H3156" t="s">
        <v>72</v>
      </c>
      <c r="I3156" t="s">
        <v>188</v>
      </c>
    </row>
    <row r="3157" spans="1:9" ht="15" customHeight="1" x14ac:dyDescent="0.35">
      <c r="A3157">
        <v>2020</v>
      </c>
      <c r="B3157" t="s">
        <v>159</v>
      </c>
      <c r="C3157">
        <v>12</v>
      </c>
      <c r="D3157" t="s">
        <v>110</v>
      </c>
      <c r="E3157">
        <v>11015</v>
      </c>
      <c r="F3157">
        <v>14032</v>
      </c>
      <c r="G3157">
        <v>8017</v>
      </c>
      <c r="H3157" t="s">
        <v>72</v>
      </c>
      <c r="I3157" t="s">
        <v>188</v>
      </c>
    </row>
    <row r="3158" spans="1:9" ht="15" customHeight="1" x14ac:dyDescent="0.35">
      <c r="A3158">
        <v>2021</v>
      </c>
      <c r="B3158" t="s">
        <v>147</v>
      </c>
      <c r="C3158">
        <v>1</v>
      </c>
      <c r="D3158" t="s">
        <v>110</v>
      </c>
      <c r="E3158">
        <v>11027</v>
      </c>
      <c r="F3158">
        <v>14403</v>
      </c>
      <c r="G3158">
        <v>6771</v>
      </c>
      <c r="H3158" t="s">
        <v>72</v>
      </c>
      <c r="I3158" t="s">
        <v>188</v>
      </c>
    </row>
    <row r="3159" spans="1:9" ht="15" customHeight="1" x14ac:dyDescent="0.35">
      <c r="A3159">
        <v>2021</v>
      </c>
      <c r="B3159" t="s">
        <v>149</v>
      </c>
      <c r="C3159">
        <v>2</v>
      </c>
      <c r="D3159" t="s">
        <v>110</v>
      </c>
      <c r="E3159">
        <v>12816</v>
      </c>
      <c r="F3159">
        <v>15412</v>
      </c>
      <c r="G3159">
        <v>9679</v>
      </c>
      <c r="H3159" t="s">
        <v>72</v>
      </c>
      <c r="I3159" t="s">
        <v>188</v>
      </c>
    </row>
    <row r="3160" spans="1:9" ht="15" customHeight="1" x14ac:dyDescent="0.35">
      <c r="A3160">
        <v>2021</v>
      </c>
      <c r="B3160" t="s">
        <v>150</v>
      </c>
      <c r="C3160">
        <v>3</v>
      </c>
      <c r="D3160" t="s">
        <v>110</v>
      </c>
      <c r="E3160">
        <v>14249</v>
      </c>
      <c r="F3160">
        <v>16374</v>
      </c>
      <c r="G3160">
        <v>10920</v>
      </c>
      <c r="H3160" t="s">
        <v>72</v>
      </c>
      <c r="I3160" t="s">
        <v>188</v>
      </c>
    </row>
    <row r="3161" spans="1:9" ht="15" customHeight="1" x14ac:dyDescent="0.35">
      <c r="A3161">
        <v>2021</v>
      </c>
      <c r="B3161" t="s">
        <v>151</v>
      </c>
      <c r="C3161">
        <v>4</v>
      </c>
      <c r="D3161" t="s">
        <v>110</v>
      </c>
      <c r="E3161">
        <v>14544</v>
      </c>
      <c r="F3161">
        <v>16914</v>
      </c>
      <c r="G3161">
        <v>10680</v>
      </c>
      <c r="H3161" t="s">
        <v>73</v>
      </c>
      <c r="I3161" t="s">
        <v>188</v>
      </c>
    </row>
    <row r="3162" spans="1:9" ht="15" customHeight="1" x14ac:dyDescent="0.35">
      <c r="A3162">
        <v>2021</v>
      </c>
      <c r="B3162" t="s">
        <v>152</v>
      </c>
      <c r="C3162">
        <v>5</v>
      </c>
      <c r="D3162" t="s">
        <v>110</v>
      </c>
      <c r="E3162">
        <v>12518</v>
      </c>
      <c r="F3162">
        <v>15894</v>
      </c>
      <c r="G3162">
        <v>8754</v>
      </c>
      <c r="H3162" t="s">
        <v>73</v>
      </c>
      <c r="I3162" t="s">
        <v>188</v>
      </c>
    </row>
    <row r="3163" spans="1:9" ht="15" customHeight="1" x14ac:dyDescent="0.35">
      <c r="A3163">
        <v>2021</v>
      </c>
      <c r="B3163" t="s">
        <v>153</v>
      </c>
      <c r="C3163">
        <v>6</v>
      </c>
      <c r="D3163" t="s">
        <v>110</v>
      </c>
      <c r="E3163">
        <v>12821</v>
      </c>
      <c r="F3163">
        <v>16058</v>
      </c>
      <c r="G3163">
        <v>9235</v>
      </c>
      <c r="H3163" t="s">
        <v>73</v>
      </c>
      <c r="I3163" t="s">
        <v>188</v>
      </c>
    </row>
    <row r="3164" spans="1:9" ht="15" customHeight="1" x14ac:dyDescent="0.35">
      <c r="A3164">
        <v>2021</v>
      </c>
      <c r="B3164" t="s">
        <v>154</v>
      </c>
      <c r="C3164">
        <v>7</v>
      </c>
      <c r="D3164" t="s">
        <v>110</v>
      </c>
      <c r="E3164">
        <v>12816</v>
      </c>
      <c r="F3164">
        <v>15306</v>
      </c>
      <c r="G3164">
        <v>9344</v>
      </c>
      <c r="H3164" t="s">
        <v>73</v>
      </c>
      <c r="I3164" t="s">
        <v>188</v>
      </c>
    </row>
    <row r="3165" spans="1:9" ht="15" customHeight="1" x14ac:dyDescent="0.35">
      <c r="A3165">
        <v>2021</v>
      </c>
      <c r="B3165" t="s">
        <v>155</v>
      </c>
      <c r="C3165">
        <v>8</v>
      </c>
      <c r="D3165" t="s">
        <v>110</v>
      </c>
      <c r="E3165">
        <v>13366</v>
      </c>
      <c r="F3165">
        <v>15637</v>
      </c>
      <c r="G3165">
        <v>9668</v>
      </c>
      <c r="H3165" t="s">
        <v>73</v>
      </c>
      <c r="I3165" t="s">
        <v>188</v>
      </c>
    </row>
    <row r="3166" spans="1:9" ht="15" customHeight="1" x14ac:dyDescent="0.35">
      <c r="A3166">
        <v>2021</v>
      </c>
      <c r="B3166" t="s">
        <v>156</v>
      </c>
      <c r="C3166">
        <v>9</v>
      </c>
      <c r="D3166" t="s">
        <v>110</v>
      </c>
      <c r="E3166">
        <v>13136</v>
      </c>
      <c r="F3166">
        <v>15607</v>
      </c>
      <c r="G3166">
        <v>9351</v>
      </c>
      <c r="H3166" t="s">
        <v>73</v>
      </c>
      <c r="I3166" t="s">
        <v>188</v>
      </c>
    </row>
    <row r="3167" spans="1:9" ht="15" customHeight="1" x14ac:dyDescent="0.35">
      <c r="A3167">
        <v>2021</v>
      </c>
      <c r="B3167" t="s">
        <v>157</v>
      </c>
      <c r="C3167">
        <v>10</v>
      </c>
      <c r="D3167" t="s">
        <v>110</v>
      </c>
      <c r="E3167">
        <v>12136</v>
      </c>
      <c r="F3167">
        <v>14573</v>
      </c>
      <c r="G3167">
        <v>9097</v>
      </c>
      <c r="H3167" t="s">
        <v>73</v>
      </c>
      <c r="I3167" t="s">
        <v>188</v>
      </c>
    </row>
    <row r="3168" spans="1:9" ht="15" customHeight="1" x14ac:dyDescent="0.35">
      <c r="A3168">
        <v>2021</v>
      </c>
      <c r="B3168" t="s">
        <v>158</v>
      </c>
      <c r="C3168">
        <v>11</v>
      </c>
      <c r="D3168" t="s">
        <v>110</v>
      </c>
      <c r="E3168">
        <v>10054</v>
      </c>
      <c r="F3168">
        <v>13350</v>
      </c>
      <c r="G3168">
        <v>6001</v>
      </c>
      <c r="H3168" t="s">
        <v>73</v>
      </c>
      <c r="I3168" t="s">
        <v>188</v>
      </c>
    </row>
    <row r="3169" spans="1:9" ht="15" customHeight="1" x14ac:dyDescent="0.35">
      <c r="A3169">
        <v>2021</v>
      </c>
      <c r="B3169" t="s">
        <v>159</v>
      </c>
      <c r="C3169">
        <v>12</v>
      </c>
      <c r="D3169" t="s">
        <v>110</v>
      </c>
      <c r="E3169">
        <v>11542</v>
      </c>
      <c r="F3169">
        <v>14408</v>
      </c>
      <c r="G3169">
        <v>8571</v>
      </c>
      <c r="H3169" t="s">
        <v>73</v>
      </c>
      <c r="I3169" t="s">
        <v>188</v>
      </c>
    </row>
    <row r="3170" spans="1:9" ht="15" customHeight="1" x14ac:dyDescent="0.35">
      <c r="A3170">
        <v>2022</v>
      </c>
      <c r="B3170" t="s">
        <v>147</v>
      </c>
      <c r="C3170">
        <v>1</v>
      </c>
      <c r="D3170" t="s">
        <v>110</v>
      </c>
      <c r="E3170">
        <v>11851</v>
      </c>
      <c r="F3170">
        <v>15155</v>
      </c>
      <c r="G3170">
        <v>7771</v>
      </c>
      <c r="H3170" t="s">
        <v>73</v>
      </c>
      <c r="I3170" t="s">
        <v>188</v>
      </c>
    </row>
    <row r="3171" spans="1:9" ht="15" customHeight="1" x14ac:dyDescent="0.35">
      <c r="A3171">
        <v>2022</v>
      </c>
      <c r="B3171" t="s">
        <v>149</v>
      </c>
      <c r="C3171">
        <v>2</v>
      </c>
      <c r="D3171" t="s">
        <v>110</v>
      </c>
      <c r="E3171">
        <v>13436</v>
      </c>
      <c r="F3171">
        <v>16270</v>
      </c>
      <c r="G3171">
        <v>10008</v>
      </c>
      <c r="H3171" t="s">
        <v>73</v>
      </c>
      <c r="I3171" t="s">
        <v>188</v>
      </c>
    </row>
    <row r="3172" spans="1:9" ht="15" customHeight="1" x14ac:dyDescent="0.35">
      <c r="A3172">
        <v>2022</v>
      </c>
      <c r="B3172" t="s">
        <v>150</v>
      </c>
      <c r="C3172">
        <v>3</v>
      </c>
      <c r="D3172" t="s">
        <v>110</v>
      </c>
      <c r="E3172">
        <v>14374</v>
      </c>
      <c r="F3172">
        <v>17173</v>
      </c>
      <c r="G3172">
        <v>10584</v>
      </c>
      <c r="H3172" t="s">
        <v>73</v>
      </c>
      <c r="I3172" t="s">
        <v>188</v>
      </c>
    </row>
    <row r="3173" spans="1:9" ht="15" customHeight="1" x14ac:dyDescent="0.35">
      <c r="A3173">
        <v>2022</v>
      </c>
      <c r="B3173" t="s">
        <v>151</v>
      </c>
      <c r="C3173">
        <v>4</v>
      </c>
      <c r="D3173" t="s">
        <v>110</v>
      </c>
      <c r="E3173">
        <v>14752</v>
      </c>
      <c r="F3173">
        <v>17510</v>
      </c>
      <c r="G3173">
        <v>10789</v>
      </c>
      <c r="H3173" t="s">
        <v>74</v>
      </c>
      <c r="I3173" t="s">
        <v>188</v>
      </c>
    </row>
    <row r="3174" spans="1:9" ht="15" customHeight="1" x14ac:dyDescent="0.35">
      <c r="A3174">
        <v>2022</v>
      </c>
      <c r="B3174" t="s">
        <v>152</v>
      </c>
      <c r="C3174">
        <v>5</v>
      </c>
      <c r="D3174" t="s">
        <v>110</v>
      </c>
      <c r="E3174">
        <v>13898</v>
      </c>
      <c r="F3174">
        <v>16796</v>
      </c>
      <c r="G3174">
        <v>8557</v>
      </c>
      <c r="H3174" t="s">
        <v>74</v>
      </c>
      <c r="I3174" t="s">
        <v>188</v>
      </c>
    </row>
    <row r="3175" spans="1:9" ht="15" customHeight="1" x14ac:dyDescent="0.35">
      <c r="A3175">
        <v>2022</v>
      </c>
      <c r="B3175" t="s">
        <v>153</v>
      </c>
      <c r="C3175">
        <v>6</v>
      </c>
      <c r="D3175" t="s">
        <v>110</v>
      </c>
      <c r="E3175">
        <v>14429</v>
      </c>
      <c r="F3175">
        <v>16744</v>
      </c>
      <c r="G3175">
        <v>9320</v>
      </c>
      <c r="H3175" t="s">
        <v>74</v>
      </c>
      <c r="I3175" t="s">
        <v>188</v>
      </c>
    </row>
    <row r="3176" spans="1:9" ht="15" customHeight="1" x14ac:dyDescent="0.35">
      <c r="A3176">
        <v>2022</v>
      </c>
      <c r="B3176" t="s">
        <v>154</v>
      </c>
      <c r="C3176">
        <v>7</v>
      </c>
      <c r="D3176" t="s">
        <v>110</v>
      </c>
      <c r="E3176">
        <v>13632</v>
      </c>
      <c r="F3176">
        <v>16068</v>
      </c>
      <c r="G3176">
        <v>10711</v>
      </c>
      <c r="H3176" t="s">
        <v>74</v>
      </c>
      <c r="I3176" t="s">
        <v>188</v>
      </c>
    </row>
    <row r="3177" spans="1:9" ht="15" customHeight="1" x14ac:dyDescent="0.35">
      <c r="A3177">
        <v>2022</v>
      </c>
      <c r="B3177" t="s">
        <v>155</v>
      </c>
      <c r="C3177">
        <v>8</v>
      </c>
      <c r="D3177" t="s">
        <v>110</v>
      </c>
      <c r="E3177">
        <v>12985</v>
      </c>
      <c r="F3177">
        <v>15809</v>
      </c>
      <c r="G3177">
        <v>9899</v>
      </c>
      <c r="H3177" t="s">
        <v>74</v>
      </c>
      <c r="I3177" t="s">
        <v>188</v>
      </c>
    </row>
    <row r="3178" spans="1:9" ht="15" customHeight="1" x14ac:dyDescent="0.35">
      <c r="A3178">
        <v>2022</v>
      </c>
      <c r="B3178" t="s">
        <v>156</v>
      </c>
      <c r="C3178">
        <v>9</v>
      </c>
      <c r="D3178" t="s">
        <v>110</v>
      </c>
      <c r="E3178">
        <v>13243</v>
      </c>
      <c r="F3178">
        <v>16226</v>
      </c>
      <c r="G3178">
        <v>9608</v>
      </c>
      <c r="H3178" t="s">
        <v>74</v>
      </c>
      <c r="I3178" t="s">
        <v>188</v>
      </c>
    </row>
    <row r="3179" spans="1:9" ht="15" customHeight="1" x14ac:dyDescent="0.35">
      <c r="A3179">
        <v>2022</v>
      </c>
      <c r="B3179" t="s">
        <v>157</v>
      </c>
      <c r="C3179">
        <v>10</v>
      </c>
      <c r="D3179" t="s">
        <v>110</v>
      </c>
      <c r="E3179">
        <v>12016</v>
      </c>
      <c r="F3179">
        <v>15213</v>
      </c>
      <c r="G3179">
        <v>7028</v>
      </c>
      <c r="H3179" t="s">
        <v>74</v>
      </c>
      <c r="I3179" t="s">
        <v>188</v>
      </c>
    </row>
    <row r="3180" spans="1:9" ht="15" customHeight="1" x14ac:dyDescent="0.35">
      <c r="A3180">
        <v>2022</v>
      </c>
      <c r="B3180" t="s">
        <v>158</v>
      </c>
      <c r="C3180">
        <v>11</v>
      </c>
      <c r="D3180" t="s">
        <v>110</v>
      </c>
      <c r="E3180">
        <v>11866</v>
      </c>
      <c r="F3180">
        <v>14911</v>
      </c>
      <c r="G3180">
        <v>7895</v>
      </c>
      <c r="H3180" t="s">
        <v>74</v>
      </c>
      <c r="I3180" t="s">
        <v>188</v>
      </c>
    </row>
    <row r="3181" spans="1:9" ht="15" customHeight="1" x14ac:dyDescent="0.35">
      <c r="A3181">
        <v>2022</v>
      </c>
      <c r="B3181" t="s">
        <v>159</v>
      </c>
      <c r="C3181">
        <v>12</v>
      </c>
      <c r="D3181" t="s">
        <v>110</v>
      </c>
      <c r="E3181">
        <v>12023</v>
      </c>
      <c r="F3181">
        <v>15519</v>
      </c>
      <c r="G3181">
        <v>6420</v>
      </c>
      <c r="H3181" t="s">
        <v>74</v>
      </c>
      <c r="I3181" t="s">
        <v>188</v>
      </c>
    </row>
    <row r="3182" spans="1:9" ht="15" customHeight="1" x14ac:dyDescent="0.35">
      <c r="A3182">
        <v>2023</v>
      </c>
      <c r="B3182" t="s">
        <v>147</v>
      </c>
      <c r="C3182">
        <v>1</v>
      </c>
      <c r="D3182" t="s">
        <v>110</v>
      </c>
      <c r="E3182">
        <v>12722</v>
      </c>
      <c r="F3182">
        <v>15846</v>
      </c>
      <c r="G3182">
        <v>7746</v>
      </c>
      <c r="H3182" t="s">
        <v>74</v>
      </c>
      <c r="I3182" t="s">
        <v>188</v>
      </c>
    </row>
    <row r="3183" spans="1:9" ht="15" customHeight="1" x14ac:dyDescent="0.35">
      <c r="A3183">
        <v>2023</v>
      </c>
      <c r="B3183" t="s">
        <v>149</v>
      </c>
      <c r="C3183">
        <v>2</v>
      </c>
      <c r="D3183" t="s">
        <v>110</v>
      </c>
      <c r="E3183">
        <v>13644</v>
      </c>
      <c r="F3183">
        <v>16567</v>
      </c>
      <c r="G3183">
        <v>9530</v>
      </c>
      <c r="H3183" t="s">
        <v>74</v>
      </c>
      <c r="I3183" t="s">
        <v>188</v>
      </c>
    </row>
    <row r="3184" spans="1:9" ht="15" customHeight="1" x14ac:dyDescent="0.35">
      <c r="A3184">
        <v>2023</v>
      </c>
      <c r="B3184" t="s">
        <v>150</v>
      </c>
      <c r="C3184">
        <v>3</v>
      </c>
      <c r="D3184" t="s">
        <v>110</v>
      </c>
      <c r="E3184">
        <v>14960</v>
      </c>
      <c r="F3184">
        <v>17822</v>
      </c>
      <c r="G3184">
        <v>11076</v>
      </c>
      <c r="H3184" t="s">
        <v>74</v>
      </c>
      <c r="I3184" t="s">
        <v>188</v>
      </c>
    </row>
    <row r="3185" spans="1:9" ht="15" customHeight="1" x14ac:dyDescent="0.35">
      <c r="A3185">
        <v>2023</v>
      </c>
      <c r="B3185" t="s">
        <v>151</v>
      </c>
      <c r="C3185">
        <v>4</v>
      </c>
      <c r="D3185" t="s">
        <v>110</v>
      </c>
      <c r="E3185">
        <v>15994</v>
      </c>
      <c r="F3185">
        <v>19436</v>
      </c>
      <c r="G3185">
        <v>12500</v>
      </c>
      <c r="H3185" t="s">
        <v>75</v>
      </c>
      <c r="I3185" t="s">
        <v>188</v>
      </c>
    </row>
    <row r="3186" spans="1:9" ht="15" customHeight="1" x14ac:dyDescent="0.35">
      <c r="A3186">
        <v>2023</v>
      </c>
      <c r="B3186" t="s">
        <v>152</v>
      </c>
      <c r="C3186">
        <v>5</v>
      </c>
      <c r="D3186" t="s">
        <v>110</v>
      </c>
      <c r="E3186">
        <v>14923</v>
      </c>
      <c r="F3186">
        <v>18469</v>
      </c>
      <c r="G3186">
        <v>10111</v>
      </c>
      <c r="H3186" t="s">
        <v>75</v>
      </c>
      <c r="I3186" t="s">
        <v>188</v>
      </c>
    </row>
    <row r="3187" spans="1:9" ht="15" customHeight="1" x14ac:dyDescent="0.35">
      <c r="A3187">
        <v>2023</v>
      </c>
      <c r="B3187" t="s">
        <v>153</v>
      </c>
      <c r="C3187">
        <v>6</v>
      </c>
      <c r="D3187" t="s">
        <v>110</v>
      </c>
      <c r="E3187">
        <v>15494</v>
      </c>
      <c r="F3187">
        <v>18308</v>
      </c>
      <c r="G3187">
        <v>9225</v>
      </c>
      <c r="H3187" t="s">
        <v>75</v>
      </c>
      <c r="I3187" t="s">
        <v>188</v>
      </c>
    </row>
    <row r="3188" spans="1:9" ht="15" customHeight="1" x14ac:dyDescent="0.35">
      <c r="A3188">
        <v>2023</v>
      </c>
      <c r="B3188" t="s">
        <v>154</v>
      </c>
      <c r="C3188">
        <v>7</v>
      </c>
      <c r="D3188" t="s">
        <v>110</v>
      </c>
      <c r="E3188">
        <v>14976</v>
      </c>
      <c r="F3188">
        <v>17756</v>
      </c>
      <c r="G3188">
        <v>11928</v>
      </c>
      <c r="H3188" t="s">
        <v>75</v>
      </c>
      <c r="I3188" t="s">
        <v>188</v>
      </c>
    </row>
    <row r="3189" spans="1:9" ht="15" customHeight="1" x14ac:dyDescent="0.35">
      <c r="A3189">
        <v>2023</v>
      </c>
      <c r="B3189" t="s">
        <v>155</v>
      </c>
      <c r="C3189">
        <v>8</v>
      </c>
      <c r="D3189" t="s">
        <v>110</v>
      </c>
      <c r="E3189">
        <v>15511</v>
      </c>
      <c r="F3189">
        <v>17998</v>
      </c>
      <c r="G3189">
        <v>11580</v>
      </c>
      <c r="H3189" t="s">
        <v>75</v>
      </c>
      <c r="I3189" t="s">
        <v>188</v>
      </c>
    </row>
    <row r="3190" spans="1:9" ht="15" customHeight="1" x14ac:dyDescent="0.35">
      <c r="A3190">
        <v>2023</v>
      </c>
      <c r="B3190" t="s">
        <v>156</v>
      </c>
      <c r="C3190">
        <v>9</v>
      </c>
      <c r="D3190" t="s">
        <v>110</v>
      </c>
      <c r="E3190">
        <v>14278</v>
      </c>
      <c r="F3190">
        <v>16738</v>
      </c>
      <c r="G3190">
        <v>10908</v>
      </c>
      <c r="H3190" t="s">
        <v>75</v>
      </c>
      <c r="I3190" t="s">
        <v>188</v>
      </c>
    </row>
    <row r="3191" spans="1:9" ht="15" customHeight="1" x14ac:dyDescent="0.35">
      <c r="A3191">
        <v>2023</v>
      </c>
      <c r="B3191" t="s">
        <v>157</v>
      </c>
      <c r="C3191">
        <v>10</v>
      </c>
      <c r="D3191" t="s">
        <v>110</v>
      </c>
      <c r="E3191">
        <v>14384</v>
      </c>
      <c r="F3191">
        <v>16990</v>
      </c>
      <c r="G3191">
        <v>10784</v>
      </c>
      <c r="H3191" t="s">
        <v>75</v>
      </c>
      <c r="I3191" t="s">
        <v>188</v>
      </c>
    </row>
    <row r="3192" spans="1:9" ht="15" customHeight="1" x14ac:dyDescent="0.35">
      <c r="A3192">
        <v>2023</v>
      </c>
      <c r="B3192" t="s">
        <v>158</v>
      </c>
      <c r="C3192">
        <v>11</v>
      </c>
      <c r="D3192" t="s">
        <v>110</v>
      </c>
      <c r="E3192">
        <v>12325</v>
      </c>
      <c r="F3192">
        <v>15769</v>
      </c>
      <c r="G3192">
        <v>7179</v>
      </c>
      <c r="H3192" t="s">
        <v>75</v>
      </c>
      <c r="I3192" t="s">
        <v>188</v>
      </c>
    </row>
    <row r="3193" spans="1:9" ht="15" customHeight="1" x14ac:dyDescent="0.35">
      <c r="A3193">
        <v>2023</v>
      </c>
      <c r="B3193" t="s">
        <v>159</v>
      </c>
      <c r="C3193">
        <v>12</v>
      </c>
      <c r="D3193" t="s">
        <v>110</v>
      </c>
      <c r="E3193">
        <v>12581</v>
      </c>
      <c r="F3193">
        <v>15538</v>
      </c>
      <c r="G3193">
        <v>8089</v>
      </c>
      <c r="H3193" t="s">
        <v>75</v>
      </c>
      <c r="I3193" t="s">
        <v>188</v>
      </c>
    </row>
    <row r="3194" spans="1:9" ht="15" customHeight="1" x14ac:dyDescent="0.35">
      <c r="A3194">
        <v>2024</v>
      </c>
      <c r="B3194" t="s">
        <v>147</v>
      </c>
      <c r="C3194">
        <v>1</v>
      </c>
      <c r="D3194" t="s">
        <v>110</v>
      </c>
      <c r="E3194">
        <v>13019</v>
      </c>
      <c r="F3194">
        <v>16569</v>
      </c>
      <c r="G3194">
        <v>8158</v>
      </c>
      <c r="H3194" t="s">
        <v>75</v>
      </c>
      <c r="I3194" t="s">
        <v>188</v>
      </c>
    </row>
    <row r="3195" spans="1:9" ht="15" customHeight="1" x14ac:dyDescent="0.35">
      <c r="A3195">
        <v>2024</v>
      </c>
      <c r="B3195" t="s">
        <v>149</v>
      </c>
      <c r="C3195">
        <v>2</v>
      </c>
      <c r="D3195" t="s">
        <v>110</v>
      </c>
      <c r="E3195">
        <v>15153</v>
      </c>
      <c r="F3195">
        <v>18147</v>
      </c>
      <c r="G3195">
        <v>11461</v>
      </c>
      <c r="H3195" t="s">
        <v>75</v>
      </c>
      <c r="I3195" t="s">
        <v>188</v>
      </c>
    </row>
    <row r="3196" spans="1:9" ht="15" customHeight="1" x14ac:dyDescent="0.35">
      <c r="A3196">
        <v>2024</v>
      </c>
      <c r="B3196" t="s">
        <v>150</v>
      </c>
      <c r="C3196">
        <v>3</v>
      </c>
      <c r="D3196" t="s">
        <v>110</v>
      </c>
      <c r="E3196">
        <v>16566</v>
      </c>
      <c r="F3196">
        <v>19576</v>
      </c>
      <c r="G3196">
        <v>13177</v>
      </c>
      <c r="H3196" t="s">
        <v>75</v>
      </c>
      <c r="I3196" t="s">
        <v>188</v>
      </c>
    </row>
    <row r="3197" spans="1:9" ht="15" customHeight="1" x14ac:dyDescent="0.35">
      <c r="A3197">
        <v>2024</v>
      </c>
      <c r="B3197" t="s">
        <v>151</v>
      </c>
      <c r="C3197">
        <v>4</v>
      </c>
      <c r="D3197" t="s">
        <v>110</v>
      </c>
      <c r="E3197">
        <v>16580</v>
      </c>
      <c r="F3197">
        <v>19576</v>
      </c>
      <c r="G3197">
        <v>13177</v>
      </c>
      <c r="H3197" t="s">
        <v>77</v>
      </c>
      <c r="I3197" t="s">
        <v>188</v>
      </c>
    </row>
    <row r="3198" spans="1:9" ht="15" customHeight="1" x14ac:dyDescent="0.35">
      <c r="A3198">
        <v>2024</v>
      </c>
      <c r="B3198" t="s">
        <v>152</v>
      </c>
      <c r="C3198">
        <v>5</v>
      </c>
      <c r="D3198" t="s">
        <v>110</v>
      </c>
      <c r="E3198">
        <v>16109</v>
      </c>
      <c r="F3198">
        <v>20393</v>
      </c>
      <c r="G3198">
        <v>11630</v>
      </c>
      <c r="H3198" t="s">
        <v>77</v>
      </c>
      <c r="I3198" t="s">
        <v>188</v>
      </c>
    </row>
    <row r="3199" spans="1:9" ht="15" customHeight="1" x14ac:dyDescent="0.35">
      <c r="A3199">
        <v>2024</v>
      </c>
      <c r="B3199" t="s">
        <v>153</v>
      </c>
      <c r="C3199">
        <v>6</v>
      </c>
      <c r="D3199" t="s">
        <v>110</v>
      </c>
      <c r="E3199">
        <v>15040</v>
      </c>
      <c r="F3199">
        <v>18133</v>
      </c>
      <c r="G3199">
        <v>11634</v>
      </c>
      <c r="H3199" t="s">
        <v>77</v>
      </c>
      <c r="I3199" t="s">
        <v>188</v>
      </c>
    </row>
    <row r="3200" spans="1:9" ht="15" customHeight="1" x14ac:dyDescent="0.35">
      <c r="A3200">
        <v>2024</v>
      </c>
      <c r="B3200" t="s">
        <v>154</v>
      </c>
      <c r="C3200">
        <v>7</v>
      </c>
      <c r="D3200" t="s">
        <v>110</v>
      </c>
      <c r="E3200">
        <v>15020</v>
      </c>
      <c r="F3200">
        <v>18205</v>
      </c>
      <c r="G3200">
        <v>11239</v>
      </c>
      <c r="H3200" t="s">
        <v>77</v>
      </c>
      <c r="I3200" t="s">
        <v>188</v>
      </c>
    </row>
    <row r="3201" spans="1:9" ht="15" customHeight="1" x14ac:dyDescent="0.35">
      <c r="A3201">
        <v>2024</v>
      </c>
      <c r="B3201" t="s">
        <v>155</v>
      </c>
      <c r="C3201">
        <v>8</v>
      </c>
      <c r="D3201" t="s">
        <v>110</v>
      </c>
      <c r="E3201">
        <v>14646</v>
      </c>
      <c r="F3201">
        <v>17969</v>
      </c>
      <c r="G3201">
        <v>10843</v>
      </c>
      <c r="H3201" t="s">
        <v>77</v>
      </c>
      <c r="I3201" t="s">
        <v>188</v>
      </c>
    </row>
    <row r="3202" spans="1:9" ht="15" customHeight="1" x14ac:dyDescent="0.35">
      <c r="A3202">
        <v>2024</v>
      </c>
      <c r="B3202" t="s">
        <v>156</v>
      </c>
      <c r="C3202">
        <v>9</v>
      </c>
      <c r="D3202" t="s">
        <v>110</v>
      </c>
      <c r="E3202">
        <v>15771</v>
      </c>
      <c r="F3202">
        <v>18879</v>
      </c>
      <c r="G3202">
        <v>11415</v>
      </c>
      <c r="H3202" t="s">
        <v>77</v>
      </c>
      <c r="I3202" t="s">
        <v>188</v>
      </c>
    </row>
    <row r="3203" spans="1:9" ht="15" customHeight="1" x14ac:dyDescent="0.35">
      <c r="A3203">
        <v>2024</v>
      </c>
      <c r="B3203" t="s">
        <v>157</v>
      </c>
      <c r="C3203">
        <v>10</v>
      </c>
      <c r="D3203" t="s">
        <v>110</v>
      </c>
      <c r="E3203">
        <v>13963</v>
      </c>
      <c r="F3203">
        <v>18005</v>
      </c>
      <c r="G3203">
        <v>9058</v>
      </c>
      <c r="H3203" t="s">
        <v>77</v>
      </c>
      <c r="I3203" t="s">
        <v>188</v>
      </c>
    </row>
    <row r="3204" spans="1:9" ht="15" customHeight="1" x14ac:dyDescent="0.35">
      <c r="A3204">
        <v>2024</v>
      </c>
      <c r="B3204" t="s">
        <v>158</v>
      </c>
      <c r="C3204">
        <v>11</v>
      </c>
      <c r="D3204" t="s">
        <v>110</v>
      </c>
      <c r="E3204">
        <v>13227</v>
      </c>
      <c r="F3204">
        <v>17916</v>
      </c>
      <c r="G3204">
        <v>9169</v>
      </c>
      <c r="H3204" t="s">
        <v>77</v>
      </c>
      <c r="I3204" t="s">
        <v>188</v>
      </c>
    </row>
    <row r="3205" spans="1:9" ht="15" customHeight="1" x14ac:dyDescent="0.35">
      <c r="A3205">
        <v>2024</v>
      </c>
      <c r="B3205" t="s">
        <v>159</v>
      </c>
      <c r="C3205">
        <v>12</v>
      </c>
      <c r="D3205" t="s">
        <v>110</v>
      </c>
      <c r="E3205">
        <v>12789</v>
      </c>
      <c r="F3205">
        <v>16044</v>
      </c>
      <c r="G3205">
        <v>7993</v>
      </c>
      <c r="H3205" t="s">
        <v>77</v>
      </c>
      <c r="I3205" t="s">
        <v>188</v>
      </c>
    </row>
    <row r="3206" spans="1:9" ht="15" customHeight="1" x14ac:dyDescent="0.35">
      <c r="A3206">
        <v>2025</v>
      </c>
      <c r="B3206" t="s">
        <v>147</v>
      </c>
      <c r="C3206">
        <v>1</v>
      </c>
      <c r="D3206" t="s">
        <v>110</v>
      </c>
      <c r="E3206">
        <v>13233</v>
      </c>
      <c r="F3206">
        <v>19376</v>
      </c>
      <c r="G3206">
        <v>8037</v>
      </c>
      <c r="H3206" t="s">
        <v>77</v>
      </c>
      <c r="I3206" t="s">
        <v>188</v>
      </c>
    </row>
    <row r="3207" spans="1:9" ht="15" customHeight="1" x14ac:dyDescent="0.35">
      <c r="A3207">
        <v>2025</v>
      </c>
      <c r="B3207" t="s">
        <v>149</v>
      </c>
      <c r="C3207">
        <v>2</v>
      </c>
      <c r="D3207" t="s">
        <v>110</v>
      </c>
      <c r="E3207">
        <v>15286</v>
      </c>
      <c r="F3207">
        <v>18787</v>
      </c>
      <c r="G3207">
        <v>11374</v>
      </c>
      <c r="H3207" t="s">
        <v>77</v>
      </c>
      <c r="I3207" t="s">
        <v>188</v>
      </c>
    </row>
    <row r="3208" spans="1:9" ht="15" customHeight="1" x14ac:dyDescent="0.35">
      <c r="A3208">
        <v>2025</v>
      </c>
      <c r="B3208" t="s">
        <v>150</v>
      </c>
      <c r="C3208">
        <v>3</v>
      </c>
      <c r="D3208" t="s">
        <v>110</v>
      </c>
      <c r="E3208">
        <v>16228</v>
      </c>
      <c r="F3208">
        <v>20125</v>
      </c>
      <c r="G3208">
        <v>11874</v>
      </c>
      <c r="H3208" t="s">
        <v>77</v>
      </c>
      <c r="I3208" t="s">
        <v>188</v>
      </c>
    </row>
    <row r="3209" spans="1:9" ht="15" customHeight="1" x14ac:dyDescent="0.35">
      <c r="A3209">
        <v>2025</v>
      </c>
      <c r="B3209" t="s">
        <v>151</v>
      </c>
      <c r="C3209">
        <v>4</v>
      </c>
      <c r="D3209" t="s">
        <v>110</v>
      </c>
      <c r="E3209">
        <v>16693</v>
      </c>
      <c r="F3209">
        <v>19976</v>
      </c>
      <c r="G3209">
        <v>12282</v>
      </c>
      <c r="H3209" t="s">
        <v>78</v>
      </c>
      <c r="I3209" t="s">
        <v>188</v>
      </c>
    </row>
    <row r="3210" spans="1:9" ht="15" customHeight="1" x14ac:dyDescent="0.35">
      <c r="A3210">
        <v>2025</v>
      </c>
      <c r="B3210" t="s">
        <v>152</v>
      </c>
      <c r="C3210">
        <v>5</v>
      </c>
      <c r="D3210" t="s">
        <v>110</v>
      </c>
      <c r="E3210">
        <v>15673</v>
      </c>
      <c r="F3210">
        <v>19477</v>
      </c>
      <c r="G3210">
        <v>11023</v>
      </c>
      <c r="H3210" t="s">
        <v>78</v>
      </c>
      <c r="I3210" t="s">
        <v>188</v>
      </c>
    </row>
    <row r="3211" spans="1:9" ht="15" customHeight="1" x14ac:dyDescent="0.35">
      <c r="A3211">
        <v>2025</v>
      </c>
      <c r="B3211" t="s">
        <v>153</v>
      </c>
      <c r="C3211">
        <v>6</v>
      </c>
      <c r="D3211" t="s">
        <v>110</v>
      </c>
      <c r="E3211">
        <v>16305</v>
      </c>
      <c r="F3211">
        <v>19780</v>
      </c>
      <c r="G3211">
        <v>12622</v>
      </c>
      <c r="H3211" t="s">
        <v>78</v>
      </c>
      <c r="I3211" t="s">
        <v>188</v>
      </c>
    </row>
    <row r="3212" spans="1:9" ht="15" customHeight="1" x14ac:dyDescent="0.35">
      <c r="A3212">
        <v>2025</v>
      </c>
      <c r="B3212" t="s">
        <v>154</v>
      </c>
      <c r="C3212">
        <v>7</v>
      </c>
      <c r="D3212" t="s">
        <v>110</v>
      </c>
      <c r="E3212">
        <v>16753</v>
      </c>
      <c r="F3212">
        <v>19987</v>
      </c>
      <c r="G3212">
        <v>12552</v>
      </c>
      <c r="H3212" t="s">
        <v>78</v>
      </c>
      <c r="I3212" t="s">
        <v>188</v>
      </c>
    </row>
    <row r="3213" spans="1:9" ht="15" customHeight="1" x14ac:dyDescent="0.35">
      <c r="A3213">
        <v>2025</v>
      </c>
      <c r="B3213" t="s">
        <v>155</v>
      </c>
      <c r="C3213">
        <v>8</v>
      </c>
      <c r="D3213" t="s">
        <v>110</v>
      </c>
      <c r="E3213">
        <v>15308</v>
      </c>
      <c r="F3213">
        <v>18806</v>
      </c>
      <c r="G3213">
        <v>11098</v>
      </c>
      <c r="H3213" t="s">
        <v>78</v>
      </c>
      <c r="I3213" t="s">
        <v>188</v>
      </c>
    </row>
    <row r="3214" spans="1:9" ht="15" customHeight="1" x14ac:dyDescent="0.35">
      <c r="A3214">
        <v>2025</v>
      </c>
      <c r="B3214" t="s">
        <v>156</v>
      </c>
      <c r="C3214">
        <v>9</v>
      </c>
      <c r="D3214" t="s">
        <v>110</v>
      </c>
      <c r="E3214">
        <v>15344</v>
      </c>
      <c r="F3214">
        <v>19688</v>
      </c>
      <c r="G3214">
        <v>11569</v>
      </c>
      <c r="H3214" t="s">
        <v>78</v>
      </c>
      <c r="I3214" t="s">
        <v>188</v>
      </c>
    </row>
    <row r="3215" spans="1:9" ht="15" customHeight="1" x14ac:dyDescent="0.35">
      <c r="A3215">
        <v>2025</v>
      </c>
      <c r="B3215" t="s">
        <v>157</v>
      </c>
      <c r="C3215">
        <v>10</v>
      </c>
      <c r="D3215" t="s">
        <v>110</v>
      </c>
      <c r="E3215">
        <v>13681</v>
      </c>
      <c r="F3215">
        <v>17836</v>
      </c>
      <c r="G3215">
        <v>7484</v>
      </c>
      <c r="H3215" t="s">
        <v>78</v>
      </c>
      <c r="I3215" t="s">
        <v>188</v>
      </c>
    </row>
    <row r="3216" spans="1:9" ht="15" customHeight="1" x14ac:dyDescent="0.35">
      <c r="A3216">
        <v>2025</v>
      </c>
      <c r="B3216" t="s">
        <v>158</v>
      </c>
      <c r="C3216">
        <v>11</v>
      </c>
      <c r="D3216" t="s">
        <v>110</v>
      </c>
      <c r="E3216">
        <v>14132</v>
      </c>
      <c r="F3216">
        <v>18093</v>
      </c>
      <c r="G3216">
        <v>9538</v>
      </c>
      <c r="H3216" t="s">
        <v>78</v>
      </c>
      <c r="I3216" t="s">
        <v>188</v>
      </c>
    </row>
    <row r="3217" spans="1:9" ht="15" customHeight="1" x14ac:dyDescent="0.35">
      <c r="A3217">
        <v>2025</v>
      </c>
      <c r="B3217" t="s">
        <v>159</v>
      </c>
      <c r="C3217">
        <v>12</v>
      </c>
      <c r="D3217" t="s">
        <v>110</v>
      </c>
      <c r="E3217">
        <v>13697</v>
      </c>
      <c r="F3217">
        <v>17649</v>
      </c>
      <c r="G3217">
        <v>8957</v>
      </c>
      <c r="H3217" t="s">
        <v>78</v>
      </c>
      <c r="I3217" t="s">
        <v>188</v>
      </c>
    </row>
    <row r="3218" spans="1:9" ht="15" customHeight="1" x14ac:dyDescent="0.35">
      <c r="A3218">
        <v>2026</v>
      </c>
      <c r="B3218" t="s">
        <v>147</v>
      </c>
      <c r="C3218">
        <v>1</v>
      </c>
      <c r="D3218" t="s">
        <v>110</v>
      </c>
      <c r="E3218">
        <v>13632</v>
      </c>
      <c r="F3218">
        <v>17359</v>
      </c>
      <c r="G3218">
        <v>8837</v>
      </c>
      <c r="H3218" t="s">
        <v>78</v>
      </c>
      <c r="I3218" t="s">
        <v>188</v>
      </c>
    </row>
    <row r="3219" spans="1:9" ht="15" customHeight="1" x14ac:dyDescent="0.35">
      <c r="A3219">
        <v>2026</v>
      </c>
      <c r="B3219" t="s">
        <v>149</v>
      </c>
      <c r="C3219">
        <v>2</v>
      </c>
      <c r="D3219" t="s">
        <v>110</v>
      </c>
      <c r="E3219">
        <v>15229</v>
      </c>
      <c r="F3219">
        <v>18743</v>
      </c>
      <c r="G3219">
        <v>10883</v>
      </c>
      <c r="H3219" t="s">
        <v>78</v>
      </c>
      <c r="I3219" t="s">
        <v>188</v>
      </c>
    </row>
    <row r="3220" spans="1:9" ht="15" customHeight="1" x14ac:dyDescent="0.35">
      <c r="A3220">
        <v>2026</v>
      </c>
      <c r="B3220" t="s">
        <v>150</v>
      </c>
      <c r="C3220">
        <v>3</v>
      </c>
      <c r="D3220" t="s">
        <v>110</v>
      </c>
      <c r="E3220">
        <v>13632</v>
      </c>
      <c r="F3220">
        <v>17359</v>
      </c>
      <c r="G3220">
        <v>8837</v>
      </c>
      <c r="H3220" t="s">
        <v>78</v>
      </c>
      <c r="I3220" t="s">
        <v>188</v>
      </c>
    </row>
    <row r="3221" spans="1:9" ht="15" customHeight="1" x14ac:dyDescent="0.35">
      <c r="A3221">
        <v>2017</v>
      </c>
      <c r="B3221" t="s">
        <v>147</v>
      </c>
      <c r="C3221">
        <v>1</v>
      </c>
      <c r="D3221" t="s">
        <v>111</v>
      </c>
      <c r="E3221">
        <v>6376</v>
      </c>
      <c r="F3221">
        <v>8046</v>
      </c>
      <c r="G3221">
        <v>4453</v>
      </c>
      <c r="H3221" t="s">
        <v>122</v>
      </c>
      <c r="I3221" t="s">
        <v>189</v>
      </c>
    </row>
    <row r="3222" spans="1:9" ht="15" customHeight="1" x14ac:dyDescent="0.35">
      <c r="A3222">
        <v>2017</v>
      </c>
      <c r="B3222" t="s">
        <v>149</v>
      </c>
      <c r="C3222">
        <v>2</v>
      </c>
      <c r="D3222" t="s">
        <v>111</v>
      </c>
      <c r="E3222">
        <v>6887</v>
      </c>
      <c r="F3222">
        <v>8376</v>
      </c>
      <c r="G3222">
        <v>5510</v>
      </c>
      <c r="H3222" t="s">
        <v>122</v>
      </c>
      <c r="I3222" t="s">
        <v>189</v>
      </c>
    </row>
    <row r="3223" spans="1:9" ht="15" customHeight="1" x14ac:dyDescent="0.35">
      <c r="A3223">
        <v>2017</v>
      </c>
      <c r="B3223" t="s">
        <v>150</v>
      </c>
      <c r="C3223">
        <v>3</v>
      </c>
      <c r="D3223" t="s">
        <v>111</v>
      </c>
      <c r="E3223">
        <v>7180</v>
      </c>
      <c r="F3223">
        <v>8415</v>
      </c>
      <c r="G3223">
        <v>5958</v>
      </c>
      <c r="H3223" t="s">
        <v>122</v>
      </c>
      <c r="I3223" t="s">
        <v>189</v>
      </c>
    </row>
    <row r="3224" spans="1:9" ht="15" customHeight="1" x14ac:dyDescent="0.35">
      <c r="A3224">
        <v>2017</v>
      </c>
      <c r="B3224" t="s">
        <v>151</v>
      </c>
      <c r="C3224">
        <v>4</v>
      </c>
      <c r="D3224" t="s">
        <v>111</v>
      </c>
      <c r="E3224">
        <v>6861</v>
      </c>
      <c r="F3224">
        <v>8376</v>
      </c>
      <c r="G3224">
        <v>4951</v>
      </c>
      <c r="H3224" t="s">
        <v>123</v>
      </c>
      <c r="I3224" t="s">
        <v>189</v>
      </c>
    </row>
    <row r="3225" spans="1:9" ht="15" customHeight="1" x14ac:dyDescent="0.35">
      <c r="A3225">
        <v>2017</v>
      </c>
      <c r="B3225" t="s">
        <v>152</v>
      </c>
      <c r="C3225">
        <v>5</v>
      </c>
      <c r="D3225" t="s">
        <v>111</v>
      </c>
      <c r="E3225">
        <v>5778</v>
      </c>
      <c r="F3225">
        <v>6844</v>
      </c>
      <c r="G3225">
        <v>3495</v>
      </c>
      <c r="H3225" t="s">
        <v>123</v>
      </c>
      <c r="I3225" t="s">
        <v>189</v>
      </c>
    </row>
    <row r="3226" spans="1:9" ht="15" customHeight="1" x14ac:dyDescent="0.35">
      <c r="A3226">
        <v>2017</v>
      </c>
      <c r="B3226" t="s">
        <v>153</v>
      </c>
      <c r="C3226">
        <v>6</v>
      </c>
      <c r="D3226" t="s">
        <v>111</v>
      </c>
      <c r="E3226">
        <v>5214</v>
      </c>
      <c r="F3226">
        <v>6612</v>
      </c>
      <c r="G3226">
        <v>4023</v>
      </c>
      <c r="H3226" t="s">
        <v>123</v>
      </c>
      <c r="I3226" t="s">
        <v>189</v>
      </c>
    </row>
    <row r="3227" spans="1:9" ht="15" customHeight="1" x14ac:dyDescent="0.35">
      <c r="A3227">
        <v>2017</v>
      </c>
      <c r="B3227" t="s">
        <v>154</v>
      </c>
      <c r="C3227">
        <v>7</v>
      </c>
      <c r="D3227" t="s">
        <v>111</v>
      </c>
      <c r="E3227">
        <v>6298</v>
      </c>
      <c r="F3227">
        <v>8140</v>
      </c>
      <c r="G3227">
        <v>4590</v>
      </c>
      <c r="H3227" t="s">
        <v>123</v>
      </c>
      <c r="I3227" t="s">
        <v>189</v>
      </c>
    </row>
    <row r="3228" spans="1:9" ht="15" customHeight="1" x14ac:dyDescent="0.35">
      <c r="A3228">
        <v>2017</v>
      </c>
      <c r="B3228" t="s">
        <v>155</v>
      </c>
      <c r="C3228">
        <v>8</v>
      </c>
      <c r="D3228" t="s">
        <v>111</v>
      </c>
      <c r="E3228">
        <v>6793</v>
      </c>
      <c r="F3228">
        <v>8508</v>
      </c>
      <c r="G3228">
        <v>4679</v>
      </c>
      <c r="H3228" t="s">
        <v>123</v>
      </c>
      <c r="I3228" t="s">
        <v>189</v>
      </c>
    </row>
    <row r="3229" spans="1:9" ht="15" customHeight="1" x14ac:dyDescent="0.35">
      <c r="A3229">
        <v>2017</v>
      </c>
      <c r="B3229" t="s">
        <v>156</v>
      </c>
      <c r="C3229">
        <v>9</v>
      </c>
      <c r="D3229" t="s">
        <v>111</v>
      </c>
      <c r="E3229">
        <v>7111</v>
      </c>
      <c r="F3229">
        <v>8995</v>
      </c>
      <c r="G3229">
        <v>5326</v>
      </c>
      <c r="H3229" t="s">
        <v>123</v>
      </c>
      <c r="I3229" t="s">
        <v>189</v>
      </c>
    </row>
    <row r="3230" spans="1:9" ht="15" customHeight="1" x14ac:dyDescent="0.35">
      <c r="A3230">
        <v>2017</v>
      </c>
      <c r="B3230" t="s">
        <v>157</v>
      </c>
      <c r="C3230">
        <v>10</v>
      </c>
      <c r="D3230" t="s">
        <v>111</v>
      </c>
      <c r="E3230">
        <v>6120</v>
      </c>
      <c r="F3230">
        <v>7164</v>
      </c>
      <c r="G3230">
        <v>4338</v>
      </c>
      <c r="H3230" t="s">
        <v>123</v>
      </c>
      <c r="I3230" t="s">
        <v>189</v>
      </c>
    </row>
    <row r="3231" spans="1:9" ht="15" customHeight="1" x14ac:dyDescent="0.35">
      <c r="A3231">
        <v>2017</v>
      </c>
      <c r="B3231" t="s">
        <v>158</v>
      </c>
      <c r="C3231">
        <v>11</v>
      </c>
      <c r="D3231" t="s">
        <v>111</v>
      </c>
      <c r="E3231">
        <v>6020</v>
      </c>
      <c r="F3231">
        <v>7494</v>
      </c>
      <c r="G3231">
        <v>4751</v>
      </c>
      <c r="H3231" t="s">
        <v>123</v>
      </c>
      <c r="I3231" t="s">
        <v>189</v>
      </c>
    </row>
    <row r="3232" spans="1:9" ht="15" customHeight="1" x14ac:dyDescent="0.35">
      <c r="A3232">
        <v>2017</v>
      </c>
      <c r="B3232" t="s">
        <v>159</v>
      </c>
      <c r="C3232">
        <v>12</v>
      </c>
      <c r="D3232" t="s">
        <v>111</v>
      </c>
      <c r="E3232">
        <v>6453</v>
      </c>
      <c r="F3232">
        <v>8891</v>
      </c>
      <c r="G3232">
        <v>4695</v>
      </c>
      <c r="H3232" t="s">
        <v>123</v>
      </c>
      <c r="I3232" t="s">
        <v>189</v>
      </c>
    </row>
    <row r="3233" spans="1:9" ht="15" customHeight="1" x14ac:dyDescent="0.35">
      <c r="A3233">
        <v>2018</v>
      </c>
      <c r="B3233" t="s">
        <v>147</v>
      </c>
      <c r="C3233">
        <v>1</v>
      </c>
      <c r="D3233" t="s">
        <v>111</v>
      </c>
      <c r="E3233">
        <v>7201</v>
      </c>
      <c r="F3233">
        <v>9003</v>
      </c>
      <c r="G3233">
        <v>5469</v>
      </c>
      <c r="H3233" t="s">
        <v>123</v>
      </c>
      <c r="I3233" t="s">
        <v>189</v>
      </c>
    </row>
    <row r="3234" spans="1:9" ht="15" customHeight="1" x14ac:dyDescent="0.35">
      <c r="A3234">
        <v>2018</v>
      </c>
      <c r="B3234" t="s">
        <v>149</v>
      </c>
      <c r="C3234">
        <v>2</v>
      </c>
      <c r="D3234" t="s">
        <v>111</v>
      </c>
      <c r="E3234">
        <v>7962</v>
      </c>
      <c r="F3234">
        <v>9939</v>
      </c>
      <c r="G3234">
        <v>5749</v>
      </c>
      <c r="H3234" t="s">
        <v>123</v>
      </c>
      <c r="I3234" t="s">
        <v>189</v>
      </c>
    </row>
    <row r="3235" spans="1:9" ht="15" customHeight="1" x14ac:dyDescent="0.35">
      <c r="A3235">
        <v>2018</v>
      </c>
      <c r="B3235" t="s">
        <v>150</v>
      </c>
      <c r="C3235">
        <v>3</v>
      </c>
      <c r="D3235" t="s">
        <v>111</v>
      </c>
      <c r="E3235">
        <v>8939</v>
      </c>
      <c r="F3235">
        <v>10175</v>
      </c>
      <c r="G3235">
        <v>4924</v>
      </c>
      <c r="H3235" t="s">
        <v>123</v>
      </c>
      <c r="I3235" t="s">
        <v>189</v>
      </c>
    </row>
    <row r="3236" spans="1:9" ht="15" customHeight="1" x14ac:dyDescent="0.35">
      <c r="A3236">
        <v>2018</v>
      </c>
      <c r="B3236" t="s">
        <v>151</v>
      </c>
      <c r="C3236">
        <v>4</v>
      </c>
      <c r="D3236" t="s">
        <v>111</v>
      </c>
      <c r="E3236">
        <v>7311</v>
      </c>
      <c r="F3236">
        <v>9015</v>
      </c>
      <c r="G3236">
        <v>4208</v>
      </c>
      <c r="H3236" t="s">
        <v>124</v>
      </c>
      <c r="I3236" t="s">
        <v>189</v>
      </c>
    </row>
    <row r="3237" spans="1:9" ht="15" customHeight="1" x14ac:dyDescent="0.35">
      <c r="A3237">
        <v>2018</v>
      </c>
      <c r="B3237" t="s">
        <v>152</v>
      </c>
      <c r="C3237">
        <v>5</v>
      </c>
      <c r="D3237" t="s">
        <v>111</v>
      </c>
      <c r="E3237">
        <v>6222</v>
      </c>
      <c r="F3237">
        <v>7620</v>
      </c>
      <c r="G3237">
        <v>4318</v>
      </c>
      <c r="H3237" t="s">
        <v>124</v>
      </c>
      <c r="I3237" t="s">
        <v>189</v>
      </c>
    </row>
    <row r="3238" spans="1:9" ht="15" customHeight="1" x14ac:dyDescent="0.35">
      <c r="A3238">
        <v>2018</v>
      </c>
      <c r="B3238" t="s">
        <v>153</v>
      </c>
      <c r="C3238">
        <v>6</v>
      </c>
      <c r="D3238" t="s">
        <v>111</v>
      </c>
      <c r="E3238">
        <v>6341</v>
      </c>
      <c r="F3238">
        <v>8437</v>
      </c>
      <c r="G3238">
        <v>4542</v>
      </c>
      <c r="H3238" t="s">
        <v>124</v>
      </c>
      <c r="I3238" t="s">
        <v>189</v>
      </c>
    </row>
    <row r="3239" spans="1:9" ht="15" customHeight="1" x14ac:dyDescent="0.35">
      <c r="A3239">
        <v>2018</v>
      </c>
      <c r="B3239" t="s">
        <v>154</v>
      </c>
      <c r="C3239">
        <v>7</v>
      </c>
      <c r="D3239" t="s">
        <v>111</v>
      </c>
      <c r="E3239">
        <v>7022</v>
      </c>
      <c r="F3239">
        <v>10214</v>
      </c>
      <c r="G3239">
        <v>4793</v>
      </c>
      <c r="H3239" t="s">
        <v>124</v>
      </c>
      <c r="I3239" t="s">
        <v>189</v>
      </c>
    </row>
    <row r="3240" spans="1:9" ht="15" customHeight="1" x14ac:dyDescent="0.35">
      <c r="A3240">
        <v>2018</v>
      </c>
      <c r="B3240" t="s">
        <v>155</v>
      </c>
      <c r="C3240">
        <v>8</v>
      </c>
      <c r="D3240" t="s">
        <v>111</v>
      </c>
      <c r="E3240">
        <v>7753</v>
      </c>
      <c r="F3240">
        <v>10026</v>
      </c>
      <c r="G3240">
        <v>4675</v>
      </c>
      <c r="H3240" t="s">
        <v>124</v>
      </c>
      <c r="I3240" t="s">
        <v>189</v>
      </c>
    </row>
    <row r="3241" spans="1:9" ht="15" customHeight="1" x14ac:dyDescent="0.35">
      <c r="A3241">
        <v>2018</v>
      </c>
      <c r="B3241" t="s">
        <v>156</v>
      </c>
      <c r="C3241">
        <v>9</v>
      </c>
      <c r="D3241" t="s">
        <v>111</v>
      </c>
      <c r="E3241">
        <v>8878</v>
      </c>
      <c r="F3241">
        <v>10692</v>
      </c>
      <c r="G3241">
        <v>6114</v>
      </c>
      <c r="H3241" t="s">
        <v>124</v>
      </c>
      <c r="I3241" t="s">
        <v>189</v>
      </c>
    </row>
    <row r="3242" spans="1:9" ht="15" customHeight="1" x14ac:dyDescent="0.35">
      <c r="A3242">
        <v>2018</v>
      </c>
      <c r="B3242" t="s">
        <v>157</v>
      </c>
      <c r="C3242">
        <v>10</v>
      </c>
      <c r="D3242" t="s">
        <v>111</v>
      </c>
      <c r="E3242">
        <v>9087</v>
      </c>
      <c r="F3242">
        <v>10861</v>
      </c>
      <c r="G3242">
        <v>7003</v>
      </c>
      <c r="H3242" t="s">
        <v>124</v>
      </c>
      <c r="I3242" t="s">
        <v>189</v>
      </c>
    </row>
    <row r="3243" spans="1:9" ht="15" customHeight="1" x14ac:dyDescent="0.35">
      <c r="A3243">
        <v>2018</v>
      </c>
      <c r="B3243" t="s">
        <v>158</v>
      </c>
      <c r="C3243">
        <v>11</v>
      </c>
      <c r="D3243" t="s">
        <v>111</v>
      </c>
      <c r="E3243">
        <v>7558</v>
      </c>
      <c r="F3243">
        <v>9486</v>
      </c>
      <c r="G3243">
        <v>5626</v>
      </c>
      <c r="H3243" t="s">
        <v>124</v>
      </c>
      <c r="I3243" t="s">
        <v>189</v>
      </c>
    </row>
    <row r="3244" spans="1:9" ht="15" customHeight="1" x14ac:dyDescent="0.35">
      <c r="A3244">
        <v>2018</v>
      </c>
      <c r="B3244" t="s">
        <v>159</v>
      </c>
      <c r="C3244">
        <v>12</v>
      </c>
      <c r="D3244" t="s">
        <v>111</v>
      </c>
      <c r="E3244">
        <v>6999</v>
      </c>
      <c r="F3244">
        <v>8782</v>
      </c>
      <c r="G3244">
        <v>4434</v>
      </c>
      <c r="H3244" t="s">
        <v>124</v>
      </c>
      <c r="I3244" t="s">
        <v>189</v>
      </c>
    </row>
    <row r="3245" spans="1:9" ht="15" customHeight="1" x14ac:dyDescent="0.35">
      <c r="A3245">
        <v>2019</v>
      </c>
      <c r="B3245" t="s">
        <v>147</v>
      </c>
      <c r="C3245">
        <v>1</v>
      </c>
      <c r="D3245" t="s">
        <v>111</v>
      </c>
      <c r="E3245">
        <v>7270</v>
      </c>
      <c r="F3245">
        <v>9046</v>
      </c>
      <c r="G3245">
        <v>4160</v>
      </c>
      <c r="H3245" t="s">
        <v>124</v>
      </c>
      <c r="I3245" t="s">
        <v>189</v>
      </c>
    </row>
    <row r="3246" spans="1:9" ht="15" customHeight="1" x14ac:dyDescent="0.35">
      <c r="A3246">
        <v>2019</v>
      </c>
      <c r="B3246" t="s">
        <v>149</v>
      </c>
      <c r="C3246">
        <v>2</v>
      </c>
      <c r="D3246" t="s">
        <v>111</v>
      </c>
      <c r="E3246">
        <v>8082</v>
      </c>
      <c r="F3246">
        <v>10051</v>
      </c>
      <c r="G3246">
        <v>5632</v>
      </c>
      <c r="H3246" t="s">
        <v>124</v>
      </c>
      <c r="I3246" t="s">
        <v>189</v>
      </c>
    </row>
    <row r="3247" spans="1:9" ht="15" customHeight="1" x14ac:dyDescent="0.35">
      <c r="A3247">
        <v>2019</v>
      </c>
      <c r="B3247" t="s">
        <v>150</v>
      </c>
      <c r="C3247">
        <v>3</v>
      </c>
      <c r="D3247" t="s">
        <v>111</v>
      </c>
      <c r="E3247">
        <v>9262</v>
      </c>
      <c r="F3247">
        <v>10337</v>
      </c>
      <c r="G3247">
        <v>7690</v>
      </c>
      <c r="H3247" t="s">
        <v>124</v>
      </c>
      <c r="I3247" t="s">
        <v>189</v>
      </c>
    </row>
    <row r="3248" spans="1:9" ht="15" customHeight="1" x14ac:dyDescent="0.35">
      <c r="A3248">
        <v>2019</v>
      </c>
      <c r="B3248" t="s">
        <v>151</v>
      </c>
      <c r="C3248">
        <v>4</v>
      </c>
      <c r="D3248" t="s">
        <v>111</v>
      </c>
      <c r="E3248">
        <v>7960</v>
      </c>
      <c r="F3248">
        <v>10026</v>
      </c>
      <c r="G3248">
        <v>6008</v>
      </c>
      <c r="H3248" t="s">
        <v>71</v>
      </c>
      <c r="I3248" t="s">
        <v>189</v>
      </c>
    </row>
    <row r="3249" spans="1:9" ht="15" customHeight="1" x14ac:dyDescent="0.35">
      <c r="A3249">
        <v>2019</v>
      </c>
      <c r="B3249" t="s">
        <v>152</v>
      </c>
      <c r="C3249">
        <v>5</v>
      </c>
      <c r="D3249" t="s">
        <v>111</v>
      </c>
      <c r="E3249">
        <v>7172</v>
      </c>
      <c r="F3249">
        <v>8500</v>
      </c>
      <c r="G3249">
        <v>5967</v>
      </c>
      <c r="H3249" t="s">
        <v>71</v>
      </c>
      <c r="I3249" t="s">
        <v>189</v>
      </c>
    </row>
    <row r="3250" spans="1:9" ht="15" customHeight="1" x14ac:dyDescent="0.35">
      <c r="A3250">
        <v>2019</v>
      </c>
      <c r="B3250" t="s">
        <v>153</v>
      </c>
      <c r="C3250">
        <v>6</v>
      </c>
      <c r="D3250" t="s">
        <v>111</v>
      </c>
      <c r="E3250">
        <v>6689</v>
      </c>
      <c r="F3250">
        <v>8009</v>
      </c>
      <c r="G3250">
        <v>4859</v>
      </c>
      <c r="H3250" t="s">
        <v>71</v>
      </c>
      <c r="I3250" t="s">
        <v>189</v>
      </c>
    </row>
    <row r="3251" spans="1:9" ht="15" customHeight="1" x14ac:dyDescent="0.35">
      <c r="A3251">
        <v>2019</v>
      </c>
      <c r="B3251" t="s">
        <v>154</v>
      </c>
      <c r="C3251">
        <v>7</v>
      </c>
      <c r="D3251" t="s">
        <v>111</v>
      </c>
      <c r="E3251">
        <v>6933</v>
      </c>
      <c r="F3251">
        <v>9340</v>
      </c>
      <c r="G3251">
        <v>4753</v>
      </c>
      <c r="H3251" t="s">
        <v>71</v>
      </c>
      <c r="I3251" t="s">
        <v>189</v>
      </c>
    </row>
    <row r="3252" spans="1:9" ht="15" customHeight="1" x14ac:dyDescent="0.35">
      <c r="A3252">
        <v>2019</v>
      </c>
      <c r="B3252" t="s">
        <v>155</v>
      </c>
      <c r="C3252">
        <v>8</v>
      </c>
      <c r="D3252" t="s">
        <v>111</v>
      </c>
      <c r="E3252">
        <v>8117</v>
      </c>
      <c r="F3252">
        <v>11507</v>
      </c>
      <c r="G3252">
        <v>4792</v>
      </c>
      <c r="H3252" t="s">
        <v>71</v>
      </c>
      <c r="I3252" t="s">
        <v>189</v>
      </c>
    </row>
    <row r="3253" spans="1:9" ht="15" customHeight="1" x14ac:dyDescent="0.35">
      <c r="A3253">
        <v>2019</v>
      </c>
      <c r="B3253" t="s">
        <v>156</v>
      </c>
      <c r="C3253">
        <v>9</v>
      </c>
      <c r="D3253" t="s">
        <v>111</v>
      </c>
      <c r="E3253">
        <v>7408</v>
      </c>
      <c r="F3253">
        <v>9416</v>
      </c>
      <c r="G3253">
        <v>5121</v>
      </c>
      <c r="H3253" t="s">
        <v>71</v>
      </c>
      <c r="I3253" t="s">
        <v>189</v>
      </c>
    </row>
    <row r="3254" spans="1:9" ht="15" customHeight="1" x14ac:dyDescent="0.35">
      <c r="A3254">
        <v>2019</v>
      </c>
      <c r="B3254" t="s">
        <v>157</v>
      </c>
      <c r="C3254">
        <v>10</v>
      </c>
      <c r="D3254" t="s">
        <v>111</v>
      </c>
      <c r="E3254">
        <v>6676</v>
      </c>
      <c r="F3254">
        <v>8379</v>
      </c>
      <c r="G3254">
        <v>4910</v>
      </c>
      <c r="H3254" t="s">
        <v>71</v>
      </c>
      <c r="I3254" t="s">
        <v>189</v>
      </c>
    </row>
    <row r="3255" spans="1:9" ht="15" customHeight="1" x14ac:dyDescent="0.35">
      <c r="A3255">
        <v>2019</v>
      </c>
      <c r="B3255" t="s">
        <v>158</v>
      </c>
      <c r="C3255">
        <v>11</v>
      </c>
      <c r="D3255" t="s">
        <v>111</v>
      </c>
      <c r="E3255">
        <v>7168</v>
      </c>
      <c r="F3255">
        <v>9242</v>
      </c>
      <c r="G3255">
        <v>5293</v>
      </c>
      <c r="H3255" t="s">
        <v>71</v>
      </c>
      <c r="I3255" t="s">
        <v>189</v>
      </c>
    </row>
    <row r="3256" spans="1:9" ht="15" customHeight="1" x14ac:dyDescent="0.35">
      <c r="A3256">
        <v>2019</v>
      </c>
      <c r="B3256" t="s">
        <v>159</v>
      </c>
      <c r="C3256">
        <v>12</v>
      </c>
      <c r="D3256" t="s">
        <v>111</v>
      </c>
      <c r="E3256">
        <v>8243</v>
      </c>
      <c r="F3256">
        <v>11121</v>
      </c>
      <c r="G3256">
        <v>5276</v>
      </c>
      <c r="H3256" t="s">
        <v>71</v>
      </c>
      <c r="I3256" t="s">
        <v>189</v>
      </c>
    </row>
    <row r="3257" spans="1:9" ht="15" customHeight="1" x14ac:dyDescent="0.35">
      <c r="A3257">
        <v>2020</v>
      </c>
      <c r="B3257" t="s">
        <v>147</v>
      </c>
      <c r="C3257">
        <v>1</v>
      </c>
      <c r="D3257" t="s">
        <v>111</v>
      </c>
      <c r="E3257">
        <v>8969</v>
      </c>
      <c r="F3257">
        <v>12140</v>
      </c>
      <c r="G3257">
        <v>6717</v>
      </c>
      <c r="H3257" t="s">
        <v>71</v>
      </c>
      <c r="I3257" t="s">
        <v>189</v>
      </c>
    </row>
    <row r="3258" spans="1:9" ht="15" customHeight="1" x14ac:dyDescent="0.35">
      <c r="A3258">
        <v>2020</v>
      </c>
      <c r="B3258" t="s">
        <v>149</v>
      </c>
      <c r="C3258">
        <v>2</v>
      </c>
      <c r="D3258" t="s">
        <v>111</v>
      </c>
      <c r="E3258">
        <v>9871</v>
      </c>
      <c r="F3258">
        <v>12983</v>
      </c>
      <c r="G3258">
        <v>7378</v>
      </c>
      <c r="H3258" t="s">
        <v>71</v>
      </c>
      <c r="I3258" t="s">
        <v>189</v>
      </c>
    </row>
    <row r="3259" spans="1:9" ht="15" customHeight="1" x14ac:dyDescent="0.35">
      <c r="A3259">
        <v>2020</v>
      </c>
      <c r="B3259" t="s">
        <v>150</v>
      </c>
      <c r="C3259">
        <v>3</v>
      </c>
      <c r="D3259" t="s">
        <v>111</v>
      </c>
      <c r="E3259">
        <v>9664</v>
      </c>
      <c r="F3259">
        <v>13053</v>
      </c>
      <c r="G3259">
        <v>6313</v>
      </c>
      <c r="H3259" t="s">
        <v>71</v>
      </c>
      <c r="I3259" t="s">
        <v>189</v>
      </c>
    </row>
    <row r="3260" spans="1:9" ht="15" customHeight="1" x14ac:dyDescent="0.35">
      <c r="A3260">
        <v>2020</v>
      </c>
      <c r="B3260" t="s">
        <v>151</v>
      </c>
      <c r="C3260">
        <v>4</v>
      </c>
      <c r="D3260" t="s">
        <v>111</v>
      </c>
      <c r="E3260">
        <v>6657</v>
      </c>
      <c r="F3260">
        <v>9783</v>
      </c>
      <c r="G3260">
        <v>4357</v>
      </c>
      <c r="H3260" t="s">
        <v>72</v>
      </c>
      <c r="I3260" t="s">
        <v>189</v>
      </c>
    </row>
    <row r="3261" spans="1:9" ht="15" customHeight="1" x14ac:dyDescent="0.35">
      <c r="A3261">
        <v>2020</v>
      </c>
      <c r="B3261" t="s">
        <v>152</v>
      </c>
      <c r="C3261">
        <v>5</v>
      </c>
      <c r="D3261" t="s">
        <v>111</v>
      </c>
      <c r="E3261">
        <v>6419</v>
      </c>
      <c r="F3261">
        <v>8989</v>
      </c>
      <c r="G3261">
        <v>4626</v>
      </c>
      <c r="H3261" t="s">
        <v>72</v>
      </c>
      <c r="I3261" t="s">
        <v>189</v>
      </c>
    </row>
    <row r="3262" spans="1:9" ht="15" customHeight="1" x14ac:dyDescent="0.35">
      <c r="A3262">
        <v>2020</v>
      </c>
      <c r="B3262" t="s">
        <v>153</v>
      </c>
      <c r="C3262">
        <v>6</v>
      </c>
      <c r="D3262" t="s">
        <v>111</v>
      </c>
      <c r="E3262">
        <v>6230</v>
      </c>
      <c r="F3262">
        <v>8537</v>
      </c>
      <c r="G3262">
        <v>4679</v>
      </c>
      <c r="H3262" t="s">
        <v>72</v>
      </c>
      <c r="I3262" t="s">
        <v>189</v>
      </c>
    </row>
    <row r="3263" spans="1:9" ht="15" customHeight="1" x14ac:dyDescent="0.35">
      <c r="A3263">
        <v>2020</v>
      </c>
      <c r="B3263" t="s">
        <v>154</v>
      </c>
      <c r="C3263">
        <v>7</v>
      </c>
      <c r="D3263" t="s">
        <v>111</v>
      </c>
      <c r="E3263">
        <v>7530</v>
      </c>
      <c r="F3263">
        <v>11020</v>
      </c>
      <c r="G3263">
        <v>5094</v>
      </c>
      <c r="H3263" t="s">
        <v>72</v>
      </c>
      <c r="I3263" t="s">
        <v>189</v>
      </c>
    </row>
    <row r="3264" spans="1:9" ht="15" customHeight="1" x14ac:dyDescent="0.35">
      <c r="A3264">
        <v>2020</v>
      </c>
      <c r="B3264" t="s">
        <v>155</v>
      </c>
      <c r="C3264">
        <v>8</v>
      </c>
      <c r="D3264" t="s">
        <v>111</v>
      </c>
      <c r="E3264">
        <v>7599</v>
      </c>
      <c r="F3264">
        <v>12596</v>
      </c>
      <c r="G3264">
        <v>3837</v>
      </c>
      <c r="H3264" t="s">
        <v>72</v>
      </c>
      <c r="I3264" t="s">
        <v>189</v>
      </c>
    </row>
    <row r="3265" spans="1:9" ht="15" customHeight="1" x14ac:dyDescent="0.35">
      <c r="A3265">
        <v>2020</v>
      </c>
      <c r="B3265" t="s">
        <v>156</v>
      </c>
      <c r="C3265">
        <v>9</v>
      </c>
      <c r="D3265" t="s">
        <v>111</v>
      </c>
      <c r="E3265">
        <v>7240</v>
      </c>
      <c r="F3265">
        <v>11452</v>
      </c>
      <c r="G3265">
        <v>4639</v>
      </c>
      <c r="H3265" t="s">
        <v>72</v>
      </c>
      <c r="I3265" t="s">
        <v>189</v>
      </c>
    </row>
    <row r="3266" spans="1:9" ht="15" customHeight="1" x14ac:dyDescent="0.35">
      <c r="A3266">
        <v>2020</v>
      </c>
      <c r="B3266" t="s">
        <v>157</v>
      </c>
      <c r="C3266">
        <v>10</v>
      </c>
      <c r="D3266" t="s">
        <v>111</v>
      </c>
      <c r="E3266">
        <v>6253</v>
      </c>
      <c r="F3266">
        <v>9658</v>
      </c>
      <c r="G3266">
        <v>2630</v>
      </c>
      <c r="H3266" t="s">
        <v>72</v>
      </c>
      <c r="I3266" t="s">
        <v>189</v>
      </c>
    </row>
    <row r="3267" spans="1:9" ht="15" customHeight="1" x14ac:dyDescent="0.35">
      <c r="A3267">
        <v>2020</v>
      </c>
      <c r="B3267" t="s">
        <v>158</v>
      </c>
      <c r="C3267">
        <v>11</v>
      </c>
      <c r="D3267" t="s">
        <v>111</v>
      </c>
      <c r="E3267">
        <v>5911</v>
      </c>
      <c r="F3267">
        <v>7294</v>
      </c>
      <c r="G3267">
        <v>3904</v>
      </c>
      <c r="H3267" t="s">
        <v>72</v>
      </c>
      <c r="I3267" t="s">
        <v>189</v>
      </c>
    </row>
    <row r="3268" spans="1:9" ht="15" customHeight="1" x14ac:dyDescent="0.35">
      <c r="A3268">
        <v>2020</v>
      </c>
      <c r="B3268" t="s">
        <v>159</v>
      </c>
      <c r="C3268">
        <v>12</v>
      </c>
      <c r="D3268" t="s">
        <v>111</v>
      </c>
      <c r="E3268">
        <v>7386</v>
      </c>
      <c r="F3268">
        <v>10873</v>
      </c>
      <c r="G3268">
        <v>4884</v>
      </c>
      <c r="H3268" t="s">
        <v>72</v>
      </c>
      <c r="I3268" t="s">
        <v>189</v>
      </c>
    </row>
    <row r="3269" spans="1:9" ht="15" customHeight="1" x14ac:dyDescent="0.35">
      <c r="A3269">
        <v>2021</v>
      </c>
      <c r="B3269" t="s">
        <v>147</v>
      </c>
      <c r="C3269">
        <v>1</v>
      </c>
      <c r="D3269" t="s">
        <v>111</v>
      </c>
      <c r="E3269">
        <v>9238</v>
      </c>
      <c r="F3269">
        <v>13063</v>
      </c>
      <c r="G3269">
        <v>5965</v>
      </c>
      <c r="H3269" t="s">
        <v>72</v>
      </c>
      <c r="I3269" t="s">
        <v>189</v>
      </c>
    </row>
    <row r="3270" spans="1:9" ht="15" customHeight="1" x14ac:dyDescent="0.35">
      <c r="A3270">
        <v>2021</v>
      </c>
      <c r="B3270" t="s">
        <v>149</v>
      </c>
      <c r="C3270">
        <v>2</v>
      </c>
      <c r="D3270" t="s">
        <v>111</v>
      </c>
      <c r="E3270">
        <v>10129</v>
      </c>
      <c r="F3270">
        <v>13422</v>
      </c>
      <c r="G3270">
        <v>7243</v>
      </c>
      <c r="H3270" t="s">
        <v>72</v>
      </c>
      <c r="I3270" t="s">
        <v>189</v>
      </c>
    </row>
    <row r="3271" spans="1:9" ht="15" customHeight="1" x14ac:dyDescent="0.35">
      <c r="A3271">
        <v>2021</v>
      </c>
      <c r="B3271" t="s">
        <v>150</v>
      </c>
      <c r="C3271">
        <v>3</v>
      </c>
      <c r="D3271" t="s">
        <v>111</v>
      </c>
      <c r="E3271">
        <v>11224</v>
      </c>
      <c r="F3271">
        <v>13910</v>
      </c>
      <c r="G3271">
        <v>7732</v>
      </c>
      <c r="H3271" t="s">
        <v>72</v>
      </c>
      <c r="I3271" t="s">
        <v>189</v>
      </c>
    </row>
    <row r="3272" spans="1:9" ht="15" customHeight="1" x14ac:dyDescent="0.35">
      <c r="A3272">
        <v>2021</v>
      </c>
      <c r="B3272" t="s">
        <v>151</v>
      </c>
      <c r="C3272">
        <v>4</v>
      </c>
      <c r="D3272" t="s">
        <v>111</v>
      </c>
      <c r="E3272">
        <v>9378</v>
      </c>
      <c r="F3272">
        <v>13464</v>
      </c>
      <c r="G3272">
        <v>5872</v>
      </c>
      <c r="H3272" t="s">
        <v>73</v>
      </c>
      <c r="I3272" t="s">
        <v>189</v>
      </c>
    </row>
    <row r="3273" spans="1:9" ht="15" customHeight="1" x14ac:dyDescent="0.35">
      <c r="A3273">
        <v>2021</v>
      </c>
      <c r="B3273" t="s">
        <v>152</v>
      </c>
      <c r="C3273">
        <v>5</v>
      </c>
      <c r="D3273" t="s">
        <v>111</v>
      </c>
      <c r="E3273">
        <v>6663</v>
      </c>
      <c r="F3273">
        <v>7977</v>
      </c>
      <c r="G3273">
        <v>5306</v>
      </c>
      <c r="H3273" t="s">
        <v>73</v>
      </c>
      <c r="I3273" t="s">
        <v>189</v>
      </c>
    </row>
    <row r="3274" spans="1:9" ht="15" customHeight="1" x14ac:dyDescent="0.35">
      <c r="A3274">
        <v>2021</v>
      </c>
      <c r="B3274" t="s">
        <v>153</v>
      </c>
      <c r="C3274">
        <v>6</v>
      </c>
      <c r="D3274" t="s">
        <v>111</v>
      </c>
      <c r="E3274">
        <v>7321</v>
      </c>
      <c r="F3274">
        <v>10865</v>
      </c>
      <c r="G3274">
        <v>4739</v>
      </c>
      <c r="H3274" t="s">
        <v>73</v>
      </c>
      <c r="I3274" t="s">
        <v>189</v>
      </c>
    </row>
    <row r="3275" spans="1:9" ht="15" customHeight="1" x14ac:dyDescent="0.35">
      <c r="A3275">
        <v>2021</v>
      </c>
      <c r="B3275" t="s">
        <v>154</v>
      </c>
      <c r="C3275">
        <v>7</v>
      </c>
      <c r="D3275" t="s">
        <v>111</v>
      </c>
      <c r="E3275">
        <v>7932</v>
      </c>
      <c r="F3275">
        <v>11412</v>
      </c>
      <c r="G3275">
        <v>4490</v>
      </c>
      <c r="H3275" t="s">
        <v>73</v>
      </c>
      <c r="I3275" t="s">
        <v>189</v>
      </c>
    </row>
    <row r="3276" spans="1:9" ht="15" customHeight="1" x14ac:dyDescent="0.35">
      <c r="A3276">
        <v>2021</v>
      </c>
      <c r="B3276" t="s">
        <v>155</v>
      </c>
      <c r="C3276">
        <v>8</v>
      </c>
      <c r="D3276" t="s">
        <v>111</v>
      </c>
      <c r="E3276">
        <v>8921</v>
      </c>
      <c r="F3276">
        <v>12641</v>
      </c>
      <c r="G3276">
        <v>5253</v>
      </c>
      <c r="H3276" t="s">
        <v>73</v>
      </c>
      <c r="I3276" t="s">
        <v>189</v>
      </c>
    </row>
    <row r="3277" spans="1:9" ht="15" customHeight="1" x14ac:dyDescent="0.35">
      <c r="A3277">
        <v>2021</v>
      </c>
      <c r="B3277" t="s">
        <v>156</v>
      </c>
      <c r="C3277">
        <v>9</v>
      </c>
      <c r="D3277" t="s">
        <v>111</v>
      </c>
      <c r="E3277">
        <v>7734</v>
      </c>
      <c r="F3277">
        <v>12380</v>
      </c>
      <c r="G3277">
        <v>4792</v>
      </c>
      <c r="H3277" t="s">
        <v>73</v>
      </c>
      <c r="I3277" t="s">
        <v>189</v>
      </c>
    </row>
    <row r="3278" spans="1:9" ht="15" customHeight="1" x14ac:dyDescent="0.35">
      <c r="A3278">
        <v>2021</v>
      </c>
      <c r="B3278" t="s">
        <v>157</v>
      </c>
      <c r="C3278">
        <v>10</v>
      </c>
      <c r="D3278" t="s">
        <v>111</v>
      </c>
      <c r="E3278">
        <v>8029</v>
      </c>
      <c r="F3278">
        <v>10533</v>
      </c>
      <c r="G3278">
        <v>5638</v>
      </c>
      <c r="H3278" t="s">
        <v>73</v>
      </c>
      <c r="I3278" t="s">
        <v>189</v>
      </c>
    </row>
    <row r="3279" spans="1:9" ht="15" customHeight="1" x14ac:dyDescent="0.35">
      <c r="A3279">
        <v>2021</v>
      </c>
      <c r="B3279" t="s">
        <v>158</v>
      </c>
      <c r="C3279">
        <v>11</v>
      </c>
      <c r="D3279" t="s">
        <v>111</v>
      </c>
      <c r="E3279">
        <v>6417</v>
      </c>
      <c r="F3279">
        <v>8232</v>
      </c>
      <c r="G3279">
        <v>4849</v>
      </c>
      <c r="H3279" t="s">
        <v>73</v>
      </c>
      <c r="I3279" t="s">
        <v>189</v>
      </c>
    </row>
    <row r="3280" spans="1:9" ht="15" customHeight="1" x14ac:dyDescent="0.35">
      <c r="A3280">
        <v>2021</v>
      </c>
      <c r="B3280" t="s">
        <v>159</v>
      </c>
      <c r="C3280">
        <v>12</v>
      </c>
      <c r="D3280" t="s">
        <v>111</v>
      </c>
      <c r="E3280">
        <v>7464</v>
      </c>
      <c r="F3280">
        <v>10880</v>
      </c>
      <c r="G3280">
        <v>5030</v>
      </c>
      <c r="H3280" t="s">
        <v>73</v>
      </c>
      <c r="I3280" t="s">
        <v>189</v>
      </c>
    </row>
    <row r="3281" spans="1:9" ht="15" customHeight="1" x14ac:dyDescent="0.35">
      <c r="A3281">
        <v>2022</v>
      </c>
      <c r="B3281" t="s">
        <v>147</v>
      </c>
      <c r="C3281">
        <v>1</v>
      </c>
      <c r="D3281" t="s">
        <v>111</v>
      </c>
      <c r="E3281">
        <v>8226</v>
      </c>
      <c r="F3281">
        <v>12167</v>
      </c>
      <c r="G3281">
        <v>5376</v>
      </c>
      <c r="H3281" t="s">
        <v>73</v>
      </c>
      <c r="I3281" t="s">
        <v>189</v>
      </c>
    </row>
    <row r="3282" spans="1:9" ht="15" customHeight="1" x14ac:dyDescent="0.35">
      <c r="A3282">
        <v>2022</v>
      </c>
      <c r="B3282" t="s">
        <v>149</v>
      </c>
      <c r="C3282">
        <v>2</v>
      </c>
      <c r="D3282" t="s">
        <v>111</v>
      </c>
      <c r="E3282">
        <v>9373</v>
      </c>
      <c r="F3282">
        <v>13037</v>
      </c>
      <c r="G3282">
        <v>5870</v>
      </c>
      <c r="H3282" t="s">
        <v>73</v>
      </c>
      <c r="I3282" t="s">
        <v>189</v>
      </c>
    </row>
    <row r="3283" spans="1:9" ht="15" customHeight="1" x14ac:dyDescent="0.35">
      <c r="A3283">
        <v>2022</v>
      </c>
      <c r="B3283" t="s">
        <v>150</v>
      </c>
      <c r="C3283">
        <v>3</v>
      </c>
      <c r="D3283" t="s">
        <v>111</v>
      </c>
      <c r="E3283">
        <v>11011</v>
      </c>
      <c r="F3283">
        <v>13928</v>
      </c>
      <c r="G3283">
        <v>7456</v>
      </c>
      <c r="H3283" t="s">
        <v>73</v>
      </c>
      <c r="I3283" t="s">
        <v>189</v>
      </c>
    </row>
    <row r="3284" spans="1:9" ht="15" customHeight="1" x14ac:dyDescent="0.35">
      <c r="A3284">
        <v>2022</v>
      </c>
      <c r="B3284" t="s">
        <v>151</v>
      </c>
      <c r="C3284">
        <v>4</v>
      </c>
      <c r="D3284" t="s">
        <v>111</v>
      </c>
      <c r="E3284">
        <v>10103</v>
      </c>
      <c r="F3284">
        <v>13389</v>
      </c>
      <c r="G3284">
        <v>6276</v>
      </c>
      <c r="H3284" t="s">
        <v>74</v>
      </c>
      <c r="I3284" t="s">
        <v>189</v>
      </c>
    </row>
    <row r="3285" spans="1:9" ht="15" customHeight="1" x14ac:dyDescent="0.35">
      <c r="A3285">
        <v>2022</v>
      </c>
      <c r="B3285" t="s">
        <v>152</v>
      </c>
      <c r="C3285">
        <v>5</v>
      </c>
      <c r="D3285" t="s">
        <v>111</v>
      </c>
      <c r="E3285">
        <v>7744</v>
      </c>
      <c r="F3285">
        <v>10303</v>
      </c>
      <c r="G3285">
        <v>5448</v>
      </c>
      <c r="H3285" t="s">
        <v>74</v>
      </c>
      <c r="I3285" t="s">
        <v>189</v>
      </c>
    </row>
    <row r="3286" spans="1:9" ht="15" customHeight="1" x14ac:dyDescent="0.35">
      <c r="A3286">
        <v>2022</v>
      </c>
      <c r="B3286" t="s">
        <v>153</v>
      </c>
      <c r="C3286">
        <v>6</v>
      </c>
      <c r="D3286" t="s">
        <v>111</v>
      </c>
      <c r="E3286">
        <v>7278</v>
      </c>
      <c r="F3286">
        <v>9468</v>
      </c>
      <c r="G3286">
        <v>5077</v>
      </c>
      <c r="H3286" t="s">
        <v>74</v>
      </c>
      <c r="I3286" t="s">
        <v>189</v>
      </c>
    </row>
    <row r="3287" spans="1:9" ht="15" customHeight="1" x14ac:dyDescent="0.35">
      <c r="A3287">
        <v>2022</v>
      </c>
      <c r="B3287" t="s">
        <v>154</v>
      </c>
      <c r="C3287">
        <v>7</v>
      </c>
      <c r="D3287" t="s">
        <v>111</v>
      </c>
      <c r="E3287">
        <v>7158</v>
      </c>
      <c r="F3287">
        <v>12245</v>
      </c>
      <c r="G3287">
        <v>3919</v>
      </c>
      <c r="H3287" t="s">
        <v>74</v>
      </c>
      <c r="I3287" t="s">
        <v>189</v>
      </c>
    </row>
    <row r="3288" spans="1:9" ht="15" customHeight="1" x14ac:dyDescent="0.35">
      <c r="A3288">
        <v>2022</v>
      </c>
      <c r="B3288" t="s">
        <v>155</v>
      </c>
      <c r="C3288">
        <v>8</v>
      </c>
      <c r="D3288" t="s">
        <v>111</v>
      </c>
      <c r="E3288">
        <v>8428</v>
      </c>
      <c r="F3288">
        <v>12857</v>
      </c>
      <c r="G3288">
        <v>4806</v>
      </c>
      <c r="H3288" t="s">
        <v>74</v>
      </c>
      <c r="I3288" t="s">
        <v>189</v>
      </c>
    </row>
    <row r="3289" spans="1:9" ht="15" customHeight="1" x14ac:dyDescent="0.35">
      <c r="A3289">
        <v>2022</v>
      </c>
      <c r="B3289" t="s">
        <v>156</v>
      </c>
      <c r="C3289">
        <v>9</v>
      </c>
      <c r="D3289" t="s">
        <v>111</v>
      </c>
      <c r="E3289">
        <v>8597</v>
      </c>
      <c r="F3289">
        <v>12995</v>
      </c>
      <c r="G3289">
        <v>4644</v>
      </c>
      <c r="H3289" t="s">
        <v>74</v>
      </c>
      <c r="I3289" t="s">
        <v>189</v>
      </c>
    </row>
    <row r="3290" spans="1:9" ht="15" customHeight="1" x14ac:dyDescent="0.35">
      <c r="A3290">
        <v>2022</v>
      </c>
      <c r="B3290" t="s">
        <v>157</v>
      </c>
      <c r="C3290">
        <v>10</v>
      </c>
      <c r="D3290" t="s">
        <v>111</v>
      </c>
      <c r="E3290">
        <v>7317</v>
      </c>
      <c r="F3290">
        <v>11636</v>
      </c>
      <c r="G3290">
        <v>4731</v>
      </c>
      <c r="H3290" t="s">
        <v>74</v>
      </c>
      <c r="I3290" t="s">
        <v>189</v>
      </c>
    </row>
    <row r="3291" spans="1:9" ht="15" customHeight="1" x14ac:dyDescent="0.35">
      <c r="A3291">
        <v>2022</v>
      </c>
      <c r="B3291" t="s">
        <v>158</v>
      </c>
      <c r="C3291">
        <v>11</v>
      </c>
      <c r="D3291" t="s">
        <v>111</v>
      </c>
      <c r="E3291">
        <v>7071</v>
      </c>
      <c r="F3291">
        <v>9710</v>
      </c>
      <c r="G3291">
        <v>4422</v>
      </c>
      <c r="H3291" t="s">
        <v>74</v>
      </c>
      <c r="I3291" t="s">
        <v>189</v>
      </c>
    </row>
    <row r="3292" spans="1:9" ht="15" customHeight="1" x14ac:dyDescent="0.35">
      <c r="A3292">
        <v>2022</v>
      </c>
      <c r="B3292" t="s">
        <v>159</v>
      </c>
      <c r="C3292">
        <v>12</v>
      </c>
      <c r="D3292" t="s">
        <v>111</v>
      </c>
      <c r="E3292">
        <v>8394</v>
      </c>
      <c r="F3292">
        <v>13770</v>
      </c>
      <c r="G3292">
        <v>4612</v>
      </c>
      <c r="H3292" t="s">
        <v>74</v>
      </c>
      <c r="I3292" t="s">
        <v>189</v>
      </c>
    </row>
    <row r="3293" spans="1:9" ht="15" customHeight="1" x14ac:dyDescent="0.35">
      <c r="A3293">
        <v>2023</v>
      </c>
      <c r="B3293" t="s">
        <v>147</v>
      </c>
      <c r="C3293">
        <v>1</v>
      </c>
      <c r="D3293" t="s">
        <v>111</v>
      </c>
      <c r="E3293">
        <v>9617</v>
      </c>
      <c r="F3293">
        <v>13800</v>
      </c>
      <c r="G3293">
        <v>5365</v>
      </c>
      <c r="H3293" t="s">
        <v>74</v>
      </c>
      <c r="I3293" t="s">
        <v>189</v>
      </c>
    </row>
    <row r="3294" spans="1:9" ht="15" customHeight="1" x14ac:dyDescent="0.35">
      <c r="A3294">
        <v>2023</v>
      </c>
      <c r="B3294" t="s">
        <v>149</v>
      </c>
      <c r="C3294">
        <v>2</v>
      </c>
      <c r="D3294" t="s">
        <v>111</v>
      </c>
      <c r="E3294">
        <v>11183</v>
      </c>
      <c r="F3294">
        <v>14546</v>
      </c>
      <c r="G3294">
        <v>6825</v>
      </c>
      <c r="H3294" t="s">
        <v>74</v>
      </c>
      <c r="I3294" t="s">
        <v>189</v>
      </c>
    </row>
    <row r="3295" spans="1:9" ht="15" customHeight="1" x14ac:dyDescent="0.35">
      <c r="A3295">
        <v>2023</v>
      </c>
      <c r="B3295" t="s">
        <v>150</v>
      </c>
      <c r="C3295">
        <v>3</v>
      </c>
      <c r="D3295" t="s">
        <v>111</v>
      </c>
      <c r="E3295">
        <v>11595</v>
      </c>
      <c r="F3295">
        <v>15211</v>
      </c>
      <c r="G3295">
        <v>6176</v>
      </c>
      <c r="H3295" t="s">
        <v>74</v>
      </c>
      <c r="I3295" t="s">
        <v>189</v>
      </c>
    </row>
    <row r="3296" spans="1:9" ht="15" customHeight="1" x14ac:dyDescent="0.35">
      <c r="A3296">
        <v>2023</v>
      </c>
      <c r="B3296" t="s">
        <v>151</v>
      </c>
      <c r="C3296">
        <v>4</v>
      </c>
      <c r="D3296" t="s">
        <v>111</v>
      </c>
      <c r="E3296">
        <v>9827</v>
      </c>
      <c r="F3296">
        <v>14216</v>
      </c>
      <c r="G3296">
        <v>5252</v>
      </c>
      <c r="H3296" t="s">
        <v>75</v>
      </c>
      <c r="I3296" t="s">
        <v>189</v>
      </c>
    </row>
    <row r="3297" spans="1:9" ht="15" customHeight="1" x14ac:dyDescent="0.35">
      <c r="A3297">
        <v>2023</v>
      </c>
      <c r="B3297" t="s">
        <v>152</v>
      </c>
      <c r="C3297">
        <v>5</v>
      </c>
      <c r="D3297" t="s">
        <v>111</v>
      </c>
      <c r="E3297">
        <v>7711</v>
      </c>
      <c r="F3297">
        <v>9675</v>
      </c>
      <c r="G3297">
        <v>4967</v>
      </c>
      <c r="H3297" t="s">
        <v>75</v>
      </c>
      <c r="I3297" t="s">
        <v>189</v>
      </c>
    </row>
    <row r="3298" spans="1:9" ht="15" customHeight="1" x14ac:dyDescent="0.35">
      <c r="A3298">
        <v>2023</v>
      </c>
      <c r="B3298" t="s">
        <v>153</v>
      </c>
      <c r="C3298">
        <v>6</v>
      </c>
      <c r="D3298" t="s">
        <v>111</v>
      </c>
      <c r="E3298">
        <v>8440</v>
      </c>
      <c r="F3298">
        <v>11190</v>
      </c>
      <c r="G3298">
        <v>5944</v>
      </c>
      <c r="H3298" t="s">
        <v>75</v>
      </c>
      <c r="I3298" t="s">
        <v>189</v>
      </c>
    </row>
    <row r="3299" spans="1:9" ht="15" customHeight="1" x14ac:dyDescent="0.35">
      <c r="A3299">
        <v>2023</v>
      </c>
      <c r="B3299" t="s">
        <v>154</v>
      </c>
      <c r="C3299">
        <v>7</v>
      </c>
      <c r="D3299" t="s">
        <v>111</v>
      </c>
      <c r="E3299">
        <v>8698</v>
      </c>
      <c r="F3299">
        <v>12405</v>
      </c>
      <c r="G3299">
        <v>3922</v>
      </c>
      <c r="H3299" t="s">
        <v>75</v>
      </c>
      <c r="I3299" t="s">
        <v>189</v>
      </c>
    </row>
    <row r="3300" spans="1:9" ht="15" customHeight="1" x14ac:dyDescent="0.35">
      <c r="A3300">
        <v>2023</v>
      </c>
      <c r="B3300" t="s">
        <v>155</v>
      </c>
      <c r="C3300">
        <v>8</v>
      </c>
      <c r="D3300" t="s">
        <v>111</v>
      </c>
      <c r="E3300">
        <v>10644</v>
      </c>
      <c r="F3300">
        <v>14577</v>
      </c>
      <c r="G3300">
        <v>6413</v>
      </c>
      <c r="H3300" t="s">
        <v>75</v>
      </c>
      <c r="I3300" t="s">
        <v>189</v>
      </c>
    </row>
    <row r="3301" spans="1:9" ht="15" customHeight="1" x14ac:dyDescent="0.35">
      <c r="A3301">
        <v>2023</v>
      </c>
      <c r="B3301" t="s">
        <v>156</v>
      </c>
      <c r="C3301">
        <v>9</v>
      </c>
      <c r="D3301" t="s">
        <v>111</v>
      </c>
      <c r="E3301">
        <v>9714</v>
      </c>
      <c r="F3301">
        <v>15142</v>
      </c>
      <c r="G3301">
        <v>5859</v>
      </c>
      <c r="H3301" t="s">
        <v>75</v>
      </c>
      <c r="I3301" t="s">
        <v>189</v>
      </c>
    </row>
    <row r="3302" spans="1:9" ht="15" customHeight="1" x14ac:dyDescent="0.35">
      <c r="A3302">
        <v>2023</v>
      </c>
      <c r="B3302" t="s">
        <v>157</v>
      </c>
      <c r="C3302">
        <v>10</v>
      </c>
      <c r="D3302" t="s">
        <v>111</v>
      </c>
      <c r="E3302">
        <v>11198</v>
      </c>
      <c r="F3302">
        <v>14975</v>
      </c>
      <c r="G3302">
        <v>7353</v>
      </c>
      <c r="H3302" t="s">
        <v>75</v>
      </c>
      <c r="I3302" t="s">
        <v>189</v>
      </c>
    </row>
    <row r="3303" spans="1:9" ht="15" customHeight="1" x14ac:dyDescent="0.35">
      <c r="A3303">
        <v>2023</v>
      </c>
      <c r="B3303" t="s">
        <v>158</v>
      </c>
      <c r="C3303">
        <v>11</v>
      </c>
      <c r="D3303" t="s">
        <v>111</v>
      </c>
      <c r="E3303">
        <v>8682</v>
      </c>
      <c r="F3303">
        <v>11638</v>
      </c>
      <c r="G3303">
        <v>6460</v>
      </c>
      <c r="H3303" t="s">
        <v>75</v>
      </c>
      <c r="I3303" t="s">
        <v>189</v>
      </c>
    </row>
    <row r="3304" spans="1:9" ht="15" customHeight="1" x14ac:dyDescent="0.35">
      <c r="A3304">
        <v>2023</v>
      </c>
      <c r="B3304" t="s">
        <v>159</v>
      </c>
      <c r="C3304">
        <v>12</v>
      </c>
      <c r="D3304" t="s">
        <v>111</v>
      </c>
      <c r="E3304">
        <v>8792</v>
      </c>
      <c r="F3304">
        <v>12514</v>
      </c>
      <c r="G3304">
        <v>5588</v>
      </c>
      <c r="H3304" t="s">
        <v>75</v>
      </c>
      <c r="I3304" t="s">
        <v>189</v>
      </c>
    </row>
    <row r="3305" spans="1:9" ht="15" customHeight="1" x14ac:dyDescent="0.35">
      <c r="A3305">
        <v>2024</v>
      </c>
      <c r="B3305" t="s">
        <v>147</v>
      </c>
      <c r="C3305">
        <v>1</v>
      </c>
      <c r="D3305" t="s">
        <v>111</v>
      </c>
      <c r="E3305">
        <v>10292</v>
      </c>
      <c r="F3305">
        <v>13590</v>
      </c>
      <c r="G3305">
        <v>6273</v>
      </c>
      <c r="H3305" t="s">
        <v>75</v>
      </c>
      <c r="I3305" t="s">
        <v>189</v>
      </c>
    </row>
    <row r="3306" spans="1:9" ht="15" customHeight="1" x14ac:dyDescent="0.35">
      <c r="A3306">
        <v>2024</v>
      </c>
      <c r="B3306" t="s">
        <v>149</v>
      </c>
      <c r="C3306">
        <v>2</v>
      </c>
      <c r="D3306" t="s">
        <v>111</v>
      </c>
      <c r="E3306">
        <v>11420</v>
      </c>
      <c r="F3306">
        <v>14956</v>
      </c>
      <c r="G3306">
        <v>6678</v>
      </c>
      <c r="H3306" t="s">
        <v>75</v>
      </c>
      <c r="I3306" t="s">
        <v>189</v>
      </c>
    </row>
    <row r="3307" spans="1:9" ht="15" customHeight="1" x14ac:dyDescent="0.35">
      <c r="A3307">
        <v>2024</v>
      </c>
      <c r="B3307" t="s">
        <v>150</v>
      </c>
      <c r="C3307">
        <v>3</v>
      </c>
      <c r="D3307" t="s">
        <v>111</v>
      </c>
      <c r="E3307">
        <v>12195</v>
      </c>
      <c r="F3307">
        <v>15268</v>
      </c>
      <c r="G3307">
        <v>7771</v>
      </c>
      <c r="H3307" t="s">
        <v>75</v>
      </c>
      <c r="I3307" t="s">
        <v>189</v>
      </c>
    </row>
    <row r="3308" spans="1:9" ht="15" customHeight="1" x14ac:dyDescent="0.35">
      <c r="A3308">
        <v>2024</v>
      </c>
      <c r="B3308" t="s">
        <v>151</v>
      </c>
      <c r="C3308">
        <v>4</v>
      </c>
      <c r="D3308" t="s">
        <v>111</v>
      </c>
      <c r="E3308">
        <v>12214</v>
      </c>
      <c r="F3308">
        <v>15268</v>
      </c>
      <c r="G3308">
        <v>7771</v>
      </c>
      <c r="H3308" t="s">
        <v>77</v>
      </c>
      <c r="I3308" t="s">
        <v>189</v>
      </c>
    </row>
    <row r="3309" spans="1:9" ht="15" customHeight="1" x14ac:dyDescent="0.35">
      <c r="A3309">
        <v>2024</v>
      </c>
      <c r="B3309" t="s">
        <v>152</v>
      </c>
      <c r="C3309">
        <v>5</v>
      </c>
      <c r="D3309" t="s">
        <v>111</v>
      </c>
      <c r="E3309">
        <v>8352</v>
      </c>
      <c r="F3309">
        <v>11006</v>
      </c>
      <c r="G3309">
        <v>4148</v>
      </c>
      <c r="H3309" t="s">
        <v>77</v>
      </c>
      <c r="I3309" t="s">
        <v>189</v>
      </c>
    </row>
    <row r="3310" spans="1:9" ht="15" customHeight="1" x14ac:dyDescent="0.35">
      <c r="A3310">
        <v>2024</v>
      </c>
      <c r="B3310" t="s">
        <v>153</v>
      </c>
      <c r="C3310">
        <v>6</v>
      </c>
      <c r="D3310" t="s">
        <v>111</v>
      </c>
      <c r="E3310">
        <v>8503</v>
      </c>
      <c r="F3310">
        <v>10947</v>
      </c>
      <c r="G3310">
        <v>6591</v>
      </c>
      <c r="H3310" t="s">
        <v>77</v>
      </c>
      <c r="I3310" t="s">
        <v>189</v>
      </c>
    </row>
    <row r="3311" spans="1:9" ht="15" customHeight="1" x14ac:dyDescent="0.35">
      <c r="A3311">
        <v>2024</v>
      </c>
      <c r="B3311" t="s">
        <v>154</v>
      </c>
      <c r="C3311">
        <v>7</v>
      </c>
      <c r="D3311" t="s">
        <v>111</v>
      </c>
      <c r="E3311">
        <v>9353</v>
      </c>
      <c r="F3311">
        <v>13498</v>
      </c>
      <c r="G3311">
        <v>6173</v>
      </c>
      <c r="H3311" t="s">
        <v>77</v>
      </c>
      <c r="I3311" t="s">
        <v>189</v>
      </c>
    </row>
    <row r="3312" spans="1:9" ht="15" customHeight="1" x14ac:dyDescent="0.35">
      <c r="A3312">
        <v>2024</v>
      </c>
      <c r="B3312" t="s">
        <v>155</v>
      </c>
      <c r="C3312">
        <v>8</v>
      </c>
      <c r="D3312" t="s">
        <v>111</v>
      </c>
      <c r="E3312">
        <v>11082</v>
      </c>
      <c r="F3312">
        <v>15474</v>
      </c>
      <c r="G3312">
        <v>6938</v>
      </c>
      <c r="H3312" t="s">
        <v>77</v>
      </c>
      <c r="I3312" t="s">
        <v>189</v>
      </c>
    </row>
    <row r="3313" spans="1:9" ht="15" customHeight="1" x14ac:dyDescent="0.35">
      <c r="A3313">
        <v>2024</v>
      </c>
      <c r="B3313" t="s">
        <v>156</v>
      </c>
      <c r="C3313">
        <v>9</v>
      </c>
      <c r="D3313" t="s">
        <v>111</v>
      </c>
      <c r="E3313">
        <v>9857</v>
      </c>
      <c r="F3313">
        <v>15529</v>
      </c>
      <c r="G3313">
        <v>5618</v>
      </c>
      <c r="H3313" t="s">
        <v>77</v>
      </c>
      <c r="I3313" t="s">
        <v>189</v>
      </c>
    </row>
    <row r="3314" spans="1:9" ht="15" customHeight="1" x14ac:dyDescent="0.35">
      <c r="A3314">
        <v>2024</v>
      </c>
      <c r="B3314" t="s">
        <v>157</v>
      </c>
      <c r="C3314">
        <v>10</v>
      </c>
      <c r="D3314" t="s">
        <v>111</v>
      </c>
      <c r="E3314">
        <v>9778</v>
      </c>
      <c r="F3314">
        <v>13661</v>
      </c>
      <c r="G3314">
        <v>6813</v>
      </c>
      <c r="H3314" t="s">
        <v>77</v>
      </c>
      <c r="I3314" t="s">
        <v>189</v>
      </c>
    </row>
    <row r="3315" spans="1:9" ht="15" customHeight="1" x14ac:dyDescent="0.35">
      <c r="A3315">
        <v>2024</v>
      </c>
      <c r="B3315" t="s">
        <v>158</v>
      </c>
      <c r="C3315">
        <v>11</v>
      </c>
      <c r="D3315" t="s">
        <v>111</v>
      </c>
      <c r="E3315">
        <v>8387</v>
      </c>
      <c r="F3315">
        <v>11083</v>
      </c>
      <c r="G3315">
        <v>6134</v>
      </c>
      <c r="H3315" t="s">
        <v>77</v>
      </c>
      <c r="I3315" t="s">
        <v>189</v>
      </c>
    </row>
    <row r="3316" spans="1:9" ht="15" customHeight="1" x14ac:dyDescent="0.35">
      <c r="A3316">
        <v>2024</v>
      </c>
      <c r="B3316" t="s">
        <v>159</v>
      </c>
      <c r="C3316">
        <v>12</v>
      </c>
      <c r="D3316" t="s">
        <v>111</v>
      </c>
      <c r="E3316">
        <v>10087</v>
      </c>
      <c r="F3316">
        <v>14066</v>
      </c>
      <c r="G3316">
        <v>6224</v>
      </c>
      <c r="H3316" t="s">
        <v>77</v>
      </c>
      <c r="I3316" t="s">
        <v>189</v>
      </c>
    </row>
    <row r="3317" spans="1:9" ht="15" customHeight="1" x14ac:dyDescent="0.35">
      <c r="A3317">
        <v>2025</v>
      </c>
      <c r="B3317" t="s">
        <v>147</v>
      </c>
      <c r="C3317">
        <v>1</v>
      </c>
      <c r="D3317" t="s">
        <v>111</v>
      </c>
      <c r="E3317">
        <v>11165</v>
      </c>
      <c r="F3317">
        <v>14834</v>
      </c>
      <c r="G3317">
        <v>6459</v>
      </c>
      <c r="H3317" t="s">
        <v>77</v>
      </c>
      <c r="I3317" t="s">
        <v>189</v>
      </c>
    </row>
    <row r="3318" spans="1:9" ht="15" customHeight="1" x14ac:dyDescent="0.35">
      <c r="A3318">
        <v>2025</v>
      </c>
      <c r="B3318" t="s">
        <v>149</v>
      </c>
      <c r="C3318">
        <v>2</v>
      </c>
      <c r="D3318" t="s">
        <v>111</v>
      </c>
      <c r="E3318">
        <v>12700</v>
      </c>
      <c r="F3318">
        <v>16504</v>
      </c>
      <c r="G3318">
        <v>7872</v>
      </c>
      <c r="H3318" t="s">
        <v>77</v>
      </c>
      <c r="I3318" t="s">
        <v>189</v>
      </c>
    </row>
    <row r="3319" spans="1:9" ht="15" customHeight="1" x14ac:dyDescent="0.35">
      <c r="A3319">
        <v>2025</v>
      </c>
      <c r="B3319" t="s">
        <v>150</v>
      </c>
      <c r="C3319">
        <v>3</v>
      </c>
      <c r="D3319" t="s">
        <v>111</v>
      </c>
      <c r="E3319">
        <v>13370</v>
      </c>
      <c r="F3319">
        <v>16756</v>
      </c>
      <c r="G3319">
        <v>8501</v>
      </c>
      <c r="H3319" t="s">
        <v>77</v>
      </c>
      <c r="I3319" t="s">
        <v>189</v>
      </c>
    </row>
    <row r="3320" spans="1:9" ht="15" customHeight="1" x14ac:dyDescent="0.35">
      <c r="A3320">
        <v>2025</v>
      </c>
      <c r="B3320" t="s">
        <v>151</v>
      </c>
      <c r="C3320">
        <v>4</v>
      </c>
      <c r="D3320" t="s">
        <v>111</v>
      </c>
      <c r="E3320">
        <v>10457</v>
      </c>
      <c r="F3320">
        <v>14689</v>
      </c>
      <c r="G3320">
        <v>7672</v>
      </c>
      <c r="H3320" t="s">
        <v>78</v>
      </c>
      <c r="I3320" t="s">
        <v>189</v>
      </c>
    </row>
    <row r="3321" spans="1:9" ht="15" customHeight="1" x14ac:dyDescent="0.35">
      <c r="A3321">
        <v>2025</v>
      </c>
      <c r="B3321" t="s">
        <v>152</v>
      </c>
      <c r="C3321">
        <v>5</v>
      </c>
      <c r="D3321" t="s">
        <v>111</v>
      </c>
      <c r="E3321">
        <v>8362</v>
      </c>
      <c r="F3321">
        <v>10505</v>
      </c>
      <c r="G3321">
        <v>6423</v>
      </c>
      <c r="H3321" t="s">
        <v>78</v>
      </c>
      <c r="I3321" t="s">
        <v>189</v>
      </c>
    </row>
    <row r="3322" spans="1:9" ht="15" customHeight="1" x14ac:dyDescent="0.35">
      <c r="A3322">
        <v>2025</v>
      </c>
      <c r="B3322" t="s">
        <v>153</v>
      </c>
      <c r="C3322">
        <v>6</v>
      </c>
      <c r="D3322" t="s">
        <v>111</v>
      </c>
      <c r="E3322">
        <v>8934</v>
      </c>
      <c r="F3322">
        <v>11568</v>
      </c>
      <c r="G3322">
        <v>6929</v>
      </c>
      <c r="H3322" t="s">
        <v>78</v>
      </c>
      <c r="I3322" t="s">
        <v>189</v>
      </c>
    </row>
    <row r="3323" spans="1:9" ht="15" customHeight="1" x14ac:dyDescent="0.35">
      <c r="A3323">
        <v>2025</v>
      </c>
      <c r="B3323" t="s">
        <v>154</v>
      </c>
      <c r="C3323">
        <v>7</v>
      </c>
      <c r="D3323" t="s">
        <v>111</v>
      </c>
      <c r="E3323">
        <v>10110</v>
      </c>
      <c r="F3323">
        <v>14719</v>
      </c>
      <c r="G3323">
        <v>6198</v>
      </c>
      <c r="H3323" t="s">
        <v>78</v>
      </c>
      <c r="I3323" t="s">
        <v>189</v>
      </c>
    </row>
    <row r="3324" spans="1:9" ht="15" customHeight="1" x14ac:dyDescent="0.35">
      <c r="A3324">
        <v>2025</v>
      </c>
      <c r="B3324" t="s">
        <v>155</v>
      </c>
      <c r="C3324">
        <v>8</v>
      </c>
      <c r="D3324" t="s">
        <v>111</v>
      </c>
      <c r="E3324">
        <v>10195</v>
      </c>
      <c r="F3324">
        <v>16475</v>
      </c>
      <c r="G3324">
        <v>6363</v>
      </c>
      <c r="H3324" t="s">
        <v>78</v>
      </c>
      <c r="I3324" t="s">
        <v>189</v>
      </c>
    </row>
    <row r="3325" spans="1:9" ht="15" customHeight="1" x14ac:dyDescent="0.35">
      <c r="A3325">
        <v>2025</v>
      </c>
      <c r="B3325" t="s">
        <v>156</v>
      </c>
      <c r="C3325">
        <v>9</v>
      </c>
      <c r="D3325" t="s">
        <v>111</v>
      </c>
      <c r="E3325">
        <v>9946</v>
      </c>
      <c r="F3325">
        <v>15698</v>
      </c>
      <c r="G3325">
        <v>5820</v>
      </c>
      <c r="H3325" t="s">
        <v>78</v>
      </c>
      <c r="I3325" t="s">
        <v>189</v>
      </c>
    </row>
    <row r="3326" spans="1:9" ht="15" customHeight="1" x14ac:dyDescent="0.35">
      <c r="A3326">
        <v>2025</v>
      </c>
      <c r="B3326" t="s">
        <v>157</v>
      </c>
      <c r="C3326">
        <v>10</v>
      </c>
      <c r="D3326" t="s">
        <v>111</v>
      </c>
      <c r="E3326">
        <v>8983</v>
      </c>
      <c r="F3326">
        <v>12724</v>
      </c>
      <c r="G3326">
        <v>5380</v>
      </c>
      <c r="H3326" t="s">
        <v>78</v>
      </c>
      <c r="I3326" t="s">
        <v>189</v>
      </c>
    </row>
    <row r="3327" spans="1:9" ht="15" customHeight="1" x14ac:dyDescent="0.35">
      <c r="A3327">
        <v>2025</v>
      </c>
      <c r="B3327" t="s">
        <v>158</v>
      </c>
      <c r="C3327">
        <v>11</v>
      </c>
      <c r="D3327" t="s">
        <v>111</v>
      </c>
      <c r="E3327">
        <v>7793</v>
      </c>
      <c r="F3327">
        <v>11030</v>
      </c>
      <c r="G3327">
        <v>5210</v>
      </c>
      <c r="H3327" t="s">
        <v>78</v>
      </c>
      <c r="I3327" t="s">
        <v>189</v>
      </c>
    </row>
    <row r="3328" spans="1:9" ht="15" customHeight="1" x14ac:dyDescent="0.35">
      <c r="A3328">
        <v>2025</v>
      </c>
      <c r="B3328" t="s">
        <v>159</v>
      </c>
      <c r="C3328">
        <v>12</v>
      </c>
      <c r="D3328" t="s">
        <v>111</v>
      </c>
      <c r="E3328">
        <v>9713</v>
      </c>
      <c r="F3328">
        <v>14570</v>
      </c>
      <c r="G3328">
        <v>5509</v>
      </c>
      <c r="H3328" t="s">
        <v>78</v>
      </c>
      <c r="I3328" t="s">
        <v>189</v>
      </c>
    </row>
    <row r="3329" spans="1:9" ht="15" customHeight="1" x14ac:dyDescent="0.35">
      <c r="A3329">
        <v>2026</v>
      </c>
      <c r="B3329" t="s">
        <v>147</v>
      </c>
      <c r="C3329">
        <v>1</v>
      </c>
      <c r="D3329" t="s">
        <v>111</v>
      </c>
      <c r="E3329">
        <v>11054</v>
      </c>
      <c r="F3329">
        <v>15882</v>
      </c>
      <c r="G3329">
        <v>6560</v>
      </c>
      <c r="H3329" t="s">
        <v>78</v>
      </c>
      <c r="I3329" t="s">
        <v>189</v>
      </c>
    </row>
    <row r="3330" spans="1:9" ht="15" customHeight="1" x14ac:dyDescent="0.35">
      <c r="A3330">
        <v>2026</v>
      </c>
      <c r="B3330" t="s">
        <v>149</v>
      </c>
      <c r="C3330">
        <v>2</v>
      </c>
      <c r="D3330" t="s">
        <v>111</v>
      </c>
      <c r="E3330">
        <v>12017</v>
      </c>
      <c r="F3330">
        <v>16722</v>
      </c>
      <c r="G3330">
        <v>6806</v>
      </c>
      <c r="H3330" t="s">
        <v>78</v>
      </c>
      <c r="I3330" t="s">
        <v>189</v>
      </c>
    </row>
    <row r="3331" spans="1:9" ht="15" customHeight="1" x14ac:dyDescent="0.35">
      <c r="A3331">
        <v>2026</v>
      </c>
      <c r="B3331" t="s">
        <v>150</v>
      </c>
      <c r="C3331">
        <v>3</v>
      </c>
      <c r="D3331" t="s">
        <v>111</v>
      </c>
      <c r="E3331">
        <v>11054</v>
      </c>
      <c r="F3331">
        <v>15882</v>
      </c>
      <c r="G3331">
        <v>6560</v>
      </c>
      <c r="H3331" t="s">
        <v>78</v>
      </c>
      <c r="I3331" t="s">
        <v>189</v>
      </c>
    </row>
    <row r="3332" spans="1:9" ht="15" customHeight="1" x14ac:dyDescent="0.35">
      <c r="A3332">
        <v>2017</v>
      </c>
      <c r="B3332" t="s">
        <v>147</v>
      </c>
      <c r="C3332">
        <v>1</v>
      </c>
      <c r="D3332" t="s">
        <v>112</v>
      </c>
      <c r="E3332">
        <v>201</v>
      </c>
      <c r="F3332">
        <v>337</v>
      </c>
      <c r="G3332">
        <v>117</v>
      </c>
      <c r="H3332" t="s">
        <v>122</v>
      </c>
      <c r="I3332" t="s">
        <v>190</v>
      </c>
    </row>
    <row r="3333" spans="1:9" ht="15" customHeight="1" x14ac:dyDescent="0.35">
      <c r="A3333">
        <v>2017</v>
      </c>
      <c r="B3333" t="s">
        <v>149</v>
      </c>
      <c r="C3333">
        <v>2</v>
      </c>
      <c r="D3333" t="s">
        <v>112</v>
      </c>
      <c r="E3333">
        <v>209</v>
      </c>
      <c r="F3333">
        <v>326</v>
      </c>
      <c r="G3333">
        <v>121</v>
      </c>
      <c r="H3333" t="s">
        <v>122</v>
      </c>
      <c r="I3333" t="s">
        <v>190</v>
      </c>
    </row>
    <row r="3334" spans="1:9" ht="15" customHeight="1" x14ac:dyDescent="0.35">
      <c r="A3334">
        <v>2017</v>
      </c>
      <c r="B3334" t="s">
        <v>150</v>
      </c>
      <c r="C3334">
        <v>3</v>
      </c>
      <c r="D3334" t="s">
        <v>112</v>
      </c>
      <c r="E3334">
        <v>194</v>
      </c>
      <c r="F3334">
        <v>349</v>
      </c>
      <c r="G3334">
        <v>41</v>
      </c>
      <c r="H3334" t="s">
        <v>122</v>
      </c>
      <c r="I3334" t="s">
        <v>190</v>
      </c>
    </row>
    <row r="3335" spans="1:9" ht="15" customHeight="1" x14ac:dyDescent="0.35">
      <c r="A3335">
        <v>2017</v>
      </c>
      <c r="B3335" t="s">
        <v>151</v>
      </c>
      <c r="C3335">
        <v>4</v>
      </c>
      <c r="D3335" t="s">
        <v>112</v>
      </c>
      <c r="E3335">
        <v>242</v>
      </c>
      <c r="F3335">
        <v>409</v>
      </c>
      <c r="G3335">
        <v>3</v>
      </c>
      <c r="H3335" t="s">
        <v>123</v>
      </c>
      <c r="I3335" t="s">
        <v>190</v>
      </c>
    </row>
    <row r="3336" spans="1:9" ht="15" customHeight="1" x14ac:dyDescent="0.35">
      <c r="A3336">
        <v>2017</v>
      </c>
      <c r="B3336" t="s">
        <v>152</v>
      </c>
      <c r="C3336">
        <v>5</v>
      </c>
      <c r="D3336" t="s">
        <v>112</v>
      </c>
      <c r="E3336">
        <v>154</v>
      </c>
      <c r="F3336">
        <v>276</v>
      </c>
      <c r="G3336">
        <v>19</v>
      </c>
      <c r="H3336" t="s">
        <v>123</v>
      </c>
      <c r="I3336" t="s">
        <v>190</v>
      </c>
    </row>
    <row r="3337" spans="1:9" ht="15" customHeight="1" x14ac:dyDescent="0.35">
      <c r="A3337">
        <v>2017</v>
      </c>
      <c r="B3337" t="s">
        <v>153</v>
      </c>
      <c r="C3337">
        <v>6</v>
      </c>
      <c r="D3337" t="s">
        <v>112</v>
      </c>
      <c r="E3337">
        <v>200</v>
      </c>
      <c r="F3337">
        <v>428</v>
      </c>
      <c r="G3337">
        <v>69</v>
      </c>
      <c r="H3337" t="s">
        <v>123</v>
      </c>
      <c r="I3337" t="s">
        <v>190</v>
      </c>
    </row>
    <row r="3338" spans="1:9" ht="15" customHeight="1" x14ac:dyDescent="0.35">
      <c r="A3338">
        <v>2017</v>
      </c>
      <c r="B3338" t="s">
        <v>154</v>
      </c>
      <c r="C3338">
        <v>7</v>
      </c>
      <c r="D3338" t="s">
        <v>112</v>
      </c>
      <c r="E3338">
        <v>170</v>
      </c>
      <c r="F3338">
        <v>387</v>
      </c>
      <c r="G3338">
        <v>77</v>
      </c>
      <c r="H3338" t="s">
        <v>123</v>
      </c>
      <c r="I3338" t="s">
        <v>190</v>
      </c>
    </row>
    <row r="3339" spans="1:9" ht="15" customHeight="1" x14ac:dyDescent="0.35">
      <c r="A3339">
        <v>2017</v>
      </c>
      <c r="B3339" t="s">
        <v>155</v>
      </c>
      <c r="C3339">
        <v>8</v>
      </c>
      <c r="D3339" t="s">
        <v>112</v>
      </c>
      <c r="E3339">
        <v>280</v>
      </c>
      <c r="F3339">
        <v>418</v>
      </c>
      <c r="G3339">
        <v>135</v>
      </c>
      <c r="H3339" t="s">
        <v>123</v>
      </c>
      <c r="I3339" t="s">
        <v>190</v>
      </c>
    </row>
    <row r="3340" spans="1:9" ht="15" customHeight="1" x14ac:dyDescent="0.35">
      <c r="A3340">
        <v>2017</v>
      </c>
      <c r="B3340" t="s">
        <v>156</v>
      </c>
      <c r="C3340">
        <v>9</v>
      </c>
      <c r="D3340" t="s">
        <v>112</v>
      </c>
      <c r="E3340">
        <v>177</v>
      </c>
      <c r="F3340">
        <v>292</v>
      </c>
      <c r="G3340">
        <v>96</v>
      </c>
      <c r="H3340" t="s">
        <v>123</v>
      </c>
      <c r="I3340" t="s">
        <v>190</v>
      </c>
    </row>
    <row r="3341" spans="1:9" ht="15" customHeight="1" x14ac:dyDescent="0.35">
      <c r="A3341">
        <v>2017</v>
      </c>
      <c r="B3341" t="s">
        <v>157</v>
      </c>
      <c r="C3341">
        <v>10</v>
      </c>
      <c r="D3341" t="s">
        <v>112</v>
      </c>
      <c r="E3341">
        <v>165</v>
      </c>
      <c r="F3341">
        <v>294</v>
      </c>
      <c r="G3341">
        <v>17</v>
      </c>
      <c r="H3341" t="s">
        <v>123</v>
      </c>
      <c r="I3341" t="s">
        <v>190</v>
      </c>
    </row>
    <row r="3342" spans="1:9" ht="15" customHeight="1" x14ac:dyDescent="0.35">
      <c r="A3342">
        <v>2017</v>
      </c>
      <c r="B3342" t="s">
        <v>158</v>
      </c>
      <c r="C3342">
        <v>11</v>
      </c>
      <c r="D3342" t="s">
        <v>112</v>
      </c>
      <c r="E3342">
        <v>110</v>
      </c>
      <c r="F3342">
        <v>256</v>
      </c>
      <c r="G3342">
        <v>59</v>
      </c>
      <c r="H3342" t="s">
        <v>123</v>
      </c>
      <c r="I3342" t="s">
        <v>190</v>
      </c>
    </row>
    <row r="3343" spans="1:9" ht="15" customHeight="1" x14ac:dyDescent="0.35">
      <c r="A3343">
        <v>2017</v>
      </c>
      <c r="B3343" t="s">
        <v>159</v>
      </c>
      <c r="C3343">
        <v>12</v>
      </c>
      <c r="D3343" t="s">
        <v>112</v>
      </c>
      <c r="E3343">
        <v>120</v>
      </c>
      <c r="F3343">
        <v>285</v>
      </c>
      <c r="G3343">
        <v>33</v>
      </c>
      <c r="H3343" t="s">
        <v>123</v>
      </c>
      <c r="I3343" t="s">
        <v>190</v>
      </c>
    </row>
    <row r="3344" spans="1:9" ht="15" customHeight="1" x14ac:dyDescent="0.35">
      <c r="A3344">
        <v>2018</v>
      </c>
      <c r="B3344" t="s">
        <v>147</v>
      </c>
      <c r="C3344">
        <v>1</v>
      </c>
      <c r="D3344" t="s">
        <v>112</v>
      </c>
      <c r="E3344">
        <v>126</v>
      </c>
      <c r="F3344">
        <v>282</v>
      </c>
      <c r="G3344">
        <v>0</v>
      </c>
      <c r="H3344" t="s">
        <v>123</v>
      </c>
      <c r="I3344" t="s">
        <v>190</v>
      </c>
    </row>
    <row r="3345" spans="1:9" ht="15" customHeight="1" x14ac:dyDescent="0.35">
      <c r="A3345">
        <v>2018</v>
      </c>
      <c r="B3345" t="s">
        <v>149</v>
      </c>
      <c r="C3345">
        <v>2</v>
      </c>
      <c r="D3345" t="s">
        <v>112</v>
      </c>
      <c r="E3345">
        <v>112</v>
      </c>
      <c r="F3345">
        <v>226</v>
      </c>
      <c r="G3345">
        <v>7</v>
      </c>
      <c r="H3345" t="s">
        <v>123</v>
      </c>
      <c r="I3345" t="s">
        <v>190</v>
      </c>
    </row>
    <row r="3346" spans="1:9" ht="15" customHeight="1" x14ac:dyDescent="0.35">
      <c r="A3346">
        <v>2018</v>
      </c>
      <c r="B3346" t="s">
        <v>150</v>
      </c>
      <c r="C3346">
        <v>3</v>
      </c>
      <c r="D3346" t="s">
        <v>112</v>
      </c>
      <c r="E3346">
        <v>118</v>
      </c>
      <c r="F3346">
        <v>250</v>
      </c>
      <c r="G3346">
        <v>-7</v>
      </c>
      <c r="H3346" t="s">
        <v>123</v>
      </c>
      <c r="I3346" t="s">
        <v>190</v>
      </c>
    </row>
    <row r="3347" spans="1:9" ht="15" customHeight="1" x14ac:dyDescent="0.35">
      <c r="A3347">
        <v>2018</v>
      </c>
      <c r="B3347" t="s">
        <v>151</v>
      </c>
      <c r="C3347">
        <v>4</v>
      </c>
      <c r="D3347" t="s">
        <v>112</v>
      </c>
      <c r="E3347">
        <v>130</v>
      </c>
      <c r="F3347">
        <v>253</v>
      </c>
      <c r="G3347">
        <v>6</v>
      </c>
      <c r="H3347" t="s">
        <v>124</v>
      </c>
      <c r="I3347" t="s">
        <v>190</v>
      </c>
    </row>
    <row r="3348" spans="1:9" ht="15" customHeight="1" x14ac:dyDescent="0.35">
      <c r="A3348">
        <v>2018</v>
      </c>
      <c r="B3348" t="s">
        <v>152</v>
      </c>
      <c r="C3348">
        <v>5</v>
      </c>
      <c r="D3348" t="s">
        <v>112</v>
      </c>
      <c r="E3348">
        <v>130</v>
      </c>
      <c r="F3348">
        <v>237</v>
      </c>
      <c r="G3348">
        <v>26</v>
      </c>
      <c r="H3348" t="s">
        <v>124</v>
      </c>
      <c r="I3348" t="s">
        <v>190</v>
      </c>
    </row>
    <row r="3349" spans="1:9" ht="15" customHeight="1" x14ac:dyDescent="0.35">
      <c r="A3349">
        <v>2018</v>
      </c>
      <c r="B3349" t="s">
        <v>153</v>
      </c>
      <c r="C3349">
        <v>6</v>
      </c>
      <c r="D3349" t="s">
        <v>112</v>
      </c>
      <c r="E3349">
        <v>171</v>
      </c>
      <c r="F3349">
        <v>263</v>
      </c>
      <c r="G3349">
        <v>58</v>
      </c>
      <c r="H3349" t="s">
        <v>124</v>
      </c>
      <c r="I3349" t="s">
        <v>190</v>
      </c>
    </row>
    <row r="3350" spans="1:9" ht="15" customHeight="1" x14ac:dyDescent="0.35">
      <c r="A3350">
        <v>2018</v>
      </c>
      <c r="B3350" t="s">
        <v>154</v>
      </c>
      <c r="C3350">
        <v>7</v>
      </c>
      <c r="D3350" t="s">
        <v>112</v>
      </c>
      <c r="E3350">
        <v>179</v>
      </c>
      <c r="F3350">
        <v>273</v>
      </c>
      <c r="G3350">
        <v>116</v>
      </c>
      <c r="H3350" t="s">
        <v>124</v>
      </c>
      <c r="I3350" t="s">
        <v>190</v>
      </c>
    </row>
    <row r="3351" spans="1:9" ht="15" customHeight="1" x14ac:dyDescent="0.35">
      <c r="A3351">
        <v>2018</v>
      </c>
      <c r="B3351" t="s">
        <v>155</v>
      </c>
      <c r="C3351">
        <v>8</v>
      </c>
      <c r="D3351" t="s">
        <v>112</v>
      </c>
      <c r="E3351">
        <v>190</v>
      </c>
      <c r="F3351">
        <v>283</v>
      </c>
      <c r="G3351">
        <v>133</v>
      </c>
      <c r="H3351" t="s">
        <v>124</v>
      </c>
      <c r="I3351" t="s">
        <v>190</v>
      </c>
    </row>
    <row r="3352" spans="1:9" ht="15" customHeight="1" x14ac:dyDescent="0.35">
      <c r="A3352">
        <v>2018</v>
      </c>
      <c r="B3352" t="s">
        <v>156</v>
      </c>
      <c r="C3352">
        <v>9</v>
      </c>
      <c r="D3352" t="s">
        <v>112</v>
      </c>
      <c r="E3352">
        <v>191</v>
      </c>
      <c r="F3352">
        <v>290</v>
      </c>
      <c r="G3352">
        <v>109</v>
      </c>
      <c r="H3352" t="s">
        <v>124</v>
      </c>
      <c r="I3352" t="s">
        <v>190</v>
      </c>
    </row>
    <row r="3353" spans="1:9" ht="15" customHeight="1" x14ac:dyDescent="0.35">
      <c r="A3353">
        <v>2018</v>
      </c>
      <c r="B3353" t="s">
        <v>157</v>
      </c>
      <c r="C3353">
        <v>10</v>
      </c>
      <c r="D3353" t="s">
        <v>112</v>
      </c>
      <c r="E3353">
        <v>173</v>
      </c>
      <c r="F3353">
        <v>279</v>
      </c>
      <c r="G3353">
        <v>105</v>
      </c>
      <c r="H3353" t="s">
        <v>124</v>
      </c>
      <c r="I3353" t="s">
        <v>190</v>
      </c>
    </row>
    <row r="3354" spans="1:9" ht="15" customHeight="1" x14ac:dyDescent="0.35">
      <c r="A3354">
        <v>2018</v>
      </c>
      <c r="B3354" t="s">
        <v>158</v>
      </c>
      <c r="C3354">
        <v>11</v>
      </c>
      <c r="D3354" t="s">
        <v>112</v>
      </c>
      <c r="E3354">
        <v>148</v>
      </c>
      <c r="F3354">
        <v>236</v>
      </c>
      <c r="G3354">
        <v>102</v>
      </c>
      <c r="H3354" t="s">
        <v>124</v>
      </c>
      <c r="I3354" t="s">
        <v>190</v>
      </c>
    </row>
    <row r="3355" spans="1:9" ht="15" customHeight="1" x14ac:dyDescent="0.35">
      <c r="A3355">
        <v>2018</v>
      </c>
      <c r="B3355" t="s">
        <v>159</v>
      </c>
      <c r="C3355">
        <v>12</v>
      </c>
      <c r="D3355" t="s">
        <v>112</v>
      </c>
      <c r="E3355">
        <v>143</v>
      </c>
      <c r="F3355">
        <v>222</v>
      </c>
      <c r="G3355">
        <v>74</v>
      </c>
      <c r="H3355" t="s">
        <v>124</v>
      </c>
      <c r="I3355" t="s">
        <v>190</v>
      </c>
    </row>
    <row r="3356" spans="1:9" ht="15" customHeight="1" x14ac:dyDescent="0.35">
      <c r="A3356">
        <v>2019</v>
      </c>
      <c r="B3356" t="s">
        <v>147</v>
      </c>
      <c r="C3356">
        <v>1</v>
      </c>
      <c r="D3356" t="s">
        <v>112</v>
      </c>
      <c r="E3356">
        <v>149</v>
      </c>
      <c r="F3356">
        <v>318</v>
      </c>
      <c r="G3356">
        <v>20</v>
      </c>
      <c r="H3356" t="s">
        <v>124</v>
      </c>
      <c r="I3356" t="s">
        <v>190</v>
      </c>
    </row>
    <row r="3357" spans="1:9" ht="15" customHeight="1" x14ac:dyDescent="0.35">
      <c r="A3357">
        <v>2019</v>
      </c>
      <c r="B3357" t="s">
        <v>149</v>
      </c>
      <c r="C3357">
        <v>2</v>
      </c>
      <c r="D3357" t="s">
        <v>112</v>
      </c>
      <c r="E3357">
        <v>116</v>
      </c>
      <c r="F3357">
        <v>205</v>
      </c>
      <c r="G3357">
        <v>18</v>
      </c>
      <c r="H3357" t="s">
        <v>124</v>
      </c>
      <c r="I3357" t="s">
        <v>190</v>
      </c>
    </row>
    <row r="3358" spans="1:9" ht="15" customHeight="1" x14ac:dyDescent="0.35">
      <c r="A3358">
        <v>2019</v>
      </c>
      <c r="B3358" t="s">
        <v>150</v>
      </c>
      <c r="C3358">
        <v>3</v>
      </c>
      <c r="D3358" t="s">
        <v>112</v>
      </c>
      <c r="E3358">
        <v>148</v>
      </c>
      <c r="F3358">
        <v>268</v>
      </c>
      <c r="G3358">
        <v>72</v>
      </c>
      <c r="H3358" t="s">
        <v>124</v>
      </c>
      <c r="I3358" t="s">
        <v>190</v>
      </c>
    </row>
    <row r="3359" spans="1:9" ht="15" customHeight="1" x14ac:dyDescent="0.35">
      <c r="A3359">
        <v>2019</v>
      </c>
      <c r="B3359" t="s">
        <v>151</v>
      </c>
      <c r="C3359">
        <v>4</v>
      </c>
      <c r="D3359" t="s">
        <v>112</v>
      </c>
      <c r="E3359">
        <v>182</v>
      </c>
      <c r="F3359">
        <v>295</v>
      </c>
      <c r="G3359">
        <v>94</v>
      </c>
      <c r="H3359" t="s">
        <v>71</v>
      </c>
      <c r="I3359" t="s">
        <v>190</v>
      </c>
    </row>
    <row r="3360" spans="1:9" ht="15" customHeight="1" x14ac:dyDescent="0.35">
      <c r="A3360">
        <v>2019</v>
      </c>
      <c r="B3360" t="s">
        <v>152</v>
      </c>
      <c r="C3360">
        <v>5</v>
      </c>
      <c r="D3360" t="s">
        <v>112</v>
      </c>
      <c r="E3360">
        <v>181</v>
      </c>
      <c r="F3360">
        <v>288</v>
      </c>
      <c r="G3360">
        <v>65</v>
      </c>
      <c r="H3360" t="s">
        <v>71</v>
      </c>
      <c r="I3360" t="s">
        <v>190</v>
      </c>
    </row>
    <row r="3361" spans="1:9" ht="15" customHeight="1" x14ac:dyDescent="0.35">
      <c r="A3361">
        <v>2019</v>
      </c>
      <c r="B3361" t="s">
        <v>153</v>
      </c>
      <c r="C3361">
        <v>6</v>
      </c>
      <c r="D3361" t="s">
        <v>112</v>
      </c>
      <c r="E3361">
        <v>198</v>
      </c>
      <c r="F3361">
        <v>284</v>
      </c>
      <c r="G3361">
        <v>104</v>
      </c>
      <c r="H3361" t="s">
        <v>71</v>
      </c>
      <c r="I3361" t="s">
        <v>190</v>
      </c>
    </row>
    <row r="3362" spans="1:9" ht="15" customHeight="1" x14ac:dyDescent="0.35">
      <c r="A3362">
        <v>2019</v>
      </c>
      <c r="B3362" t="s">
        <v>154</v>
      </c>
      <c r="C3362">
        <v>7</v>
      </c>
      <c r="D3362" t="s">
        <v>112</v>
      </c>
      <c r="E3362">
        <v>184</v>
      </c>
      <c r="F3362">
        <v>281</v>
      </c>
      <c r="G3362">
        <v>99</v>
      </c>
      <c r="H3362" t="s">
        <v>71</v>
      </c>
      <c r="I3362" t="s">
        <v>190</v>
      </c>
    </row>
    <row r="3363" spans="1:9" ht="15" customHeight="1" x14ac:dyDescent="0.35">
      <c r="A3363">
        <v>2019</v>
      </c>
      <c r="B3363" t="s">
        <v>155</v>
      </c>
      <c r="C3363">
        <v>8</v>
      </c>
      <c r="D3363" t="s">
        <v>112</v>
      </c>
      <c r="E3363">
        <v>201</v>
      </c>
      <c r="F3363">
        <v>311</v>
      </c>
      <c r="G3363">
        <v>107</v>
      </c>
      <c r="H3363" t="s">
        <v>71</v>
      </c>
      <c r="I3363" t="s">
        <v>190</v>
      </c>
    </row>
    <row r="3364" spans="1:9" ht="15" customHeight="1" x14ac:dyDescent="0.35">
      <c r="A3364">
        <v>2019</v>
      </c>
      <c r="B3364" t="s">
        <v>156</v>
      </c>
      <c r="C3364">
        <v>9</v>
      </c>
      <c r="D3364" t="s">
        <v>112</v>
      </c>
      <c r="E3364">
        <v>199</v>
      </c>
      <c r="F3364">
        <v>331</v>
      </c>
      <c r="G3364">
        <v>98</v>
      </c>
      <c r="H3364" t="s">
        <v>71</v>
      </c>
      <c r="I3364" t="s">
        <v>190</v>
      </c>
    </row>
    <row r="3365" spans="1:9" ht="15" customHeight="1" x14ac:dyDescent="0.35">
      <c r="A3365">
        <v>2019</v>
      </c>
      <c r="B3365" t="s">
        <v>157</v>
      </c>
      <c r="C3365">
        <v>10</v>
      </c>
      <c r="D3365" t="s">
        <v>112</v>
      </c>
      <c r="E3365">
        <v>185</v>
      </c>
      <c r="F3365">
        <v>288</v>
      </c>
      <c r="G3365">
        <v>110</v>
      </c>
      <c r="H3365" t="s">
        <v>71</v>
      </c>
      <c r="I3365" t="s">
        <v>190</v>
      </c>
    </row>
    <row r="3366" spans="1:9" ht="15" customHeight="1" x14ac:dyDescent="0.35">
      <c r="A3366">
        <v>2019</v>
      </c>
      <c r="B3366" t="s">
        <v>158</v>
      </c>
      <c r="C3366">
        <v>11</v>
      </c>
      <c r="D3366" t="s">
        <v>112</v>
      </c>
      <c r="E3366">
        <v>155</v>
      </c>
      <c r="F3366">
        <v>249</v>
      </c>
      <c r="G3366">
        <v>88</v>
      </c>
      <c r="H3366" t="s">
        <v>71</v>
      </c>
      <c r="I3366" t="s">
        <v>190</v>
      </c>
    </row>
    <row r="3367" spans="1:9" ht="15" customHeight="1" x14ac:dyDescent="0.35">
      <c r="A3367">
        <v>2019</v>
      </c>
      <c r="B3367" t="s">
        <v>159</v>
      </c>
      <c r="C3367">
        <v>12</v>
      </c>
      <c r="D3367" t="s">
        <v>112</v>
      </c>
      <c r="E3367">
        <v>148</v>
      </c>
      <c r="F3367">
        <v>223</v>
      </c>
      <c r="G3367">
        <v>82</v>
      </c>
      <c r="H3367" t="s">
        <v>71</v>
      </c>
      <c r="I3367" t="s">
        <v>190</v>
      </c>
    </row>
    <row r="3368" spans="1:9" ht="15" customHeight="1" x14ac:dyDescent="0.35">
      <c r="A3368">
        <v>2020</v>
      </c>
      <c r="B3368" t="s">
        <v>147</v>
      </c>
      <c r="C3368">
        <v>1</v>
      </c>
      <c r="D3368" t="s">
        <v>112</v>
      </c>
      <c r="E3368">
        <v>145</v>
      </c>
      <c r="F3368">
        <v>222</v>
      </c>
      <c r="G3368">
        <v>94</v>
      </c>
      <c r="H3368" t="s">
        <v>71</v>
      </c>
      <c r="I3368" t="s">
        <v>190</v>
      </c>
    </row>
    <row r="3369" spans="1:9" ht="15" customHeight="1" x14ac:dyDescent="0.35">
      <c r="A3369">
        <v>2020</v>
      </c>
      <c r="B3369" t="s">
        <v>149</v>
      </c>
      <c r="C3369">
        <v>2</v>
      </c>
      <c r="D3369" t="s">
        <v>112</v>
      </c>
      <c r="E3369">
        <v>145</v>
      </c>
      <c r="F3369">
        <v>230</v>
      </c>
      <c r="G3369">
        <v>75</v>
      </c>
      <c r="H3369" t="s">
        <v>71</v>
      </c>
      <c r="I3369" t="s">
        <v>190</v>
      </c>
    </row>
    <row r="3370" spans="1:9" ht="15" customHeight="1" x14ac:dyDescent="0.35">
      <c r="A3370">
        <v>2020</v>
      </c>
      <c r="B3370" t="s">
        <v>150</v>
      </c>
      <c r="C3370">
        <v>3</v>
      </c>
      <c r="D3370" t="s">
        <v>112</v>
      </c>
      <c r="E3370">
        <v>154</v>
      </c>
      <c r="F3370">
        <v>249</v>
      </c>
      <c r="G3370">
        <v>84</v>
      </c>
      <c r="H3370" t="s">
        <v>71</v>
      </c>
      <c r="I3370" t="s">
        <v>190</v>
      </c>
    </row>
    <row r="3371" spans="1:9" ht="15" customHeight="1" x14ac:dyDescent="0.35">
      <c r="A3371">
        <v>2020</v>
      </c>
      <c r="B3371" t="s">
        <v>151</v>
      </c>
      <c r="C3371">
        <v>4</v>
      </c>
      <c r="D3371" t="s">
        <v>112</v>
      </c>
      <c r="E3371">
        <v>148</v>
      </c>
      <c r="F3371">
        <v>261</v>
      </c>
      <c r="G3371">
        <v>46</v>
      </c>
      <c r="H3371" t="s">
        <v>72</v>
      </c>
      <c r="I3371" t="s">
        <v>190</v>
      </c>
    </row>
    <row r="3372" spans="1:9" ht="15" customHeight="1" x14ac:dyDescent="0.35">
      <c r="A3372">
        <v>2020</v>
      </c>
      <c r="B3372" t="s">
        <v>152</v>
      </c>
      <c r="C3372">
        <v>5</v>
      </c>
      <c r="D3372" t="s">
        <v>112</v>
      </c>
      <c r="E3372">
        <v>174</v>
      </c>
      <c r="F3372">
        <v>296</v>
      </c>
      <c r="G3372">
        <v>52</v>
      </c>
      <c r="H3372" t="s">
        <v>72</v>
      </c>
      <c r="I3372" t="s">
        <v>190</v>
      </c>
    </row>
    <row r="3373" spans="1:9" ht="15" customHeight="1" x14ac:dyDescent="0.35">
      <c r="A3373">
        <v>2020</v>
      </c>
      <c r="B3373" t="s">
        <v>153</v>
      </c>
      <c r="C3373">
        <v>6</v>
      </c>
      <c r="D3373" t="s">
        <v>112</v>
      </c>
      <c r="E3373">
        <v>194</v>
      </c>
      <c r="F3373">
        <v>287</v>
      </c>
      <c r="G3373">
        <v>91</v>
      </c>
      <c r="H3373" t="s">
        <v>72</v>
      </c>
      <c r="I3373" t="s">
        <v>190</v>
      </c>
    </row>
    <row r="3374" spans="1:9" ht="15" customHeight="1" x14ac:dyDescent="0.35">
      <c r="A3374">
        <v>2020</v>
      </c>
      <c r="B3374" t="s">
        <v>154</v>
      </c>
      <c r="C3374">
        <v>7</v>
      </c>
      <c r="D3374" t="s">
        <v>112</v>
      </c>
      <c r="E3374">
        <v>202</v>
      </c>
      <c r="F3374">
        <v>294</v>
      </c>
      <c r="G3374">
        <v>114</v>
      </c>
      <c r="H3374" t="s">
        <v>72</v>
      </c>
      <c r="I3374" t="s">
        <v>190</v>
      </c>
    </row>
    <row r="3375" spans="1:9" ht="15" customHeight="1" x14ac:dyDescent="0.35">
      <c r="A3375">
        <v>2020</v>
      </c>
      <c r="B3375" t="s">
        <v>155</v>
      </c>
      <c r="C3375">
        <v>8</v>
      </c>
      <c r="D3375" t="s">
        <v>112</v>
      </c>
      <c r="E3375">
        <v>206</v>
      </c>
      <c r="F3375">
        <v>294</v>
      </c>
      <c r="G3375">
        <v>119</v>
      </c>
      <c r="H3375" t="s">
        <v>72</v>
      </c>
      <c r="I3375" t="s">
        <v>190</v>
      </c>
    </row>
    <row r="3376" spans="1:9" ht="15" customHeight="1" x14ac:dyDescent="0.35">
      <c r="A3376">
        <v>2020</v>
      </c>
      <c r="B3376" t="s">
        <v>156</v>
      </c>
      <c r="C3376">
        <v>9</v>
      </c>
      <c r="D3376" t="s">
        <v>112</v>
      </c>
      <c r="E3376">
        <v>206</v>
      </c>
      <c r="F3376">
        <v>309</v>
      </c>
      <c r="G3376">
        <v>118</v>
      </c>
      <c r="H3376" t="s">
        <v>72</v>
      </c>
      <c r="I3376" t="s">
        <v>190</v>
      </c>
    </row>
    <row r="3377" spans="1:9" ht="15" customHeight="1" x14ac:dyDescent="0.35">
      <c r="A3377">
        <v>2020</v>
      </c>
      <c r="B3377" t="s">
        <v>157</v>
      </c>
      <c r="C3377">
        <v>10</v>
      </c>
      <c r="D3377" t="s">
        <v>112</v>
      </c>
      <c r="E3377">
        <v>200</v>
      </c>
      <c r="F3377">
        <v>303</v>
      </c>
      <c r="G3377">
        <v>73</v>
      </c>
      <c r="H3377" t="s">
        <v>72</v>
      </c>
      <c r="I3377" t="s">
        <v>190</v>
      </c>
    </row>
    <row r="3378" spans="1:9" ht="15" customHeight="1" x14ac:dyDescent="0.35">
      <c r="A3378">
        <v>2020</v>
      </c>
      <c r="B3378" t="s">
        <v>158</v>
      </c>
      <c r="C3378">
        <v>11</v>
      </c>
      <c r="D3378" t="s">
        <v>112</v>
      </c>
      <c r="E3378">
        <v>152</v>
      </c>
      <c r="F3378">
        <v>268</v>
      </c>
      <c r="G3378">
        <v>96</v>
      </c>
      <c r="H3378" t="s">
        <v>72</v>
      </c>
      <c r="I3378" t="s">
        <v>190</v>
      </c>
    </row>
    <row r="3379" spans="1:9" ht="15" customHeight="1" x14ac:dyDescent="0.35">
      <c r="A3379">
        <v>2020</v>
      </c>
      <c r="B3379" t="s">
        <v>159</v>
      </c>
      <c r="C3379">
        <v>12</v>
      </c>
      <c r="D3379" t="s">
        <v>112</v>
      </c>
      <c r="E3379">
        <v>139</v>
      </c>
      <c r="F3379">
        <v>267</v>
      </c>
      <c r="G3379">
        <v>46</v>
      </c>
      <c r="H3379" t="s">
        <v>72</v>
      </c>
      <c r="I3379" t="s">
        <v>190</v>
      </c>
    </row>
    <row r="3380" spans="1:9" ht="15" customHeight="1" x14ac:dyDescent="0.35">
      <c r="A3380">
        <v>2021</v>
      </c>
      <c r="B3380" t="s">
        <v>147</v>
      </c>
      <c r="C3380">
        <v>1</v>
      </c>
      <c r="D3380" t="s">
        <v>112</v>
      </c>
      <c r="E3380">
        <v>145</v>
      </c>
      <c r="F3380">
        <v>221</v>
      </c>
      <c r="G3380">
        <v>68</v>
      </c>
      <c r="H3380" t="s">
        <v>72</v>
      </c>
      <c r="I3380" t="s">
        <v>190</v>
      </c>
    </row>
    <row r="3381" spans="1:9" ht="15" customHeight="1" x14ac:dyDescent="0.35">
      <c r="A3381">
        <v>2021</v>
      </c>
      <c r="B3381" t="s">
        <v>149</v>
      </c>
      <c r="C3381">
        <v>2</v>
      </c>
      <c r="D3381" t="s">
        <v>112</v>
      </c>
      <c r="E3381">
        <v>149</v>
      </c>
      <c r="F3381">
        <v>234</v>
      </c>
      <c r="G3381">
        <v>57</v>
      </c>
      <c r="H3381" t="s">
        <v>72</v>
      </c>
      <c r="I3381" t="s">
        <v>190</v>
      </c>
    </row>
    <row r="3382" spans="1:9" ht="15" customHeight="1" x14ac:dyDescent="0.35">
      <c r="A3382">
        <v>2021</v>
      </c>
      <c r="B3382" t="s">
        <v>150</v>
      </c>
      <c r="C3382">
        <v>3</v>
      </c>
      <c r="D3382" t="s">
        <v>112</v>
      </c>
      <c r="E3382">
        <v>172</v>
      </c>
      <c r="F3382">
        <v>274</v>
      </c>
      <c r="G3382">
        <v>79</v>
      </c>
      <c r="H3382" t="s">
        <v>72</v>
      </c>
      <c r="I3382" t="s">
        <v>190</v>
      </c>
    </row>
    <row r="3383" spans="1:9" ht="15" customHeight="1" x14ac:dyDescent="0.35">
      <c r="A3383">
        <v>2021</v>
      </c>
      <c r="B3383" t="s">
        <v>151</v>
      </c>
      <c r="C3383">
        <v>4</v>
      </c>
      <c r="D3383" t="s">
        <v>112</v>
      </c>
      <c r="E3383">
        <v>204</v>
      </c>
      <c r="F3383">
        <v>297</v>
      </c>
      <c r="G3383">
        <v>57</v>
      </c>
      <c r="H3383" t="s">
        <v>73</v>
      </c>
      <c r="I3383" t="s">
        <v>190</v>
      </c>
    </row>
    <row r="3384" spans="1:9" ht="15" customHeight="1" x14ac:dyDescent="0.35">
      <c r="A3384">
        <v>2021</v>
      </c>
      <c r="B3384" t="s">
        <v>152</v>
      </c>
      <c r="C3384">
        <v>5</v>
      </c>
      <c r="D3384" t="s">
        <v>112</v>
      </c>
      <c r="E3384">
        <v>205</v>
      </c>
      <c r="F3384">
        <v>330</v>
      </c>
      <c r="G3384">
        <v>72</v>
      </c>
      <c r="H3384" t="s">
        <v>73</v>
      </c>
      <c r="I3384" t="s">
        <v>190</v>
      </c>
    </row>
    <row r="3385" spans="1:9" ht="15" customHeight="1" x14ac:dyDescent="0.35">
      <c r="A3385">
        <v>2021</v>
      </c>
      <c r="B3385" t="s">
        <v>153</v>
      </c>
      <c r="C3385">
        <v>6</v>
      </c>
      <c r="D3385" t="s">
        <v>112</v>
      </c>
      <c r="E3385">
        <v>200</v>
      </c>
      <c r="F3385">
        <v>303</v>
      </c>
      <c r="G3385">
        <v>89</v>
      </c>
      <c r="H3385" t="s">
        <v>73</v>
      </c>
      <c r="I3385" t="s">
        <v>190</v>
      </c>
    </row>
    <row r="3386" spans="1:9" ht="15" customHeight="1" x14ac:dyDescent="0.35">
      <c r="A3386">
        <v>2021</v>
      </c>
      <c r="B3386" t="s">
        <v>154</v>
      </c>
      <c r="C3386">
        <v>7</v>
      </c>
      <c r="D3386" t="s">
        <v>112</v>
      </c>
      <c r="E3386">
        <v>203</v>
      </c>
      <c r="F3386">
        <v>282</v>
      </c>
      <c r="G3386">
        <v>136</v>
      </c>
      <c r="H3386" t="s">
        <v>73</v>
      </c>
      <c r="I3386" t="s">
        <v>190</v>
      </c>
    </row>
    <row r="3387" spans="1:9" ht="15" customHeight="1" x14ac:dyDescent="0.35">
      <c r="A3387">
        <v>2021</v>
      </c>
      <c r="B3387" t="s">
        <v>155</v>
      </c>
      <c r="C3387">
        <v>8</v>
      </c>
      <c r="D3387" t="s">
        <v>112</v>
      </c>
      <c r="E3387">
        <v>201</v>
      </c>
      <c r="F3387">
        <v>293</v>
      </c>
      <c r="G3387">
        <v>116</v>
      </c>
      <c r="H3387" t="s">
        <v>73</v>
      </c>
      <c r="I3387" t="s">
        <v>190</v>
      </c>
    </row>
    <row r="3388" spans="1:9" ht="15" customHeight="1" x14ac:dyDescent="0.35">
      <c r="A3388">
        <v>2021</v>
      </c>
      <c r="B3388" t="s">
        <v>156</v>
      </c>
      <c r="C3388">
        <v>9</v>
      </c>
      <c r="D3388" t="s">
        <v>112</v>
      </c>
      <c r="E3388">
        <v>208</v>
      </c>
      <c r="F3388">
        <v>300</v>
      </c>
      <c r="G3388">
        <v>93</v>
      </c>
      <c r="H3388" t="s">
        <v>73</v>
      </c>
      <c r="I3388" t="s">
        <v>190</v>
      </c>
    </row>
    <row r="3389" spans="1:9" ht="15" customHeight="1" x14ac:dyDescent="0.35">
      <c r="A3389">
        <v>2021</v>
      </c>
      <c r="B3389" t="s">
        <v>157</v>
      </c>
      <c r="C3389">
        <v>10</v>
      </c>
      <c r="D3389" t="s">
        <v>112</v>
      </c>
      <c r="E3389">
        <v>208</v>
      </c>
      <c r="F3389">
        <v>323</v>
      </c>
      <c r="G3389">
        <v>122</v>
      </c>
      <c r="H3389" t="s">
        <v>73</v>
      </c>
      <c r="I3389" t="s">
        <v>190</v>
      </c>
    </row>
    <row r="3390" spans="1:9" ht="15" customHeight="1" x14ac:dyDescent="0.35">
      <c r="A3390">
        <v>2021</v>
      </c>
      <c r="B3390" t="s">
        <v>158</v>
      </c>
      <c r="C3390">
        <v>11</v>
      </c>
      <c r="D3390" t="s">
        <v>112</v>
      </c>
      <c r="E3390">
        <v>151</v>
      </c>
      <c r="F3390">
        <v>244</v>
      </c>
      <c r="G3390">
        <v>87</v>
      </c>
      <c r="H3390" t="s">
        <v>73</v>
      </c>
      <c r="I3390" t="s">
        <v>190</v>
      </c>
    </row>
    <row r="3391" spans="1:9" ht="15" customHeight="1" x14ac:dyDescent="0.35">
      <c r="A3391">
        <v>2021</v>
      </c>
      <c r="B3391" t="s">
        <v>159</v>
      </c>
      <c r="C3391">
        <v>12</v>
      </c>
      <c r="D3391" t="s">
        <v>112</v>
      </c>
      <c r="E3391">
        <v>145</v>
      </c>
      <c r="F3391">
        <v>224</v>
      </c>
      <c r="G3391">
        <v>75</v>
      </c>
      <c r="H3391" t="s">
        <v>73</v>
      </c>
      <c r="I3391" t="s">
        <v>190</v>
      </c>
    </row>
    <row r="3392" spans="1:9" ht="15" customHeight="1" x14ac:dyDescent="0.35">
      <c r="A3392">
        <v>2022</v>
      </c>
      <c r="B3392" t="s">
        <v>147</v>
      </c>
      <c r="C3392">
        <v>1</v>
      </c>
      <c r="D3392" t="s">
        <v>112</v>
      </c>
      <c r="E3392">
        <v>148</v>
      </c>
      <c r="F3392">
        <v>231</v>
      </c>
      <c r="G3392">
        <v>79</v>
      </c>
      <c r="H3392" t="s">
        <v>73</v>
      </c>
      <c r="I3392" t="s">
        <v>190</v>
      </c>
    </row>
    <row r="3393" spans="1:9" ht="15" customHeight="1" x14ac:dyDescent="0.35">
      <c r="A3393">
        <v>2022</v>
      </c>
      <c r="B3393" t="s">
        <v>149</v>
      </c>
      <c r="C3393">
        <v>2</v>
      </c>
      <c r="D3393" t="s">
        <v>112</v>
      </c>
      <c r="E3393">
        <v>140</v>
      </c>
      <c r="F3393">
        <v>257</v>
      </c>
      <c r="G3393">
        <v>61</v>
      </c>
      <c r="H3393" t="s">
        <v>73</v>
      </c>
      <c r="I3393" t="s">
        <v>190</v>
      </c>
    </row>
    <row r="3394" spans="1:9" ht="15" customHeight="1" x14ac:dyDescent="0.35">
      <c r="A3394">
        <v>2022</v>
      </c>
      <c r="B3394" t="s">
        <v>150</v>
      </c>
      <c r="C3394">
        <v>3</v>
      </c>
      <c r="D3394" t="s">
        <v>112</v>
      </c>
      <c r="E3394">
        <v>170</v>
      </c>
      <c r="F3394">
        <v>282</v>
      </c>
      <c r="G3394">
        <v>91</v>
      </c>
      <c r="H3394" t="s">
        <v>73</v>
      </c>
      <c r="I3394" t="s">
        <v>190</v>
      </c>
    </row>
    <row r="3395" spans="1:9" ht="15" customHeight="1" x14ac:dyDescent="0.35">
      <c r="A3395">
        <v>2022</v>
      </c>
      <c r="B3395" t="s">
        <v>151</v>
      </c>
      <c r="C3395">
        <v>4</v>
      </c>
      <c r="D3395" t="s">
        <v>112</v>
      </c>
      <c r="E3395">
        <v>205</v>
      </c>
      <c r="F3395">
        <v>312</v>
      </c>
      <c r="G3395">
        <v>76</v>
      </c>
      <c r="H3395" t="s">
        <v>74</v>
      </c>
      <c r="I3395" t="s">
        <v>190</v>
      </c>
    </row>
    <row r="3396" spans="1:9" ht="15" customHeight="1" x14ac:dyDescent="0.35">
      <c r="A3396">
        <v>2022</v>
      </c>
      <c r="B3396" t="s">
        <v>152</v>
      </c>
      <c r="C3396">
        <v>5</v>
      </c>
      <c r="D3396" t="s">
        <v>112</v>
      </c>
      <c r="E3396">
        <v>189</v>
      </c>
      <c r="F3396">
        <v>293</v>
      </c>
      <c r="G3396">
        <v>51</v>
      </c>
      <c r="H3396" t="s">
        <v>74</v>
      </c>
      <c r="I3396" t="s">
        <v>190</v>
      </c>
    </row>
    <row r="3397" spans="1:9" ht="15" customHeight="1" x14ac:dyDescent="0.35">
      <c r="A3397">
        <v>2022</v>
      </c>
      <c r="B3397" t="s">
        <v>153</v>
      </c>
      <c r="C3397">
        <v>6</v>
      </c>
      <c r="D3397" t="s">
        <v>112</v>
      </c>
      <c r="E3397">
        <v>192</v>
      </c>
      <c r="F3397">
        <v>294</v>
      </c>
      <c r="G3397">
        <v>82</v>
      </c>
      <c r="H3397" t="s">
        <v>74</v>
      </c>
      <c r="I3397" t="s">
        <v>190</v>
      </c>
    </row>
    <row r="3398" spans="1:9" ht="15" customHeight="1" x14ac:dyDescent="0.35">
      <c r="A3398">
        <v>2022</v>
      </c>
      <c r="B3398" t="s">
        <v>154</v>
      </c>
      <c r="C3398">
        <v>7</v>
      </c>
      <c r="D3398" t="s">
        <v>112</v>
      </c>
      <c r="E3398">
        <v>226</v>
      </c>
      <c r="F3398">
        <v>319</v>
      </c>
      <c r="G3398">
        <v>151</v>
      </c>
      <c r="H3398" t="s">
        <v>74</v>
      </c>
      <c r="I3398" t="s">
        <v>190</v>
      </c>
    </row>
    <row r="3399" spans="1:9" ht="15" customHeight="1" x14ac:dyDescent="0.35">
      <c r="A3399">
        <v>2022</v>
      </c>
      <c r="B3399" t="s">
        <v>155</v>
      </c>
      <c r="C3399">
        <v>8</v>
      </c>
      <c r="D3399" t="s">
        <v>112</v>
      </c>
      <c r="E3399">
        <v>234</v>
      </c>
      <c r="F3399">
        <v>337</v>
      </c>
      <c r="G3399">
        <v>154</v>
      </c>
      <c r="H3399" t="s">
        <v>74</v>
      </c>
      <c r="I3399" t="s">
        <v>190</v>
      </c>
    </row>
    <row r="3400" spans="1:9" ht="15" customHeight="1" x14ac:dyDescent="0.35">
      <c r="A3400">
        <v>2022</v>
      </c>
      <c r="B3400" t="s">
        <v>156</v>
      </c>
      <c r="C3400">
        <v>9</v>
      </c>
      <c r="D3400" t="s">
        <v>112</v>
      </c>
      <c r="E3400">
        <v>214</v>
      </c>
      <c r="F3400">
        <v>317</v>
      </c>
      <c r="G3400">
        <v>111</v>
      </c>
      <c r="H3400" t="s">
        <v>74</v>
      </c>
      <c r="I3400" t="s">
        <v>190</v>
      </c>
    </row>
    <row r="3401" spans="1:9" ht="15" customHeight="1" x14ac:dyDescent="0.35">
      <c r="A3401">
        <v>2022</v>
      </c>
      <c r="B3401" t="s">
        <v>157</v>
      </c>
      <c r="C3401">
        <v>10</v>
      </c>
      <c r="D3401" t="s">
        <v>112</v>
      </c>
      <c r="E3401">
        <v>209</v>
      </c>
      <c r="F3401">
        <v>312</v>
      </c>
      <c r="G3401">
        <v>106</v>
      </c>
      <c r="H3401" t="s">
        <v>74</v>
      </c>
      <c r="I3401" t="s">
        <v>190</v>
      </c>
    </row>
    <row r="3402" spans="1:9" ht="15" customHeight="1" x14ac:dyDescent="0.35">
      <c r="A3402">
        <v>2022</v>
      </c>
      <c r="B3402" t="s">
        <v>158</v>
      </c>
      <c r="C3402">
        <v>11</v>
      </c>
      <c r="D3402" t="s">
        <v>112</v>
      </c>
      <c r="E3402">
        <v>166</v>
      </c>
      <c r="F3402">
        <v>272</v>
      </c>
      <c r="G3402">
        <v>108</v>
      </c>
      <c r="H3402" t="s">
        <v>74</v>
      </c>
      <c r="I3402" t="s">
        <v>190</v>
      </c>
    </row>
    <row r="3403" spans="1:9" ht="15" customHeight="1" x14ac:dyDescent="0.35">
      <c r="A3403">
        <v>2022</v>
      </c>
      <c r="B3403" t="s">
        <v>159</v>
      </c>
      <c r="C3403">
        <v>12</v>
      </c>
      <c r="D3403" t="s">
        <v>112</v>
      </c>
      <c r="E3403">
        <v>152</v>
      </c>
      <c r="F3403">
        <v>235</v>
      </c>
      <c r="G3403">
        <v>98</v>
      </c>
      <c r="H3403" t="s">
        <v>74</v>
      </c>
      <c r="I3403" t="s">
        <v>190</v>
      </c>
    </row>
    <row r="3404" spans="1:9" ht="15" customHeight="1" x14ac:dyDescent="0.35">
      <c r="A3404">
        <v>2023</v>
      </c>
      <c r="B3404" t="s">
        <v>147</v>
      </c>
      <c r="C3404">
        <v>1</v>
      </c>
      <c r="D3404" t="s">
        <v>112</v>
      </c>
      <c r="E3404">
        <v>160</v>
      </c>
      <c r="F3404">
        <v>242</v>
      </c>
      <c r="G3404">
        <v>100</v>
      </c>
      <c r="H3404" t="s">
        <v>74</v>
      </c>
      <c r="I3404" t="s">
        <v>190</v>
      </c>
    </row>
    <row r="3405" spans="1:9" ht="15" customHeight="1" x14ac:dyDescent="0.35">
      <c r="A3405">
        <v>2023</v>
      </c>
      <c r="B3405" t="s">
        <v>149</v>
      </c>
      <c r="C3405">
        <v>2</v>
      </c>
      <c r="D3405" t="s">
        <v>112</v>
      </c>
      <c r="E3405">
        <v>161</v>
      </c>
      <c r="F3405">
        <v>247</v>
      </c>
      <c r="G3405">
        <v>105</v>
      </c>
      <c r="H3405" t="s">
        <v>74</v>
      </c>
      <c r="I3405" t="s">
        <v>190</v>
      </c>
    </row>
    <row r="3406" spans="1:9" ht="15" customHeight="1" x14ac:dyDescent="0.35">
      <c r="A3406">
        <v>2023</v>
      </c>
      <c r="B3406" t="s">
        <v>150</v>
      </c>
      <c r="C3406">
        <v>3</v>
      </c>
      <c r="D3406" t="s">
        <v>112</v>
      </c>
      <c r="E3406">
        <v>152</v>
      </c>
      <c r="F3406">
        <v>250</v>
      </c>
      <c r="G3406">
        <v>23</v>
      </c>
      <c r="H3406" t="s">
        <v>74</v>
      </c>
      <c r="I3406" t="s">
        <v>190</v>
      </c>
    </row>
    <row r="3407" spans="1:9" ht="15" customHeight="1" x14ac:dyDescent="0.35">
      <c r="A3407">
        <v>2023</v>
      </c>
      <c r="B3407" t="s">
        <v>151</v>
      </c>
      <c r="C3407">
        <v>4</v>
      </c>
      <c r="D3407" t="s">
        <v>112</v>
      </c>
      <c r="E3407">
        <v>202</v>
      </c>
      <c r="F3407">
        <v>323</v>
      </c>
      <c r="G3407">
        <v>73</v>
      </c>
      <c r="H3407" t="s">
        <v>75</v>
      </c>
      <c r="I3407" t="s">
        <v>190</v>
      </c>
    </row>
    <row r="3408" spans="1:9" ht="15" customHeight="1" x14ac:dyDescent="0.35">
      <c r="A3408">
        <v>2023</v>
      </c>
      <c r="B3408" t="s">
        <v>152</v>
      </c>
      <c r="C3408">
        <v>5</v>
      </c>
      <c r="D3408" t="s">
        <v>112</v>
      </c>
      <c r="E3408">
        <v>177</v>
      </c>
      <c r="F3408">
        <v>332</v>
      </c>
      <c r="G3408">
        <v>73</v>
      </c>
      <c r="H3408" t="s">
        <v>75</v>
      </c>
      <c r="I3408" t="s">
        <v>190</v>
      </c>
    </row>
    <row r="3409" spans="1:9" ht="15" customHeight="1" x14ac:dyDescent="0.35">
      <c r="A3409">
        <v>2023</v>
      </c>
      <c r="B3409" t="s">
        <v>153</v>
      </c>
      <c r="C3409">
        <v>6</v>
      </c>
      <c r="D3409" t="s">
        <v>112</v>
      </c>
      <c r="E3409">
        <v>154</v>
      </c>
      <c r="F3409">
        <v>353</v>
      </c>
      <c r="G3409">
        <v>49</v>
      </c>
      <c r="H3409" t="s">
        <v>75</v>
      </c>
      <c r="I3409" t="s">
        <v>190</v>
      </c>
    </row>
    <row r="3410" spans="1:9" ht="15" customHeight="1" x14ac:dyDescent="0.35">
      <c r="A3410">
        <v>2023</v>
      </c>
      <c r="B3410" t="s">
        <v>154</v>
      </c>
      <c r="C3410">
        <v>7</v>
      </c>
      <c r="D3410" t="s">
        <v>112</v>
      </c>
      <c r="E3410">
        <v>237</v>
      </c>
      <c r="F3410">
        <v>320</v>
      </c>
      <c r="G3410">
        <v>141</v>
      </c>
      <c r="H3410" t="s">
        <v>75</v>
      </c>
      <c r="I3410" t="s">
        <v>190</v>
      </c>
    </row>
    <row r="3411" spans="1:9" ht="15" customHeight="1" x14ac:dyDescent="0.35">
      <c r="A3411">
        <v>2023</v>
      </c>
      <c r="B3411" t="s">
        <v>155</v>
      </c>
      <c r="C3411">
        <v>8</v>
      </c>
      <c r="D3411" t="s">
        <v>112</v>
      </c>
      <c r="E3411">
        <v>224</v>
      </c>
      <c r="F3411">
        <v>339</v>
      </c>
      <c r="G3411">
        <v>116</v>
      </c>
      <c r="H3411" t="s">
        <v>75</v>
      </c>
      <c r="I3411" t="s">
        <v>190</v>
      </c>
    </row>
    <row r="3412" spans="1:9" ht="15" customHeight="1" x14ac:dyDescent="0.35">
      <c r="A3412">
        <v>2023</v>
      </c>
      <c r="B3412" t="s">
        <v>156</v>
      </c>
      <c r="C3412">
        <v>9</v>
      </c>
      <c r="D3412" t="s">
        <v>112</v>
      </c>
      <c r="E3412">
        <v>245</v>
      </c>
      <c r="F3412">
        <v>412</v>
      </c>
      <c r="G3412">
        <v>110</v>
      </c>
      <c r="H3412" t="s">
        <v>75</v>
      </c>
      <c r="I3412" t="s">
        <v>190</v>
      </c>
    </row>
    <row r="3413" spans="1:9" ht="15" customHeight="1" x14ac:dyDescent="0.35">
      <c r="A3413">
        <v>2023</v>
      </c>
      <c r="B3413" t="s">
        <v>157</v>
      </c>
      <c r="C3413">
        <v>10</v>
      </c>
      <c r="D3413" t="s">
        <v>112</v>
      </c>
      <c r="E3413">
        <v>221</v>
      </c>
      <c r="F3413">
        <v>329</v>
      </c>
      <c r="G3413">
        <v>114</v>
      </c>
      <c r="H3413" t="s">
        <v>75</v>
      </c>
      <c r="I3413" t="s">
        <v>190</v>
      </c>
    </row>
    <row r="3414" spans="1:9" ht="15" customHeight="1" x14ac:dyDescent="0.35">
      <c r="A3414">
        <v>2023</v>
      </c>
      <c r="B3414" t="s">
        <v>158</v>
      </c>
      <c r="C3414">
        <v>11</v>
      </c>
      <c r="D3414" t="s">
        <v>112</v>
      </c>
      <c r="E3414">
        <v>103</v>
      </c>
      <c r="F3414">
        <v>236</v>
      </c>
      <c r="G3414">
        <v>47</v>
      </c>
      <c r="H3414" t="s">
        <v>75</v>
      </c>
      <c r="I3414" t="s">
        <v>190</v>
      </c>
    </row>
    <row r="3415" spans="1:9" ht="15" customHeight="1" x14ac:dyDescent="0.35">
      <c r="A3415">
        <v>2023</v>
      </c>
      <c r="B3415" t="s">
        <v>159</v>
      </c>
      <c r="C3415">
        <v>12</v>
      </c>
      <c r="D3415" t="s">
        <v>112</v>
      </c>
      <c r="E3415">
        <v>159</v>
      </c>
      <c r="F3415">
        <v>230</v>
      </c>
      <c r="G3415">
        <v>90</v>
      </c>
      <c r="H3415" t="s">
        <v>75</v>
      </c>
      <c r="I3415" t="s">
        <v>190</v>
      </c>
    </row>
    <row r="3416" spans="1:9" ht="15" customHeight="1" x14ac:dyDescent="0.35">
      <c r="A3416">
        <v>2024</v>
      </c>
      <c r="B3416" t="s">
        <v>147</v>
      </c>
      <c r="C3416">
        <v>1</v>
      </c>
      <c r="D3416" t="s">
        <v>112</v>
      </c>
      <c r="E3416">
        <v>166</v>
      </c>
      <c r="F3416">
        <v>252</v>
      </c>
      <c r="G3416">
        <v>93</v>
      </c>
      <c r="H3416" t="s">
        <v>75</v>
      </c>
      <c r="I3416" t="s">
        <v>190</v>
      </c>
    </row>
    <row r="3417" spans="1:9" ht="15" customHeight="1" x14ac:dyDescent="0.35">
      <c r="A3417">
        <v>2024</v>
      </c>
      <c r="B3417" t="s">
        <v>149</v>
      </c>
      <c r="C3417">
        <v>2</v>
      </c>
      <c r="D3417" t="s">
        <v>112</v>
      </c>
      <c r="E3417">
        <v>169</v>
      </c>
      <c r="F3417">
        <v>290</v>
      </c>
      <c r="G3417">
        <v>88</v>
      </c>
      <c r="H3417" t="s">
        <v>75</v>
      </c>
      <c r="I3417" t="s">
        <v>190</v>
      </c>
    </row>
    <row r="3418" spans="1:9" ht="15" customHeight="1" x14ac:dyDescent="0.35">
      <c r="A3418">
        <v>2024</v>
      </c>
      <c r="B3418" t="s">
        <v>150</v>
      </c>
      <c r="C3418">
        <v>3</v>
      </c>
      <c r="D3418" t="s">
        <v>112</v>
      </c>
      <c r="E3418">
        <v>166</v>
      </c>
      <c r="F3418">
        <v>262</v>
      </c>
      <c r="G3418">
        <v>51</v>
      </c>
      <c r="H3418" t="s">
        <v>75</v>
      </c>
      <c r="I3418" t="s">
        <v>190</v>
      </c>
    </row>
    <row r="3419" spans="1:9" ht="15" customHeight="1" x14ac:dyDescent="0.35">
      <c r="A3419">
        <v>2024</v>
      </c>
      <c r="B3419" t="s">
        <v>151</v>
      </c>
      <c r="C3419">
        <v>4</v>
      </c>
      <c r="D3419" t="s">
        <v>112</v>
      </c>
      <c r="E3419">
        <v>167</v>
      </c>
      <c r="F3419">
        <v>262</v>
      </c>
      <c r="G3419">
        <v>51</v>
      </c>
      <c r="H3419" t="s">
        <v>77</v>
      </c>
      <c r="I3419" t="s">
        <v>190</v>
      </c>
    </row>
    <row r="3420" spans="1:9" ht="15" customHeight="1" x14ac:dyDescent="0.35">
      <c r="A3420">
        <v>2024</v>
      </c>
      <c r="B3420" t="s">
        <v>152</v>
      </c>
      <c r="C3420">
        <v>5</v>
      </c>
      <c r="D3420" t="s">
        <v>112</v>
      </c>
      <c r="E3420">
        <v>232</v>
      </c>
      <c r="F3420">
        <v>377</v>
      </c>
      <c r="G3420">
        <v>25</v>
      </c>
      <c r="H3420" t="s">
        <v>77</v>
      </c>
      <c r="I3420" t="s">
        <v>190</v>
      </c>
    </row>
    <row r="3421" spans="1:9" ht="15" customHeight="1" x14ac:dyDescent="0.35">
      <c r="A3421">
        <v>2024</v>
      </c>
      <c r="B3421" t="s">
        <v>153</v>
      </c>
      <c r="C3421">
        <v>6</v>
      </c>
      <c r="D3421" t="s">
        <v>112</v>
      </c>
      <c r="E3421">
        <v>228</v>
      </c>
      <c r="F3421">
        <v>343</v>
      </c>
      <c r="G3421">
        <v>116</v>
      </c>
      <c r="H3421" t="s">
        <v>77</v>
      </c>
      <c r="I3421" t="s">
        <v>190</v>
      </c>
    </row>
    <row r="3422" spans="1:9" ht="15" customHeight="1" x14ac:dyDescent="0.35">
      <c r="A3422">
        <v>2024</v>
      </c>
      <c r="B3422" t="s">
        <v>154</v>
      </c>
      <c r="C3422">
        <v>7</v>
      </c>
      <c r="D3422" t="s">
        <v>112</v>
      </c>
      <c r="E3422">
        <v>257</v>
      </c>
      <c r="F3422">
        <v>378</v>
      </c>
      <c r="G3422">
        <v>131</v>
      </c>
      <c r="H3422" t="s">
        <v>77</v>
      </c>
      <c r="I3422" t="s">
        <v>190</v>
      </c>
    </row>
    <row r="3423" spans="1:9" ht="15" customHeight="1" x14ac:dyDescent="0.35">
      <c r="A3423">
        <v>2024</v>
      </c>
      <c r="B3423" t="s">
        <v>155</v>
      </c>
      <c r="C3423">
        <v>8</v>
      </c>
      <c r="D3423" t="s">
        <v>112</v>
      </c>
      <c r="E3423">
        <v>218</v>
      </c>
      <c r="F3423">
        <v>316</v>
      </c>
      <c r="G3423">
        <v>85</v>
      </c>
      <c r="H3423" t="s">
        <v>77</v>
      </c>
      <c r="I3423" t="s">
        <v>190</v>
      </c>
    </row>
    <row r="3424" spans="1:9" ht="15" customHeight="1" x14ac:dyDescent="0.35">
      <c r="A3424">
        <v>2024</v>
      </c>
      <c r="B3424" t="s">
        <v>156</v>
      </c>
      <c r="C3424">
        <v>9</v>
      </c>
      <c r="D3424" t="s">
        <v>112</v>
      </c>
      <c r="E3424">
        <v>243</v>
      </c>
      <c r="F3424">
        <v>367</v>
      </c>
      <c r="G3424">
        <v>118</v>
      </c>
      <c r="H3424" t="s">
        <v>77</v>
      </c>
      <c r="I3424" t="s">
        <v>190</v>
      </c>
    </row>
    <row r="3425" spans="1:9" ht="15" customHeight="1" x14ac:dyDescent="0.35">
      <c r="A3425">
        <v>2024</v>
      </c>
      <c r="B3425" t="s">
        <v>157</v>
      </c>
      <c r="C3425">
        <v>10</v>
      </c>
      <c r="D3425" t="s">
        <v>112</v>
      </c>
      <c r="E3425">
        <v>233</v>
      </c>
      <c r="F3425">
        <v>328</v>
      </c>
      <c r="G3425">
        <v>144</v>
      </c>
      <c r="H3425" t="s">
        <v>77</v>
      </c>
      <c r="I3425" t="s">
        <v>190</v>
      </c>
    </row>
    <row r="3426" spans="1:9" ht="15" customHeight="1" x14ac:dyDescent="0.35">
      <c r="A3426">
        <v>2024</v>
      </c>
      <c r="B3426" t="s">
        <v>158</v>
      </c>
      <c r="C3426">
        <v>11</v>
      </c>
      <c r="D3426" t="s">
        <v>112</v>
      </c>
      <c r="E3426">
        <v>181</v>
      </c>
      <c r="F3426">
        <v>311</v>
      </c>
      <c r="G3426">
        <v>103</v>
      </c>
      <c r="H3426" t="s">
        <v>77</v>
      </c>
      <c r="I3426" t="s">
        <v>190</v>
      </c>
    </row>
    <row r="3427" spans="1:9" ht="15" customHeight="1" x14ac:dyDescent="0.35">
      <c r="A3427">
        <v>2024</v>
      </c>
      <c r="B3427" t="s">
        <v>159</v>
      </c>
      <c r="C3427">
        <v>12</v>
      </c>
      <c r="D3427" t="s">
        <v>112</v>
      </c>
      <c r="E3427">
        <v>169</v>
      </c>
      <c r="F3427">
        <v>235</v>
      </c>
      <c r="G3427">
        <v>91</v>
      </c>
      <c r="H3427" t="s">
        <v>77</v>
      </c>
      <c r="I3427" t="s">
        <v>190</v>
      </c>
    </row>
    <row r="3428" spans="1:9" ht="15" customHeight="1" x14ac:dyDescent="0.35">
      <c r="A3428">
        <v>2025</v>
      </c>
      <c r="B3428" t="s">
        <v>147</v>
      </c>
      <c r="C3428">
        <v>1</v>
      </c>
      <c r="D3428" t="s">
        <v>112</v>
      </c>
      <c r="E3428">
        <v>178</v>
      </c>
      <c r="F3428">
        <v>359</v>
      </c>
      <c r="G3428">
        <v>109</v>
      </c>
      <c r="H3428" t="s">
        <v>77</v>
      </c>
      <c r="I3428" t="s">
        <v>190</v>
      </c>
    </row>
    <row r="3429" spans="1:9" ht="15" customHeight="1" x14ac:dyDescent="0.35">
      <c r="A3429">
        <v>2025</v>
      </c>
      <c r="B3429" t="s">
        <v>149</v>
      </c>
      <c r="C3429">
        <v>2</v>
      </c>
      <c r="D3429" t="s">
        <v>112</v>
      </c>
      <c r="E3429">
        <v>172</v>
      </c>
      <c r="F3429">
        <v>251</v>
      </c>
      <c r="G3429">
        <v>117</v>
      </c>
      <c r="H3429" t="s">
        <v>77</v>
      </c>
      <c r="I3429" t="s">
        <v>190</v>
      </c>
    </row>
    <row r="3430" spans="1:9" ht="15" customHeight="1" x14ac:dyDescent="0.35">
      <c r="A3430">
        <v>2025</v>
      </c>
      <c r="B3430" t="s">
        <v>150</v>
      </c>
      <c r="C3430">
        <v>3</v>
      </c>
      <c r="D3430" t="s">
        <v>112</v>
      </c>
      <c r="E3430">
        <v>208</v>
      </c>
      <c r="F3430">
        <v>316</v>
      </c>
      <c r="G3430">
        <v>120</v>
      </c>
      <c r="H3430" t="s">
        <v>77</v>
      </c>
      <c r="I3430" t="s">
        <v>190</v>
      </c>
    </row>
    <row r="3431" spans="1:9" ht="15" customHeight="1" x14ac:dyDescent="0.35">
      <c r="A3431">
        <v>2025</v>
      </c>
      <c r="B3431" t="s">
        <v>151</v>
      </c>
      <c r="C3431">
        <v>4</v>
      </c>
      <c r="D3431" t="s">
        <v>112</v>
      </c>
      <c r="E3431">
        <v>229</v>
      </c>
      <c r="F3431">
        <v>330</v>
      </c>
      <c r="G3431">
        <v>87</v>
      </c>
      <c r="H3431" t="s">
        <v>78</v>
      </c>
      <c r="I3431" t="s">
        <v>190</v>
      </c>
    </row>
    <row r="3432" spans="1:9" ht="15" customHeight="1" x14ac:dyDescent="0.35">
      <c r="A3432">
        <v>2025</v>
      </c>
      <c r="B3432" t="s">
        <v>152</v>
      </c>
      <c r="C3432">
        <v>5</v>
      </c>
      <c r="D3432" t="s">
        <v>112</v>
      </c>
      <c r="E3432">
        <v>229</v>
      </c>
      <c r="F3432">
        <v>348</v>
      </c>
      <c r="G3432">
        <v>71</v>
      </c>
      <c r="H3432" t="s">
        <v>78</v>
      </c>
      <c r="I3432" t="s">
        <v>190</v>
      </c>
    </row>
    <row r="3433" spans="1:9" ht="15" customHeight="1" x14ac:dyDescent="0.35">
      <c r="A3433">
        <v>2025</v>
      </c>
      <c r="B3433" t="s">
        <v>153</v>
      </c>
      <c r="C3433">
        <v>6</v>
      </c>
      <c r="D3433" t="s">
        <v>112</v>
      </c>
      <c r="E3433">
        <v>246</v>
      </c>
      <c r="F3433">
        <v>366</v>
      </c>
      <c r="G3433">
        <v>119</v>
      </c>
      <c r="H3433" t="s">
        <v>78</v>
      </c>
      <c r="I3433" t="s">
        <v>190</v>
      </c>
    </row>
    <row r="3434" spans="1:9" ht="15" customHeight="1" x14ac:dyDescent="0.35">
      <c r="A3434">
        <v>2025</v>
      </c>
      <c r="B3434" t="s">
        <v>154</v>
      </c>
      <c r="C3434">
        <v>7</v>
      </c>
      <c r="D3434" t="s">
        <v>112</v>
      </c>
      <c r="E3434">
        <v>253</v>
      </c>
      <c r="F3434">
        <v>371</v>
      </c>
      <c r="G3434">
        <v>175</v>
      </c>
      <c r="H3434" t="s">
        <v>78</v>
      </c>
      <c r="I3434" t="s">
        <v>190</v>
      </c>
    </row>
    <row r="3435" spans="1:9" ht="15" customHeight="1" x14ac:dyDescent="0.35">
      <c r="A3435">
        <v>2025</v>
      </c>
      <c r="B3435" t="s">
        <v>155</v>
      </c>
      <c r="C3435">
        <v>8</v>
      </c>
      <c r="D3435" t="s">
        <v>112</v>
      </c>
      <c r="E3435">
        <v>247</v>
      </c>
      <c r="F3435">
        <v>357</v>
      </c>
      <c r="G3435">
        <v>151</v>
      </c>
      <c r="H3435" t="s">
        <v>78</v>
      </c>
      <c r="I3435" t="s">
        <v>190</v>
      </c>
    </row>
    <row r="3436" spans="1:9" ht="15" customHeight="1" x14ac:dyDescent="0.35">
      <c r="A3436">
        <v>2025</v>
      </c>
      <c r="B3436" t="s">
        <v>156</v>
      </c>
      <c r="C3436">
        <v>9</v>
      </c>
      <c r="D3436" t="s">
        <v>112</v>
      </c>
      <c r="E3436">
        <v>265</v>
      </c>
      <c r="F3436">
        <v>362</v>
      </c>
      <c r="G3436">
        <v>119</v>
      </c>
      <c r="H3436" t="s">
        <v>78</v>
      </c>
      <c r="I3436" t="s">
        <v>190</v>
      </c>
    </row>
    <row r="3437" spans="1:9" ht="15" customHeight="1" x14ac:dyDescent="0.35">
      <c r="A3437">
        <v>2025</v>
      </c>
      <c r="B3437" t="s">
        <v>157</v>
      </c>
      <c r="C3437">
        <v>10</v>
      </c>
      <c r="D3437" t="s">
        <v>112</v>
      </c>
      <c r="E3437">
        <v>252</v>
      </c>
      <c r="F3437">
        <v>347</v>
      </c>
      <c r="G3437">
        <v>150</v>
      </c>
      <c r="H3437" t="s">
        <v>78</v>
      </c>
      <c r="I3437" t="s">
        <v>190</v>
      </c>
    </row>
    <row r="3438" spans="1:9" ht="15" customHeight="1" x14ac:dyDescent="0.35">
      <c r="A3438">
        <v>2025</v>
      </c>
      <c r="B3438" t="s">
        <v>158</v>
      </c>
      <c r="C3438">
        <v>11</v>
      </c>
      <c r="D3438" t="s">
        <v>112</v>
      </c>
      <c r="E3438">
        <v>195</v>
      </c>
      <c r="F3438">
        <v>300</v>
      </c>
      <c r="G3438">
        <v>98</v>
      </c>
      <c r="H3438" t="s">
        <v>78</v>
      </c>
      <c r="I3438" t="s">
        <v>190</v>
      </c>
    </row>
    <row r="3439" spans="1:9" ht="15" customHeight="1" x14ac:dyDescent="0.35">
      <c r="A3439">
        <v>2025</v>
      </c>
      <c r="B3439" t="s">
        <v>159</v>
      </c>
      <c r="C3439">
        <v>12</v>
      </c>
      <c r="D3439" t="s">
        <v>112</v>
      </c>
      <c r="E3439">
        <v>169</v>
      </c>
      <c r="F3439">
        <v>233</v>
      </c>
      <c r="G3439">
        <v>105</v>
      </c>
      <c r="H3439" t="s">
        <v>78</v>
      </c>
      <c r="I3439" t="s">
        <v>190</v>
      </c>
    </row>
    <row r="3440" spans="1:9" ht="15" customHeight="1" x14ac:dyDescent="0.35">
      <c r="A3440">
        <v>2026</v>
      </c>
      <c r="B3440" t="s">
        <v>147</v>
      </c>
      <c r="C3440">
        <v>1</v>
      </c>
      <c r="D3440" t="s">
        <v>112</v>
      </c>
      <c r="E3440">
        <v>169</v>
      </c>
      <c r="F3440">
        <v>242</v>
      </c>
      <c r="G3440">
        <v>49</v>
      </c>
      <c r="H3440" t="s">
        <v>78</v>
      </c>
      <c r="I3440" t="s">
        <v>190</v>
      </c>
    </row>
    <row r="3441" spans="1:9" ht="15" customHeight="1" x14ac:dyDescent="0.35">
      <c r="A3441">
        <v>2026</v>
      </c>
      <c r="B3441" t="s">
        <v>149</v>
      </c>
      <c r="C3441">
        <v>2</v>
      </c>
      <c r="D3441" t="s">
        <v>112</v>
      </c>
      <c r="E3441">
        <v>170</v>
      </c>
      <c r="F3441">
        <v>246</v>
      </c>
      <c r="G3441">
        <v>70</v>
      </c>
      <c r="H3441" t="s">
        <v>78</v>
      </c>
      <c r="I3441" t="s">
        <v>190</v>
      </c>
    </row>
    <row r="3442" spans="1:9" ht="15" customHeight="1" x14ac:dyDescent="0.35">
      <c r="A3442">
        <v>2026</v>
      </c>
      <c r="B3442" t="s">
        <v>150</v>
      </c>
      <c r="C3442">
        <v>3</v>
      </c>
      <c r="D3442" t="s">
        <v>112</v>
      </c>
      <c r="E3442">
        <v>169</v>
      </c>
      <c r="F3442">
        <v>242</v>
      </c>
      <c r="G3442">
        <v>49</v>
      </c>
      <c r="H3442" t="s">
        <v>78</v>
      </c>
      <c r="I3442" t="s">
        <v>190</v>
      </c>
    </row>
    <row r="3443" spans="1:9" ht="15" customHeight="1" x14ac:dyDescent="0.35">
      <c r="A3443">
        <v>2017</v>
      </c>
      <c r="B3443" t="s">
        <v>147</v>
      </c>
      <c r="C3443">
        <v>1</v>
      </c>
      <c r="D3443" t="s">
        <v>113</v>
      </c>
      <c r="E3443">
        <v>11957</v>
      </c>
      <c r="F3443">
        <v>14905</v>
      </c>
      <c r="G3443">
        <v>7280</v>
      </c>
      <c r="H3443" t="s">
        <v>122</v>
      </c>
      <c r="I3443" t="s">
        <v>191</v>
      </c>
    </row>
    <row r="3444" spans="1:9" ht="15" customHeight="1" x14ac:dyDescent="0.35">
      <c r="A3444">
        <v>2017</v>
      </c>
      <c r="B3444" t="s">
        <v>149</v>
      </c>
      <c r="C3444">
        <v>2</v>
      </c>
      <c r="D3444" t="s">
        <v>113</v>
      </c>
      <c r="E3444">
        <v>11815</v>
      </c>
      <c r="F3444">
        <v>14416</v>
      </c>
      <c r="G3444">
        <v>9285</v>
      </c>
      <c r="H3444" t="s">
        <v>122</v>
      </c>
      <c r="I3444" t="s">
        <v>191</v>
      </c>
    </row>
    <row r="3445" spans="1:9" ht="15" customHeight="1" x14ac:dyDescent="0.35">
      <c r="A3445">
        <v>2017</v>
      </c>
      <c r="B3445" t="s">
        <v>150</v>
      </c>
      <c r="C3445">
        <v>3</v>
      </c>
      <c r="D3445" t="s">
        <v>113</v>
      </c>
      <c r="E3445">
        <v>12136</v>
      </c>
      <c r="F3445">
        <v>16301</v>
      </c>
      <c r="G3445">
        <v>7826</v>
      </c>
      <c r="H3445" t="s">
        <v>122</v>
      </c>
      <c r="I3445" t="s">
        <v>191</v>
      </c>
    </row>
    <row r="3446" spans="1:9" ht="15" customHeight="1" x14ac:dyDescent="0.35">
      <c r="A3446">
        <v>2017</v>
      </c>
      <c r="B3446" t="s">
        <v>151</v>
      </c>
      <c r="C3446">
        <v>4</v>
      </c>
      <c r="D3446" t="s">
        <v>113</v>
      </c>
      <c r="E3446">
        <v>13669</v>
      </c>
      <c r="F3446">
        <v>17670</v>
      </c>
      <c r="G3446">
        <v>6182</v>
      </c>
      <c r="H3446" t="s">
        <v>123</v>
      </c>
      <c r="I3446" t="s">
        <v>191</v>
      </c>
    </row>
    <row r="3447" spans="1:9" ht="15" customHeight="1" x14ac:dyDescent="0.35">
      <c r="A3447">
        <v>2017</v>
      </c>
      <c r="B3447" t="s">
        <v>152</v>
      </c>
      <c r="C3447">
        <v>5</v>
      </c>
      <c r="D3447" t="s">
        <v>113</v>
      </c>
      <c r="E3447">
        <v>15045</v>
      </c>
      <c r="F3447">
        <v>18239</v>
      </c>
      <c r="G3447">
        <v>9100</v>
      </c>
      <c r="H3447" t="s">
        <v>123</v>
      </c>
      <c r="I3447" t="s">
        <v>191</v>
      </c>
    </row>
    <row r="3448" spans="1:9" ht="15" customHeight="1" x14ac:dyDescent="0.35">
      <c r="A3448">
        <v>2017</v>
      </c>
      <c r="B3448" t="s">
        <v>153</v>
      </c>
      <c r="C3448">
        <v>6</v>
      </c>
      <c r="D3448" t="s">
        <v>113</v>
      </c>
      <c r="E3448">
        <v>15498</v>
      </c>
      <c r="F3448">
        <v>18295</v>
      </c>
      <c r="G3448">
        <v>11228</v>
      </c>
      <c r="H3448" t="s">
        <v>123</v>
      </c>
      <c r="I3448" t="s">
        <v>191</v>
      </c>
    </row>
    <row r="3449" spans="1:9" ht="15" customHeight="1" x14ac:dyDescent="0.35">
      <c r="A3449">
        <v>2017</v>
      </c>
      <c r="B3449" t="s">
        <v>154</v>
      </c>
      <c r="C3449">
        <v>7</v>
      </c>
      <c r="D3449" t="s">
        <v>113</v>
      </c>
      <c r="E3449">
        <v>14394</v>
      </c>
      <c r="F3449">
        <v>17632</v>
      </c>
      <c r="G3449">
        <v>9890</v>
      </c>
      <c r="H3449" t="s">
        <v>123</v>
      </c>
      <c r="I3449" t="s">
        <v>191</v>
      </c>
    </row>
    <row r="3450" spans="1:9" ht="15" customHeight="1" x14ac:dyDescent="0.35">
      <c r="A3450">
        <v>2017</v>
      </c>
      <c r="B3450" t="s">
        <v>155</v>
      </c>
      <c r="C3450">
        <v>8</v>
      </c>
      <c r="D3450" t="s">
        <v>113</v>
      </c>
      <c r="E3450">
        <v>15207</v>
      </c>
      <c r="F3450">
        <v>17786</v>
      </c>
      <c r="G3450">
        <v>11998</v>
      </c>
      <c r="H3450" t="s">
        <v>123</v>
      </c>
      <c r="I3450" t="s">
        <v>191</v>
      </c>
    </row>
    <row r="3451" spans="1:9" ht="15" customHeight="1" x14ac:dyDescent="0.35">
      <c r="A3451">
        <v>2017</v>
      </c>
      <c r="B3451" t="s">
        <v>156</v>
      </c>
      <c r="C3451">
        <v>9</v>
      </c>
      <c r="D3451" t="s">
        <v>113</v>
      </c>
      <c r="E3451">
        <v>15283</v>
      </c>
      <c r="F3451">
        <v>17985</v>
      </c>
      <c r="G3451">
        <v>10006</v>
      </c>
      <c r="H3451" t="s">
        <v>123</v>
      </c>
      <c r="I3451" t="s">
        <v>191</v>
      </c>
    </row>
    <row r="3452" spans="1:9" ht="15" customHeight="1" x14ac:dyDescent="0.35">
      <c r="A3452">
        <v>2017</v>
      </c>
      <c r="B3452" t="s">
        <v>157</v>
      </c>
      <c r="C3452">
        <v>10</v>
      </c>
      <c r="D3452" t="s">
        <v>113</v>
      </c>
      <c r="E3452">
        <v>14084</v>
      </c>
      <c r="F3452">
        <v>18063</v>
      </c>
      <c r="G3452">
        <v>11053</v>
      </c>
      <c r="H3452" t="s">
        <v>123</v>
      </c>
      <c r="I3452" t="s">
        <v>191</v>
      </c>
    </row>
    <row r="3453" spans="1:9" ht="15" customHeight="1" x14ac:dyDescent="0.35">
      <c r="A3453">
        <v>2017</v>
      </c>
      <c r="B3453" t="s">
        <v>158</v>
      </c>
      <c r="C3453">
        <v>11</v>
      </c>
      <c r="D3453" t="s">
        <v>113</v>
      </c>
      <c r="E3453">
        <v>11640</v>
      </c>
      <c r="F3453">
        <v>13598</v>
      </c>
      <c r="G3453">
        <v>9954</v>
      </c>
      <c r="H3453" t="s">
        <v>123</v>
      </c>
      <c r="I3453" t="s">
        <v>191</v>
      </c>
    </row>
    <row r="3454" spans="1:9" ht="15" customHeight="1" x14ac:dyDescent="0.35">
      <c r="A3454">
        <v>2017</v>
      </c>
      <c r="B3454" t="s">
        <v>159</v>
      </c>
      <c r="C3454">
        <v>12</v>
      </c>
      <c r="D3454" t="s">
        <v>113</v>
      </c>
      <c r="E3454">
        <v>11774</v>
      </c>
      <c r="F3454">
        <v>14934</v>
      </c>
      <c r="G3454">
        <v>8008</v>
      </c>
      <c r="H3454" t="s">
        <v>123</v>
      </c>
      <c r="I3454" t="s">
        <v>191</v>
      </c>
    </row>
    <row r="3455" spans="1:9" ht="15" customHeight="1" x14ac:dyDescent="0.35">
      <c r="A3455">
        <v>2018</v>
      </c>
      <c r="B3455" t="s">
        <v>147</v>
      </c>
      <c r="C3455">
        <v>1</v>
      </c>
      <c r="D3455" t="s">
        <v>113</v>
      </c>
      <c r="E3455">
        <v>12570</v>
      </c>
      <c r="F3455">
        <v>15008</v>
      </c>
      <c r="G3455">
        <v>8888</v>
      </c>
      <c r="H3455" t="s">
        <v>123</v>
      </c>
      <c r="I3455" t="s">
        <v>191</v>
      </c>
    </row>
    <row r="3456" spans="1:9" ht="15" customHeight="1" x14ac:dyDescent="0.35">
      <c r="A3456">
        <v>2018</v>
      </c>
      <c r="B3456" t="s">
        <v>149</v>
      </c>
      <c r="C3456">
        <v>2</v>
      </c>
      <c r="D3456" t="s">
        <v>113</v>
      </c>
      <c r="E3456">
        <v>12150</v>
      </c>
      <c r="F3456">
        <v>15173</v>
      </c>
      <c r="G3456">
        <v>8324</v>
      </c>
      <c r="H3456" t="s">
        <v>123</v>
      </c>
      <c r="I3456" t="s">
        <v>191</v>
      </c>
    </row>
    <row r="3457" spans="1:9" ht="15" customHeight="1" x14ac:dyDescent="0.35">
      <c r="A3457">
        <v>2018</v>
      </c>
      <c r="B3457" t="s">
        <v>150</v>
      </c>
      <c r="C3457">
        <v>3</v>
      </c>
      <c r="D3457" t="s">
        <v>113</v>
      </c>
      <c r="E3457">
        <v>12293</v>
      </c>
      <c r="F3457">
        <v>15344</v>
      </c>
      <c r="G3457">
        <v>9217</v>
      </c>
      <c r="H3457" t="s">
        <v>123</v>
      </c>
      <c r="I3457" t="s">
        <v>191</v>
      </c>
    </row>
    <row r="3458" spans="1:9" ht="15" customHeight="1" x14ac:dyDescent="0.35">
      <c r="A3458">
        <v>2018</v>
      </c>
      <c r="B3458" t="s">
        <v>151</v>
      </c>
      <c r="C3458">
        <v>4</v>
      </c>
      <c r="D3458" t="s">
        <v>113</v>
      </c>
      <c r="E3458">
        <v>12890</v>
      </c>
      <c r="F3458">
        <v>17232</v>
      </c>
      <c r="G3458">
        <v>8383</v>
      </c>
      <c r="H3458" t="s">
        <v>124</v>
      </c>
      <c r="I3458" t="s">
        <v>191</v>
      </c>
    </row>
    <row r="3459" spans="1:9" ht="15" customHeight="1" x14ac:dyDescent="0.35">
      <c r="A3459">
        <v>2018</v>
      </c>
      <c r="B3459" t="s">
        <v>152</v>
      </c>
      <c r="C3459">
        <v>5</v>
      </c>
      <c r="D3459" t="s">
        <v>113</v>
      </c>
      <c r="E3459">
        <v>15189</v>
      </c>
      <c r="F3459">
        <v>19749</v>
      </c>
      <c r="G3459">
        <v>6509</v>
      </c>
      <c r="H3459" t="s">
        <v>124</v>
      </c>
      <c r="I3459" t="s">
        <v>191</v>
      </c>
    </row>
    <row r="3460" spans="1:9" ht="15" customHeight="1" x14ac:dyDescent="0.35">
      <c r="A3460">
        <v>2018</v>
      </c>
      <c r="B3460" t="s">
        <v>153</v>
      </c>
      <c r="C3460">
        <v>6</v>
      </c>
      <c r="D3460" t="s">
        <v>113</v>
      </c>
      <c r="E3460">
        <v>16670</v>
      </c>
      <c r="F3460">
        <v>20430</v>
      </c>
      <c r="G3460">
        <v>10337</v>
      </c>
      <c r="H3460" t="s">
        <v>124</v>
      </c>
      <c r="I3460" t="s">
        <v>191</v>
      </c>
    </row>
    <row r="3461" spans="1:9" ht="15" customHeight="1" x14ac:dyDescent="0.35">
      <c r="A3461">
        <v>2018</v>
      </c>
      <c r="B3461" t="s">
        <v>154</v>
      </c>
      <c r="C3461">
        <v>7</v>
      </c>
      <c r="D3461" t="s">
        <v>113</v>
      </c>
      <c r="E3461">
        <v>15669</v>
      </c>
      <c r="F3461">
        <v>19589</v>
      </c>
      <c r="G3461">
        <v>9450</v>
      </c>
      <c r="H3461" t="s">
        <v>124</v>
      </c>
      <c r="I3461" t="s">
        <v>191</v>
      </c>
    </row>
    <row r="3462" spans="1:9" ht="15" customHeight="1" x14ac:dyDescent="0.35">
      <c r="A3462">
        <v>2018</v>
      </c>
      <c r="B3462" t="s">
        <v>155</v>
      </c>
      <c r="C3462">
        <v>8</v>
      </c>
      <c r="D3462" t="s">
        <v>113</v>
      </c>
      <c r="E3462">
        <v>14729</v>
      </c>
      <c r="F3462">
        <v>19397</v>
      </c>
      <c r="G3462">
        <v>10707</v>
      </c>
      <c r="H3462" t="s">
        <v>124</v>
      </c>
      <c r="I3462" t="s">
        <v>191</v>
      </c>
    </row>
    <row r="3463" spans="1:9" ht="15" customHeight="1" x14ac:dyDescent="0.35">
      <c r="A3463">
        <v>2018</v>
      </c>
      <c r="B3463" t="s">
        <v>156</v>
      </c>
      <c r="C3463">
        <v>9</v>
      </c>
      <c r="D3463" t="s">
        <v>113</v>
      </c>
      <c r="E3463">
        <v>14224</v>
      </c>
      <c r="F3463">
        <v>18392</v>
      </c>
      <c r="G3463">
        <v>10258</v>
      </c>
      <c r="H3463" t="s">
        <v>124</v>
      </c>
      <c r="I3463" t="s">
        <v>191</v>
      </c>
    </row>
    <row r="3464" spans="1:9" ht="15" customHeight="1" x14ac:dyDescent="0.35">
      <c r="A3464">
        <v>2018</v>
      </c>
      <c r="B3464" t="s">
        <v>157</v>
      </c>
      <c r="C3464">
        <v>10</v>
      </c>
      <c r="D3464" t="s">
        <v>113</v>
      </c>
      <c r="E3464">
        <v>13616</v>
      </c>
      <c r="F3464">
        <v>17317</v>
      </c>
      <c r="G3464">
        <v>10096</v>
      </c>
      <c r="H3464" t="s">
        <v>124</v>
      </c>
      <c r="I3464" t="s">
        <v>191</v>
      </c>
    </row>
    <row r="3465" spans="1:9" ht="15" customHeight="1" x14ac:dyDescent="0.35">
      <c r="A3465">
        <v>2018</v>
      </c>
      <c r="B3465" t="s">
        <v>158</v>
      </c>
      <c r="C3465">
        <v>11</v>
      </c>
      <c r="D3465" t="s">
        <v>113</v>
      </c>
      <c r="E3465">
        <v>11509</v>
      </c>
      <c r="F3465">
        <v>15435</v>
      </c>
      <c r="G3465">
        <v>8984</v>
      </c>
      <c r="H3465" t="s">
        <v>124</v>
      </c>
      <c r="I3465" t="s">
        <v>191</v>
      </c>
    </row>
    <row r="3466" spans="1:9" ht="15" customHeight="1" x14ac:dyDescent="0.35">
      <c r="A3466">
        <v>2018</v>
      </c>
      <c r="B3466" t="s">
        <v>159</v>
      </c>
      <c r="C3466">
        <v>12</v>
      </c>
      <c r="D3466" t="s">
        <v>113</v>
      </c>
      <c r="E3466">
        <v>11543</v>
      </c>
      <c r="F3466">
        <v>14898</v>
      </c>
      <c r="G3466">
        <v>9399</v>
      </c>
      <c r="H3466" t="s">
        <v>124</v>
      </c>
      <c r="I3466" t="s">
        <v>191</v>
      </c>
    </row>
    <row r="3467" spans="1:9" ht="15" customHeight="1" x14ac:dyDescent="0.35">
      <c r="A3467">
        <v>2019</v>
      </c>
      <c r="B3467" t="s">
        <v>147</v>
      </c>
      <c r="C3467">
        <v>1</v>
      </c>
      <c r="D3467" t="s">
        <v>113</v>
      </c>
      <c r="E3467">
        <v>11833</v>
      </c>
      <c r="F3467">
        <v>15196</v>
      </c>
      <c r="G3467">
        <v>7115</v>
      </c>
      <c r="H3467" t="s">
        <v>124</v>
      </c>
      <c r="I3467" t="s">
        <v>191</v>
      </c>
    </row>
    <row r="3468" spans="1:9" ht="15" customHeight="1" x14ac:dyDescent="0.35">
      <c r="A3468">
        <v>2019</v>
      </c>
      <c r="B3468" t="s">
        <v>149</v>
      </c>
      <c r="C3468">
        <v>2</v>
      </c>
      <c r="D3468" t="s">
        <v>113</v>
      </c>
      <c r="E3468">
        <v>10873</v>
      </c>
      <c r="F3468">
        <v>15065</v>
      </c>
      <c r="G3468">
        <v>7070</v>
      </c>
      <c r="H3468" t="s">
        <v>124</v>
      </c>
      <c r="I3468" t="s">
        <v>191</v>
      </c>
    </row>
    <row r="3469" spans="1:9" ht="15" customHeight="1" x14ac:dyDescent="0.35">
      <c r="A3469">
        <v>2019</v>
      </c>
      <c r="B3469" t="s">
        <v>150</v>
      </c>
      <c r="C3469">
        <v>3</v>
      </c>
      <c r="D3469" t="s">
        <v>113</v>
      </c>
      <c r="E3469">
        <v>11729</v>
      </c>
      <c r="F3469">
        <v>16544</v>
      </c>
      <c r="G3469">
        <v>7990</v>
      </c>
      <c r="H3469" t="s">
        <v>124</v>
      </c>
      <c r="I3469" t="s">
        <v>191</v>
      </c>
    </row>
    <row r="3470" spans="1:9" ht="15" customHeight="1" x14ac:dyDescent="0.35">
      <c r="A3470">
        <v>2019</v>
      </c>
      <c r="B3470" t="s">
        <v>151</v>
      </c>
      <c r="C3470">
        <v>4</v>
      </c>
      <c r="D3470" t="s">
        <v>113</v>
      </c>
      <c r="E3470">
        <v>14128</v>
      </c>
      <c r="F3470">
        <v>20354</v>
      </c>
      <c r="G3470">
        <v>8706</v>
      </c>
      <c r="H3470" t="s">
        <v>71</v>
      </c>
      <c r="I3470" t="s">
        <v>191</v>
      </c>
    </row>
    <row r="3471" spans="1:9" ht="15" customHeight="1" x14ac:dyDescent="0.35">
      <c r="A3471">
        <v>2019</v>
      </c>
      <c r="B3471" t="s">
        <v>152</v>
      </c>
      <c r="C3471">
        <v>5</v>
      </c>
      <c r="D3471" t="s">
        <v>113</v>
      </c>
      <c r="E3471">
        <v>17226</v>
      </c>
      <c r="F3471">
        <v>21545</v>
      </c>
      <c r="G3471">
        <v>10488</v>
      </c>
      <c r="H3471" t="s">
        <v>71</v>
      </c>
      <c r="I3471" t="s">
        <v>191</v>
      </c>
    </row>
    <row r="3472" spans="1:9" ht="15" customHeight="1" x14ac:dyDescent="0.35">
      <c r="A3472">
        <v>2019</v>
      </c>
      <c r="B3472" t="s">
        <v>153</v>
      </c>
      <c r="C3472">
        <v>6</v>
      </c>
      <c r="D3472" t="s">
        <v>113</v>
      </c>
      <c r="E3472">
        <v>17829</v>
      </c>
      <c r="F3472">
        <v>21519</v>
      </c>
      <c r="G3472">
        <v>12812</v>
      </c>
      <c r="H3472" t="s">
        <v>71</v>
      </c>
      <c r="I3472" t="s">
        <v>191</v>
      </c>
    </row>
    <row r="3473" spans="1:9" ht="15" customHeight="1" x14ac:dyDescent="0.35">
      <c r="A3473">
        <v>2019</v>
      </c>
      <c r="B3473" t="s">
        <v>154</v>
      </c>
      <c r="C3473">
        <v>7</v>
      </c>
      <c r="D3473" t="s">
        <v>113</v>
      </c>
      <c r="E3473">
        <v>16151</v>
      </c>
      <c r="F3473">
        <v>21302</v>
      </c>
      <c r="G3473">
        <v>10643</v>
      </c>
      <c r="H3473" t="s">
        <v>71</v>
      </c>
      <c r="I3473" t="s">
        <v>191</v>
      </c>
    </row>
    <row r="3474" spans="1:9" ht="15" customHeight="1" x14ac:dyDescent="0.35">
      <c r="A3474">
        <v>2019</v>
      </c>
      <c r="B3474" t="s">
        <v>155</v>
      </c>
      <c r="C3474">
        <v>8</v>
      </c>
      <c r="D3474" t="s">
        <v>113</v>
      </c>
      <c r="E3474">
        <v>16624</v>
      </c>
      <c r="F3474">
        <v>21872</v>
      </c>
      <c r="G3474">
        <v>11130</v>
      </c>
      <c r="H3474" t="s">
        <v>71</v>
      </c>
      <c r="I3474" t="s">
        <v>191</v>
      </c>
    </row>
    <row r="3475" spans="1:9" ht="15" customHeight="1" x14ac:dyDescent="0.35">
      <c r="A3475">
        <v>2019</v>
      </c>
      <c r="B3475" t="s">
        <v>156</v>
      </c>
      <c r="C3475">
        <v>9</v>
      </c>
      <c r="D3475" t="s">
        <v>113</v>
      </c>
      <c r="E3475">
        <v>15700</v>
      </c>
      <c r="F3475">
        <v>21430</v>
      </c>
      <c r="G3475">
        <v>8839</v>
      </c>
      <c r="H3475" t="s">
        <v>71</v>
      </c>
      <c r="I3475" t="s">
        <v>191</v>
      </c>
    </row>
    <row r="3476" spans="1:9" ht="15" customHeight="1" x14ac:dyDescent="0.35">
      <c r="A3476">
        <v>2019</v>
      </c>
      <c r="B3476" t="s">
        <v>157</v>
      </c>
      <c r="C3476">
        <v>10</v>
      </c>
      <c r="D3476" t="s">
        <v>113</v>
      </c>
      <c r="E3476">
        <v>12693</v>
      </c>
      <c r="F3476">
        <v>17406</v>
      </c>
      <c r="G3476">
        <v>8082</v>
      </c>
      <c r="H3476" t="s">
        <v>71</v>
      </c>
      <c r="I3476" t="s">
        <v>191</v>
      </c>
    </row>
    <row r="3477" spans="1:9" ht="15" customHeight="1" x14ac:dyDescent="0.35">
      <c r="A3477">
        <v>2019</v>
      </c>
      <c r="B3477" t="s">
        <v>158</v>
      </c>
      <c r="C3477">
        <v>11</v>
      </c>
      <c r="D3477" t="s">
        <v>113</v>
      </c>
      <c r="E3477">
        <v>11159</v>
      </c>
      <c r="F3477">
        <v>15377</v>
      </c>
      <c r="G3477">
        <v>8064</v>
      </c>
      <c r="H3477" t="s">
        <v>71</v>
      </c>
      <c r="I3477" t="s">
        <v>191</v>
      </c>
    </row>
    <row r="3478" spans="1:9" ht="15" customHeight="1" x14ac:dyDescent="0.35">
      <c r="A3478">
        <v>2019</v>
      </c>
      <c r="B3478" t="s">
        <v>159</v>
      </c>
      <c r="C3478">
        <v>12</v>
      </c>
      <c r="D3478" t="s">
        <v>113</v>
      </c>
      <c r="E3478">
        <v>10996</v>
      </c>
      <c r="F3478">
        <v>17659</v>
      </c>
      <c r="G3478">
        <v>4376</v>
      </c>
      <c r="H3478" t="s">
        <v>71</v>
      </c>
      <c r="I3478" t="s">
        <v>191</v>
      </c>
    </row>
    <row r="3479" spans="1:9" ht="15" customHeight="1" x14ac:dyDescent="0.35">
      <c r="A3479">
        <v>2020</v>
      </c>
      <c r="B3479" t="s">
        <v>147</v>
      </c>
      <c r="C3479">
        <v>1</v>
      </c>
      <c r="D3479" t="s">
        <v>113</v>
      </c>
      <c r="E3479">
        <v>11918</v>
      </c>
      <c r="F3479">
        <v>16430</v>
      </c>
      <c r="G3479">
        <v>7683</v>
      </c>
      <c r="H3479" t="s">
        <v>71</v>
      </c>
      <c r="I3479" t="s">
        <v>191</v>
      </c>
    </row>
    <row r="3480" spans="1:9" ht="15" customHeight="1" x14ac:dyDescent="0.35">
      <c r="A3480">
        <v>2020</v>
      </c>
      <c r="B3480" t="s">
        <v>149</v>
      </c>
      <c r="C3480">
        <v>2</v>
      </c>
      <c r="D3480" t="s">
        <v>113</v>
      </c>
      <c r="E3480">
        <v>11549</v>
      </c>
      <c r="F3480">
        <v>16513</v>
      </c>
      <c r="G3480">
        <v>7205</v>
      </c>
      <c r="H3480" t="s">
        <v>71</v>
      </c>
      <c r="I3480" t="s">
        <v>191</v>
      </c>
    </row>
    <row r="3481" spans="1:9" ht="15" customHeight="1" x14ac:dyDescent="0.35">
      <c r="A3481">
        <v>2020</v>
      </c>
      <c r="B3481" t="s">
        <v>150</v>
      </c>
      <c r="C3481">
        <v>3</v>
      </c>
      <c r="D3481" t="s">
        <v>113</v>
      </c>
      <c r="E3481">
        <v>9702</v>
      </c>
      <c r="F3481">
        <v>14255</v>
      </c>
      <c r="G3481">
        <v>6298</v>
      </c>
      <c r="H3481" t="s">
        <v>71</v>
      </c>
      <c r="I3481" t="s">
        <v>191</v>
      </c>
    </row>
    <row r="3482" spans="1:9" ht="15" customHeight="1" x14ac:dyDescent="0.35">
      <c r="A3482">
        <v>2020</v>
      </c>
      <c r="B3482" t="s">
        <v>151</v>
      </c>
      <c r="C3482">
        <v>4</v>
      </c>
      <c r="D3482" t="s">
        <v>113</v>
      </c>
      <c r="E3482">
        <v>11093</v>
      </c>
      <c r="F3482">
        <v>17004</v>
      </c>
      <c r="G3482">
        <v>6199</v>
      </c>
      <c r="H3482" t="s">
        <v>72</v>
      </c>
      <c r="I3482" t="s">
        <v>191</v>
      </c>
    </row>
    <row r="3483" spans="1:9" ht="15" customHeight="1" x14ac:dyDescent="0.35">
      <c r="A3483">
        <v>2020</v>
      </c>
      <c r="B3483" t="s">
        <v>152</v>
      </c>
      <c r="C3483">
        <v>5</v>
      </c>
      <c r="D3483" t="s">
        <v>113</v>
      </c>
      <c r="E3483">
        <v>13808</v>
      </c>
      <c r="F3483">
        <v>21646</v>
      </c>
      <c r="G3483">
        <v>6025</v>
      </c>
      <c r="H3483" t="s">
        <v>72</v>
      </c>
      <c r="I3483" t="s">
        <v>191</v>
      </c>
    </row>
    <row r="3484" spans="1:9" ht="15" customHeight="1" x14ac:dyDescent="0.35">
      <c r="A3484">
        <v>2020</v>
      </c>
      <c r="B3484" t="s">
        <v>153</v>
      </c>
      <c r="C3484">
        <v>6</v>
      </c>
      <c r="D3484" t="s">
        <v>113</v>
      </c>
      <c r="E3484">
        <v>16424</v>
      </c>
      <c r="F3484">
        <v>22360</v>
      </c>
      <c r="G3484">
        <v>9726</v>
      </c>
      <c r="H3484" t="s">
        <v>72</v>
      </c>
      <c r="I3484" t="s">
        <v>191</v>
      </c>
    </row>
    <row r="3485" spans="1:9" ht="15" customHeight="1" x14ac:dyDescent="0.35">
      <c r="A3485">
        <v>2020</v>
      </c>
      <c r="B3485" t="s">
        <v>154</v>
      </c>
      <c r="C3485">
        <v>7</v>
      </c>
      <c r="D3485" t="s">
        <v>113</v>
      </c>
      <c r="E3485">
        <v>17490</v>
      </c>
      <c r="F3485">
        <v>23699</v>
      </c>
      <c r="G3485">
        <v>10706</v>
      </c>
      <c r="H3485" t="s">
        <v>72</v>
      </c>
      <c r="I3485" t="s">
        <v>191</v>
      </c>
    </row>
    <row r="3486" spans="1:9" ht="15" customHeight="1" x14ac:dyDescent="0.35">
      <c r="A3486">
        <v>2020</v>
      </c>
      <c r="B3486" t="s">
        <v>155</v>
      </c>
      <c r="C3486">
        <v>8</v>
      </c>
      <c r="D3486" t="s">
        <v>113</v>
      </c>
      <c r="E3486">
        <v>16868</v>
      </c>
      <c r="F3486">
        <v>22913</v>
      </c>
      <c r="G3486">
        <v>10640</v>
      </c>
      <c r="H3486" t="s">
        <v>72</v>
      </c>
      <c r="I3486" t="s">
        <v>191</v>
      </c>
    </row>
    <row r="3487" spans="1:9" ht="15" customHeight="1" x14ac:dyDescent="0.35">
      <c r="A3487">
        <v>2020</v>
      </c>
      <c r="B3487" t="s">
        <v>156</v>
      </c>
      <c r="C3487">
        <v>9</v>
      </c>
      <c r="D3487" t="s">
        <v>113</v>
      </c>
      <c r="E3487">
        <v>18637</v>
      </c>
      <c r="F3487">
        <v>23942</v>
      </c>
      <c r="G3487">
        <v>10246</v>
      </c>
      <c r="H3487" t="s">
        <v>72</v>
      </c>
      <c r="I3487" t="s">
        <v>191</v>
      </c>
    </row>
    <row r="3488" spans="1:9" ht="15" customHeight="1" x14ac:dyDescent="0.35">
      <c r="A3488">
        <v>2020</v>
      </c>
      <c r="B3488" t="s">
        <v>157</v>
      </c>
      <c r="C3488">
        <v>10</v>
      </c>
      <c r="D3488" t="s">
        <v>113</v>
      </c>
      <c r="E3488">
        <v>14654</v>
      </c>
      <c r="F3488">
        <v>21026</v>
      </c>
      <c r="G3488">
        <v>8470</v>
      </c>
      <c r="H3488" t="s">
        <v>72</v>
      </c>
      <c r="I3488" t="s">
        <v>191</v>
      </c>
    </row>
    <row r="3489" spans="1:9" ht="15" customHeight="1" x14ac:dyDescent="0.35">
      <c r="A3489">
        <v>2020</v>
      </c>
      <c r="B3489" t="s">
        <v>158</v>
      </c>
      <c r="C3489">
        <v>11</v>
      </c>
      <c r="D3489" t="s">
        <v>113</v>
      </c>
      <c r="E3489">
        <v>10810</v>
      </c>
      <c r="F3489">
        <v>15411</v>
      </c>
      <c r="G3489">
        <v>6061</v>
      </c>
      <c r="H3489" t="s">
        <v>72</v>
      </c>
      <c r="I3489" t="s">
        <v>191</v>
      </c>
    </row>
    <row r="3490" spans="1:9" ht="15" customHeight="1" x14ac:dyDescent="0.35">
      <c r="A3490">
        <v>2020</v>
      </c>
      <c r="B3490" t="s">
        <v>159</v>
      </c>
      <c r="C3490">
        <v>12</v>
      </c>
      <c r="D3490" t="s">
        <v>113</v>
      </c>
      <c r="E3490">
        <v>12009</v>
      </c>
      <c r="F3490">
        <v>18426</v>
      </c>
      <c r="G3490">
        <v>7707</v>
      </c>
      <c r="H3490" t="s">
        <v>72</v>
      </c>
      <c r="I3490" t="s">
        <v>191</v>
      </c>
    </row>
    <row r="3491" spans="1:9" ht="15" customHeight="1" x14ac:dyDescent="0.35">
      <c r="A3491">
        <v>2021</v>
      </c>
      <c r="B3491" t="s">
        <v>147</v>
      </c>
      <c r="C3491">
        <v>1</v>
      </c>
      <c r="D3491" t="s">
        <v>113</v>
      </c>
      <c r="E3491">
        <v>12447</v>
      </c>
      <c r="F3491">
        <v>18712</v>
      </c>
      <c r="G3491">
        <v>7991</v>
      </c>
      <c r="H3491" t="s">
        <v>72</v>
      </c>
      <c r="I3491" t="s">
        <v>191</v>
      </c>
    </row>
    <row r="3492" spans="1:9" ht="15" customHeight="1" x14ac:dyDescent="0.35">
      <c r="A3492">
        <v>2021</v>
      </c>
      <c r="B3492" t="s">
        <v>149</v>
      </c>
      <c r="C3492">
        <v>2</v>
      </c>
      <c r="D3492" t="s">
        <v>113</v>
      </c>
      <c r="E3492">
        <v>12118</v>
      </c>
      <c r="F3492">
        <v>18252</v>
      </c>
      <c r="G3492">
        <v>7387</v>
      </c>
      <c r="H3492" t="s">
        <v>72</v>
      </c>
      <c r="I3492" t="s">
        <v>191</v>
      </c>
    </row>
    <row r="3493" spans="1:9" ht="15" customHeight="1" x14ac:dyDescent="0.35">
      <c r="A3493">
        <v>2021</v>
      </c>
      <c r="B3493" t="s">
        <v>150</v>
      </c>
      <c r="C3493">
        <v>3</v>
      </c>
      <c r="D3493" t="s">
        <v>113</v>
      </c>
      <c r="E3493">
        <v>13284</v>
      </c>
      <c r="F3493">
        <v>18279</v>
      </c>
      <c r="G3493">
        <v>7208</v>
      </c>
      <c r="H3493" t="s">
        <v>72</v>
      </c>
      <c r="I3493" t="s">
        <v>191</v>
      </c>
    </row>
    <row r="3494" spans="1:9" ht="15" customHeight="1" x14ac:dyDescent="0.35">
      <c r="A3494">
        <v>2021</v>
      </c>
      <c r="B3494" t="s">
        <v>151</v>
      </c>
      <c r="C3494">
        <v>4</v>
      </c>
      <c r="D3494" t="s">
        <v>113</v>
      </c>
      <c r="E3494">
        <v>14152</v>
      </c>
      <c r="F3494">
        <v>19974</v>
      </c>
      <c r="G3494">
        <v>6410</v>
      </c>
      <c r="H3494" t="s">
        <v>73</v>
      </c>
      <c r="I3494" t="s">
        <v>191</v>
      </c>
    </row>
    <row r="3495" spans="1:9" ht="15" customHeight="1" x14ac:dyDescent="0.35">
      <c r="A3495">
        <v>2021</v>
      </c>
      <c r="B3495" t="s">
        <v>152</v>
      </c>
      <c r="C3495">
        <v>5</v>
      </c>
      <c r="D3495" t="s">
        <v>113</v>
      </c>
      <c r="E3495">
        <v>14372</v>
      </c>
      <c r="F3495">
        <v>20895</v>
      </c>
      <c r="G3495">
        <v>5621</v>
      </c>
      <c r="H3495" t="s">
        <v>73</v>
      </c>
      <c r="I3495" t="s">
        <v>191</v>
      </c>
    </row>
    <row r="3496" spans="1:9" ht="15" customHeight="1" x14ac:dyDescent="0.35">
      <c r="A3496">
        <v>2021</v>
      </c>
      <c r="B3496" t="s">
        <v>153</v>
      </c>
      <c r="C3496">
        <v>6</v>
      </c>
      <c r="D3496" t="s">
        <v>113</v>
      </c>
      <c r="E3496">
        <v>16781</v>
      </c>
      <c r="F3496">
        <v>24832</v>
      </c>
      <c r="G3496">
        <v>8748</v>
      </c>
      <c r="H3496" t="s">
        <v>73</v>
      </c>
      <c r="I3496" t="s">
        <v>191</v>
      </c>
    </row>
    <row r="3497" spans="1:9" ht="15" customHeight="1" x14ac:dyDescent="0.35">
      <c r="A3497">
        <v>2021</v>
      </c>
      <c r="B3497" t="s">
        <v>154</v>
      </c>
      <c r="C3497">
        <v>7</v>
      </c>
      <c r="D3497" t="s">
        <v>113</v>
      </c>
      <c r="E3497">
        <v>18908</v>
      </c>
      <c r="F3497">
        <v>24919</v>
      </c>
      <c r="G3497">
        <v>9702</v>
      </c>
      <c r="H3497" t="s">
        <v>73</v>
      </c>
      <c r="I3497" t="s">
        <v>191</v>
      </c>
    </row>
    <row r="3498" spans="1:9" ht="15" customHeight="1" x14ac:dyDescent="0.35">
      <c r="A3498">
        <v>2021</v>
      </c>
      <c r="B3498" t="s">
        <v>155</v>
      </c>
      <c r="C3498">
        <v>8</v>
      </c>
      <c r="D3498" t="s">
        <v>113</v>
      </c>
      <c r="E3498">
        <v>17772</v>
      </c>
      <c r="F3498">
        <v>23792</v>
      </c>
      <c r="G3498">
        <v>8715</v>
      </c>
      <c r="H3498" t="s">
        <v>73</v>
      </c>
      <c r="I3498" t="s">
        <v>191</v>
      </c>
    </row>
    <row r="3499" spans="1:9" ht="15" customHeight="1" x14ac:dyDescent="0.35">
      <c r="A3499">
        <v>2021</v>
      </c>
      <c r="B3499" t="s">
        <v>156</v>
      </c>
      <c r="C3499">
        <v>9</v>
      </c>
      <c r="D3499" t="s">
        <v>113</v>
      </c>
      <c r="E3499">
        <v>16239</v>
      </c>
      <c r="F3499">
        <v>23091</v>
      </c>
      <c r="G3499">
        <v>8369</v>
      </c>
      <c r="H3499" t="s">
        <v>73</v>
      </c>
      <c r="I3499" t="s">
        <v>191</v>
      </c>
    </row>
    <row r="3500" spans="1:9" ht="15" customHeight="1" x14ac:dyDescent="0.35">
      <c r="A3500">
        <v>2021</v>
      </c>
      <c r="B3500" t="s">
        <v>157</v>
      </c>
      <c r="C3500">
        <v>10</v>
      </c>
      <c r="D3500" t="s">
        <v>113</v>
      </c>
      <c r="E3500">
        <v>14010</v>
      </c>
      <c r="F3500">
        <v>20193</v>
      </c>
      <c r="G3500">
        <v>8757</v>
      </c>
      <c r="H3500" t="s">
        <v>73</v>
      </c>
      <c r="I3500" t="s">
        <v>191</v>
      </c>
    </row>
    <row r="3501" spans="1:9" ht="15" customHeight="1" x14ac:dyDescent="0.35">
      <c r="A3501">
        <v>2021</v>
      </c>
      <c r="B3501" t="s">
        <v>158</v>
      </c>
      <c r="C3501">
        <v>11</v>
      </c>
      <c r="D3501" t="s">
        <v>113</v>
      </c>
      <c r="E3501">
        <v>11404</v>
      </c>
      <c r="F3501">
        <v>16108</v>
      </c>
      <c r="G3501">
        <v>7054</v>
      </c>
      <c r="H3501" t="s">
        <v>73</v>
      </c>
      <c r="I3501" t="s">
        <v>191</v>
      </c>
    </row>
    <row r="3502" spans="1:9" ht="15" customHeight="1" x14ac:dyDescent="0.35">
      <c r="A3502">
        <v>2021</v>
      </c>
      <c r="B3502" t="s">
        <v>159</v>
      </c>
      <c r="C3502">
        <v>12</v>
      </c>
      <c r="D3502" t="s">
        <v>113</v>
      </c>
      <c r="E3502">
        <v>12530</v>
      </c>
      <c r="F3502">
        <v>18661</v>
      </c>
      <c r="G3502">
        <v>7339</v>
      </c>
      <c r="H3502" t="s">
        <v>73</v>
      </c>
      <c r="I3502" t="s">
        <v>191</v>
      </c>
    </row>
    <row r="3503" spans="1:9" ht="15" customHeight="1" x14ac:dyDescent="0.35">
      <c r="A3503">
        <v>2022</v>
      </c>
      <c r="B3503" t="s">
        <v>147</v>
      </c>
      <c r="C3503">
        <v>1</v>
      </c>
      <c r="D3503" t="s">
        <v>113</v>
      </c>
      <c r="E3503">
        <v>13000</v>
      </c>
      <c r="F3503">
        <v>20014</v>
      </c>
      <c r="G3503">
        <v>7956</v>
      </c>
      <c r="H3503" t="s">
        <v>73</v>
      </c>
      <c r="I3503" t="s">
        <v>191</v>
      </c>
    </row>
    <row r="3504" spans="1:9" ht="15" customHeight="1" x14ac:dyDescent="0.35">
      <c r="A3504">
        <v>2022</v>
      </c>
      <c r="B3504" t="s">
        <v>149</v>
      </c>
      <c r="C3504">
        <v>2</v>
      </c>
      <c r="D3504" t="s">
        <v>113</v>
      </c>
      <c r="E3504">
        <v>12990</v>
      </c>
      <c r="F3504">
        <v>19232</v>
      </c>
      <c r="G3504">
        <v>8583</v>
      </c>
      <c r="H3504" t="s">
        <v>73</v>
      </c>
      <c r="I3504" t="s">
        <v>191</v>
      </c>
    </row>
    <row r="3505" spans="1:9" ht="15" customHeight="1" x14ac:dyDescent="0.35">
      <c r="A3505">
        <v>2022</v>
      </c>
      <c r="B3505" t="s">
        <v>150</v>
      </c>
      <c r="C3505">
        <v>3</v>
      </c>
      <c r="D3505" t="s">
        <v>113</v>
      </c>
      <c r="E3505">
        <v>14876</v>
      </c>
      <c r="F3505">
        <v>20647</v>
      </c>
      <c r="G3505">
        <v>9611</v>
      </c>
      <c r="H3505" t="s">
        <v>73</v>
      </c>
      <c r="I3505" t="s">
        <v>191</v>
      </c>
    </row>
    <row r="3506" spans="1:9" ht="15" customHeight="1" x14ac:dyDescent="0.35">
      <c r="A3506">
        <v>2022</v>
      </c>
      <c r="B3506" t="s">
        <v>151</v>
      </c>
      <c r="C3506">
        <v>4</v>
      </c>
      <c r="D3506" t="s">
        <v>113</v>
      </c>
      <c r="E3506">
        <v>17671</v>
      </c>
      <c r="F3506">
        <v>21577</v>
      </c>
      <c r="G3506">
        <v>13049</v>
      </c>
      <c r="H3506" t="s">
        <v>74</v>
      </c>
      <c r="I3506" t="s">
        <v>191</v>
      </c>
    </row>
    <row r="3507" spans="1:9" ht="15" customHeight="1" x14ac:dyDescent="0.35">
      <c r="A3507">
        <v>2022</v>
      </c>
      <c r="B3507" t="s">
        <v>152</v>
      </c>
      <c r="C3507">
        <v>5</v>
      </c>
      <c r="D3507" t="s">
        <v>113</v>
      </c>
      <c r="E3507">
        <v>19102</v>
      </c>
      <c r="F3507">
        <v>25259</v>
      </c>
      <c r="G3507">
        <v>8693</v>
      </c>
      <c r="H3507" t="s">
        <v>74</v>
      </c>
      <c r="I3507" t="s">
        <v>191</v>
      </c>
    </row>
    <row r="3508" spans="1:9" ht="15" customHeight="1" x14ac:dyDescent="0.35">
      <c r="A3508">
        <v>2022</v>
      </c>
      <c r="B3508" t="s">
        <v>153</v>
      </c>
      <c r="C3508">
        <v>6</v>
      </c>
      <c r="D3508" t="s">
        <v>113</v>
      </c>
      <c r="E3508">
        <v>20838</v>
      </c>
      <c r="F3508">
        <v>26045</v>
      </c>
      <c r="G3508">
        <v>10342</v>
      </c>
      <c r="H3508" t="s">
        <v>74</v>
      </c>
      <c r="I3508" t="s">
        <v>191</v>
      </c>
    </row>
    <row r="3509" spans="1:9" ht="15" customHeight="1" x14ac:dyDescent="0.35">
      <c r="A3509">
        <v>2022</v>
      </c>
      <c r="B3509" t="s">
        <v>154</v>
      </c>
      <c r="C3509">
        <v>7</v>
      </c>
      <c r="D3509" t="s">
        <v>113</v>
      </c>
      <c r="E3509">
        <v>20201</v>
      </c>
      <c r="F3509">
        <v>26241</v>
      </c>
      <c r="G3509">
        <v>12121</v>
      </c>
      <c r="H3509" t="s">
        <v>74</v>
      </c>
      <c r="I3509" t="s">
        <v>191</v>
      </c>
    </row>
    <row r="3510" spans="1:9" ht="15" customHeight="1" x14ac:dyDescent="0.35">
      <c r="A3510">
        <v>2022</v>
      </c>
      <c r="B3510" t="s">
        <v>155</v>
      </c>
      <c r="C3510">
        <v>8</v>
      </c>
      <c r="D3510" t="s">
        <v>113</v>
      </c>
      <c r="E3510">
        <v>20018</v>
      </c>
      <c r="F3510">
        <v>25577</v>
      </c>
      <c r="G3510">
        <v>12497</v>
      </c>
      <c r="H3510" t="s">
        <v>74</v>
      </c>
      <c r="I3510" t="s">
        <v>191</v>
      </c>
    </row>
    <row r="3511" spans="1:9" ht="15" customHeight="1" x14ac:dyDescent="0.35">
      <c r="A3511">
        <v>2022</v>
      </c>
      <c r="B3511" t="s">
        <v>156</v>
      </c>
      <c r="C3511">
        <v>9</v>
      </c>
      <c r="D3511" t="s">
        <v>113</v>
      </c>
      <c r="E3511">
        <v>18379</v>
      </c>
      <c r="F3511">
        <v>26134</v>
      </c>
      <c r="G3511">
        <v>10490</v>
      </c>
      <c r="H3511" t="s">
        <v>74</v>
      </c>
      <c r="I3511" t="s">
        <v>191</v>
      </c>
    </row>
    <row r="3512" spans="1:9" ht="15" customHeight="1" x14ac:dyDescent="0.35">
      <c r="A3512">
        <v>2022</v>
      </c>
      <c r="B3512" t="s">
        <v>157</v>
      </c>
      <c r="C3512">
        <v>10</v>
      </c>
      <c r="D3512" t="s">
        <v>113</v>
      </c>
      <c r="E3512">
        <v>13599</v>
      </c>
      <c r="F3512">
        <v>22427</v>
      </c>
      <c r="G3512">
        <v>7222</v>
      </c>
      <c r="H3512" t="s">
        <v>74</v>
      </c>
      <c r="I3512" t="s">
        <v>191</v>
      </c>
    </row>
    <row r="3513" spans="1:9" ht="15" customHeight="1" x14ac:dyDescent="0.35">
      <c r="A3513">
        <v>2022</v>
      </c>
      <c r="B3513" t="s">
        <v>158</v>
      </c>
      <c r="C3513">
        <v>11</v>
      </c>
      <c r="D3513" t="s">
        <v>113</v>
      </c>
      <c r="E3513">
        <v>12770</v>
      </c>
      <c r="F3513">
        <v>16918</v>
      </c>
      <c r="G3513">
        <v>9797</v>
      </c>
      <c r="H3513" t="s">
        <v>74</v>
      </c>
      <c r="I3513" t="s">
        <v>191</v>
      </c>
    </row>
    <row r="3514" spans="1:9" ht="15" customHeight="1" x14ac:dyDescent="0.35">
      <c r="A3514">
        <v>2022</v>
      </c>
      <c r="B3514" t="s">
        <v>159</v>
      </c>
      <c r="C3514">
        <v>12</v>
      </c>
      <c r="D3514" t="s">
        <v>113</v>
      </c>
      <c r="E3514">
        <v>13270</v>
      </c>
      <c r="F3514">
        <v>19414</v>
      </c>
      <c r="G3514">
        <v>9497</v>
      </c>
      <c r="H3514" t="s">
        <v>74</v>
      </c>
      <c r="I3514" t="s">
        <v>191</v>
      </c>
    </row>
    <row r="3515" spans="1:9" ht="15" customHeight="1" x14ac:dyDescent="0.35">
      <c r="A3515">
        <v>2023</v>
      </c>
      <c r="B3515" t="s">
        <v>147</v>
      </c>
      <c r="C3515">
        <v>1</v>
      </c>
      <c r="D3515" t="s">
        <v>113</v>
      </c>
      <c r="E3515">
        <v>14437</v>
      </c>
      <c r="F3515">
        <v>20985</v>
      </c>
      <c r="G3515">
        <v>8654</v>
      </c>
      <c r="H3515" t="s">
        <v>74</v>
      </c>
      <c r="I3515" t="s">
        <v>191</v>
      </c>
    </row>
    <row r="3516" spans="1:9" ht="15" customHeight="1" x14ac:dyDescent="0.35">
      <c r="A3516">
        <v>2023</v>
      </c>
      <c r="B3516" t="s">
        <v>149</v>
      </c>
      <c r="C3516">
        <v>2</v>
      </c>
      <c r="D3516" t="s">
        <v>113</v>
      </c>
      <c r="E3516">
        <v>13614</v>
      </c>
      <c r="F3516">
        <v>18271</v>
      </c>
      <c r="G3516">
        <v>9410</v>
      </c>
      <c r="H3516" t="s">
        <v>74</v>
      </c>
      <c r="I3516" t="s">
        <v>191</v>
      </c>
    </row>
    <row r="3517" spans="1:9" ht="15" customHeight="1" x14ac:dyDescent="0.35">
      <c r="A3517">
        <v>2023</v>
      </c>
      <c r="B3517" t="s">
        <v>150</v>
      </c>
      <c r="C3517">
        <v>3</v>
      </c>
      <c r="D3517" t="s">
        <v>113</v>
      </c>
      <c r="E3517">
        <v>13205</v>
      </c>
      <c r="F3517">
        <v>19123</v>
      </c>
      <c r="G3517">
        <v>8617</v>
      </c>
      <c r="H3517" t="s">
        <v>74</v>
      </c>
      <c r="I3517" t="s">
        <v>191</v>
      </c>
    </row>
    <row r="3518" spans="1:9" ht="15" customHeight="1" x14ac:dyDescent="0.35">
      <c r="A3518">
        <v>2023</v>
      </c>
      <c r="B3518" t="s">
        <v>151</v>
      </c>
      <c r="C3518">
        <v>4</v>
      </c>
      <c r="D3518" t="s">
        <v>113</v>
      </c>
      <c r="E3518">
        <v>15585</v>
      </c>
      <c r="F3518">
        <v>23313</v>
      </c>
      <c r="G3518">
        <v>8455</v>
      </c>
      <c r="H3518" t="s">
        <v>75</v>
      </c>
      <c r="I3518" t="s">
        <v>191</v>
      </c>
    </row>
    <row r="3519" spans="1:9" ht="15" customHeight="1" x14ac:dyDescent="0.35">
      <c r="A3519">
        <v>2023</v>
      </c>
      <c r="B3519" t="s">
        <v>152</v>
      </c>
      <c r="C3519">
        <v>5</v>
      </c>
      <c r="D3519" t="s">
        <v>113</v>
      </c>
      <c r="E3519">
        <v>17921</v>
      </c>
      <c r="F3519">
        <v>25783</v>
      </c>
      <c r="G3519">
        <v>9497</v>
      </c>
      <c r="H3519" t="s">
        <v>75</v>
      </c>
      <c r="I3519" t="s">
        <v>191</v>
      </c>
    </row>
    <row r="3520" spans="1:9" ht="15" customHeight="1" x14ac:dyDescent="0.35">
      <c r="A3520">
        <v>2023</v>
      </c>
      <c r="B3520" t="s">
        <v>153</v>
      </c>
      <c r="C3520">
        <v>6</v>
      </c>
      <c r="D3520" t="s">
        <v>113</v>
      </c>
      <c r="E3520">
        <v>21231</v>
      </c>
      <c r="F3520">
        <v>27469</v>
      </c>
      <c r="G3520">
        <v>12202</v>
      </c>
      <c r="H3520" t="s">
        <v>75</v>
      </c>
      <c r="I3520" t="s">
        <v>191</v>
      </c>
    </row>
    <row r="3521" spans="1:9" ht="15" customHeight="1" x14ac:dyDescent="0.35">
      <c r="A3521">
        <v>2023</v>
      </c>
      <c r="B3521" t="s">
        <v>154</v>
      </c>
      <c r="C3521">
        <v>7</v>
      </c>
      <c r="D3521" t="s">
        <v>113</v>
      </c>
      <c r="E3521">
        <v>20788</v>
      </c>
      <c r="F3521">
        <v>28035</v>
      </c>
      <c r="G3521">
        <v>13057</v>
      </c>
      <c r="H3521" t="s">
        <v>75</v>
      </c>
      <c r="I3521" t="s">
        <v>191</v>
      </c>
    </row>
    <row r="3522" spans="1:9" ht="15" customHeight="1" x14ac:dyDescent="0.35">
      <c r="A3522">
        <v>2023</v>
      </c>
      <c r="B3522" t="s">
        <v>155</v>
      </c>
      <c r="C3522">
        <v>8</v>
      </c>
      <c r="D3522" t="s">
        <v>113</v>
      </c>
      <c r="E3522">
        <v>21291</v>
      </c>
      <c r="F3522">
        <v>27589</v>
      </c>
      <c r="G3522">
        <v>13086</v>
      </c>
      <c r="H3522" t="s">
        <v>75</v>
      </c>
      <c r="I3522" t="s">
        <v>191</v>
      </c>
    </row>
    <row r="3523" spans="1:9" ht="15" customHeight="1" x14ac:dyDescent="0.35">
      <c r="A3523">
        <v>2023</v>
      </c>
      <c r="B3523" t="s">
        <v>156</v>
      </c>
      <c r="C3523">
        <v>9</v>
      </c>
      <c r="D3523" t="s">
        <v>113</v>
      </c>
      <c r="E3523">
        <v>20511</v>
      </c>
      <c r="F3523">
        <v>27049</v>
      </c>
      <c r="G3523">
        <v>12388</v>
      </c>
      <c r="H3523" t="s">
        <v>75</v>
      </c>
      <c r="I3523" t="s">
        <v>191</v>
      </c>
    </row>
    <row r="3524" spans="1:9" ht="15" customHeight="1" x14ac:dyDescent="0.35">
      <c r="A3524">
        <v>2023</v>
      </c>
      <c r="B3524" t="s">
        <v>157</v>
      </c>
      <c r="C3524">
        <v>10</v>
      </c>
      <c r="D3524" t="s">
        <v>113</v>
      </c>
      <c r="E3524">
        <v>16529</v>
      </c>
      <c r="F3524">
        <v>24038</v>
      </c>
      <c r="G3524">
        <v>10385</v>
      </c>
      <c r="H3524" t="s">
        <v>75</v>
      </c>
      <c r="I3524" t="s">
        <v>191</v>
      </c>
    </row>
    <row r="3525" spans="1:9" ht="15" customHeight="1" x14ac:dyDescent="0.35">
      <c r="A3525">
        <v>2023</v>
      </c>
      <c r="B3525" t="s">
        <v>158</v>
      </c>
      <c r="C3525">
        <v>11</v>
      </c>
      <c r="D3525" t="s">
        <v>113</v>
      </c>
      <c r="E3525">
        <v>13326</v>
      </c>
      <c r="F3525">
        <v>18705</v>
      </c>
      <c r="G3525">
        <v>9006</v>
      </c>
      <c r="H3525" t="s">
        <v>75</v>
      </c>
      <c r="I3525" t="s">
        <v>191</v>
      </c>
    </row>
    <row r="3526" spans="1:9" ht="15" customHeight="1" x14ac:dyDescent="0.35">
      <c r="A3526">
        <v>2023</v>
      </c>
      <c r="B3526" t="s">
        <v>159</v>
      </c>
      <c r="C3526">
        <v>12</v>
      </c>
      <c r="D3526" t="s">
        <v>113</v>
      </c>
      <c r="E3526">
        <v>13300</v>
      </c>
      <c r="F3526">
        <v>19525</v>
      </c>
      <c r="G3526">
        <v>8875</v>
      </c>
      <c r="H3526" t="s">
        <v>75</v>
      </c>
      <c r="I3526" t="s">
        <v>191</v>
      </c>
    </row>
    <row r="3527" spans="1:9" ht="15" customHeight="1" x14ac:dyDescent="0.35">
      <c r="A3527">
        <v>2024</v>
      </c>
      <c r="B3527" t="s">
        <v>147</v>
      </c>
      <c r="C3527">
        <v>1</v>
      </c>
      <c r="D3527" t="s">
        <v>113</v>
      </c>
      <c r="E3527">
        <v>15696</v>
      </c>
      <c r="F3527">
        <v>22289</v>
      </c>
      <c r="G3527">
        <v>10330</v>
      </c>
      <c r="H3527" t="s">
        <v>75</v>
      </c>
      <c r="I3527" t="s">
        <v>191</v>
      </c>
    </row>
    <row r="3528" spans="1:9" ht="15" customHeight="1" x14ac:dyDescent="0.35">
      <c r="A3528">
        <v>2024</v>
      </c>
      <c r="B3528" t="s">
        <v>149</v>
      </c>
      <c r="C3528">
        <v>2</v>
      </c>
      <c r="D3528" t="s">
        <v>113</v>
      </c>
      <c r="E3528">
        <v>13337</v>
      </c>
      <c r="F3528">
        <v>19190</v>
      </c>
      <c r="G3528">
        <v>7809</v>
      </c>
      <c r="H3528" t="s">
        <v>75</v>
      </c>
      <c r="I3528" t="s">
        <v>191</v>
      </c>
    </row>
    <row r="3529" spans="1:9" ht="15" customHeight="1" x14ac:dyDescent="0.35">
      <c r="A3529">
        <v>2024</v>
      </c>
      <c r="B3529" t="s">
        <v>150</v>
      </c>
      <c r="C3529">
        <v>3</v>
      </c>
      <c r="D3529" t="s">
        <v>113</v>
      </c>
      <c r="E3529">
        <v>14167</v>
      </c>
      <c r="F3529">
        <v>20762</v>
      </c>
      <c r="G3529">
        <v>7657</v>
      </c>
      <c r="H3529" t="s">
        <v>75</v>
      </c>
      <c r="I3529" t="s">
        <v>191</v>
      </c>
    </row>
    <row r="3530" spans="1:9" ht="15" customHeight="1" x14ac:dyDescent="0.35">
      <c r="A3530">
        <v>2024</v>
      </c>
      <c r="B3530" t="s">
        <v>151</v>
      </c>
      <c r="C3530">
        <v>4</v>
      </c>
      <c r="D3530" t="s">
        <v>113</v>
      </c>
      <c r="E3530">
        <v>14071</v>
      </c>
      <c r="F3530">
        <v>20762</v>
      </c>
      <c r="G3530">
        <v>7657</v>
      </c>
      <c r="H3530" t="s">
        <v>77</v>
      </c>
      <c r="I3530" t="s">
        <v>191</v>
      </c>
    </row>
    <row r="3531" spans="1:9" ht="15" customHeight="1" x14ac:dyDescent="0.35">
      <c r="A3531">
        <v>2024</v>
      </c>
      <c r="B3531" t="s">
        <v>152</v>
      </c>
      <c r="C3531">
        <v>5</v>
      </c>
      <c r="D3531" t="s">
        <v>113</v>
      </c>
      <c r="E3531">
        <v>23700</v>
      </c>
      <c r="F3531">
        <v>29561</v>
      </c>
      <c r="G3531">
        <v>16529</v>
      </c>
      <c r="H3531" t="s">
        <v>77</v>
      </c>
      <c r="I3531" t="s">
        <v>191</v>
      </c>
    </row>
    <row r="3532" spans="1:9" ht="15" customHeight="1" x14ac:dyDescent="0.35">
      <c r="A3532">
        <v>2024</v>
      </c>
      <c r="B3532" t="s">
        <v>153</v>
      </c>
      <c r="C3532">
        <v>6</v>
      </c>
      <c r="D3532" t="s">
        <v>113</v>
      </c>
      <c r="E3532">
        <v>25342</v>
      </c>
      <c r="F3532">
        <v>30422</v>
      </c>
      <c r="G3532">
        <v>14633</v>
      </c>
      <c r="H3532" t="s">
        <v>77</v>
      </c>
      <c r="I3532" t="s">
        <v>191</v>
      </c>
    </row>
    <row r="3533" spans="1:9" ht="15" customHeight="1" x14ac:dyDescent="0.35">
      <c r="A3533">
        <v>2024</v>
      </c>
      <c r="B3533" t="s">
        <v>154</v>
      </c>
      <c r="C3533">
        <v>7</v>
      </c>
      <c r="D3533" t="s">
        <v>113</v>
      </c>
      <c r="E3533">
        <v>23266</v>
      </c>
      <c r="F3533">
        <v>30018</v>
      </c>
      <c r="G3533">
        <v>12542</v>
      </c>
      <c r="H3533" t="s">
        <v>77</v>
      </c>
      <c r="I3533" t="s">
        <v>191</v>
      </c>
    </row>
    <row r="3534" spans="1:9" ht="15" customHeight="1" x14ac:dyDescent="0.35">
      <c r="A3534">
        <v>2024</v>
      </c>
      <c r="B3534" t="s">
        <v>155</v>
      </c>
      <c r="C3534">
        <v>8</v>
      </c>
      <c r="D3534" t="s">
        <v>113</v>
      </c>
      <c r="E3534">
        <v>22009</v>
      </c>
      <c r="F3534">
        <v>28966</v>
      </c>
      <c r="G3534">
        <v>14966</v>
      </c>
      <c r="H3534" t="s">
        <v>77</v>
      </c>
      <c r="I3534" t="s">
        <v>191</v>
      </c>
    </row>
    <row r="3535" spans="1:9" ht="15" customHeight="1" x14ac:dyDescent="0.35">
      <c r="A3535">
        <v>2024</v>
      </c>
      <c r="B3535" t="s">
        <v>156</v>
      </c>
      <c r="C3535">
        <v>9</v>
      </c>
      <c r="D3535" t="s">
        <v>113</v>
      </c>
      <c r="E3535">
        <v>20150</v>
      </c>
      <c r="F3535">
        <v>29105</v>
      </c>
      <c r="G3535">
        <v>11742</v>
      </c>
      <c r="H3535" t="s">
        <v>77</v>
      </c>
      <c r="I3535" t="s">
        <v>191</v>
      </c>
    </row>
    <row r="3536" spans="1:9" ht="15" customHeight="1" x14ac:dyDescent="0.35">
      <c r="A3536">
        <v>2024</v>
      </c>
      <c r="B3536" t="s">
        <v>157</v>
      </c>
      <c r="C3536">
        <v>10</v>
      </c>
      <c r="D3536" t="s">
        <v>113</v>
      </c>
      <c r="E3536">
        <v>19304</v>
      </c>
      <c r="F3536">
        <v>26600</v>
      </c>
      <c r="G3536">
        <v>12747</v>
      </c>
      <c r="H3536" t="s">
        <v>77</v>
      </c>
      <c r="I3536" t="s">
        <v>191</v>
      </c>
    </row>
    <row r="3537" spans="1:9" ht="15" customHeight="1" x14ac:dyDescent="0.35">
      <c r="A3537">
        <v>2024</v>
      </c>
      <c r="B3537" t="s">
        <v>158</v>
      </c>
      <c r="C3537">
        <v>11</v>
      </c>
      <c r="D3537" t="s">
        <v>113</v>
      </c>
      <c r="E3537">
        <v>14677</v>
      </c>
      <c r="F3537">
        <v>19857</v>
      </c>
      <c r="G3537">
        <v>9782</v>
      </c>
      <c r="H3537" t="s">
        <v>77</v>
      </c>
      <c r="I3537" t="s">
        <v>191</v>
      </c>
    </row>
    <row r="3538" spans="1:9" ht="15" customHeight="1" x14ac:dyDescent="0.35">
      <c r="A3538">
        <v>2024</v>
      </c>
      <c r="B3538" t="s">
        <v>159</v>
      </c>
      <c r="C3538">
        <v>12</v>
      </c>
      <c r="D3538" t="s">
        <v>113</v>
      </c>
      <c r="E3538">
        <v>14050</v>
      </c>
      <c r="F3538">
        <v>20507</v>
      </c>
      <c r="G3538">
        <v>9199</v>
      </c>
      <c r="H3538" t="s">
        <v>77</v>
      </c>
      <c r="I3538" t="s">
        <v>191</v>
      </c>
    </row>
    <row r="3539" spans="1:9" ht="15" customHeight="1" x14ac:dyDescent="0.35">
      <c r="A3539">
        <v>2025</v>
      </c>
      <c r="B3539" t="s">
        <v>147</v>
      </c>
      <c r="C3539">
        <v>1</v>
      </c>
      <c r="D3539" t="s">
        <v>113</v>
      </c>
      <c r="E3539">
        <v>15283</v>
      </c>
      <c r="F3539">
        <v>21925</v>
      </c>
      <c r="G3539">
        <v>10455</v>
      </c>
      <c r="H3539" t="s">
        <v>77</v>
      </c>
      <c r="I3539" t="s">
        <v>191</v>
      </c>
    </row>
    <row r="3540" spans="1:9" ht="15" customHeight="1" x14ac:dyDescent="0.35">
      <c r="A3540">
        <v>2025</v>
      </c>
      <c r="B3540" t="s">
        <v>149</v>
      </c>
      <c r="C3540">
        <v>2</v>
      </c>
      <c r="D3540" t="s">
        <v>113</v>
      </c>
      <c r="E3540">
        <v>14768</v>
      </c>
      <c r="F3540">
        <v>20112</v>
      </c>
      <c r="G3540">
        <v>9745</v>
      </c>
      <c r="H3540" t="s">
        <v>77</v>
      </c>
      <c r="I3540" t="s">
        <v>191</v>
      </c>
    </row>
    <row r="3541" spans="1:9" ht="15" customHeight="1" x14ac:dyDescent="0.35">
      <c r="A3541">
        <v>2025</v>
      </c>
      <c r="B3541" t="s">
        <v>150</v>
      </c>
      <c r="C3541">
        <v>3</v>
      </c>
      <c r="D3541" t="s">
        <v>113</v>
      </c>
      <c r="E3541">
        <v>15566</v>
      </c>
      <c r="F3541">
        <v>21409</v>
      </c>
      <c r="G3541">
        <v>8532</v>
      </c>
      <c r="H3541" t="s">
        <v>77</v>
      </c>
      <c r="I3541" t="s">
        <v>191</v>
      </c>
    </row>
    <row r="3542" spans="1:9" ht="15" customHeight="1" x14ac:dyDescent="0.35">
      <c r="A3542">
        <v>2025</v>
      </c>
      <c r="B3542" t="s">
        <v>151</v>
      </c>
      <c r="C3542">
        <v>4</v>
      </c>
      <c r="D3542" t="s">
        <v>113</v>
      </c>
      <c r="E3542">
        <v>18352</v>
      </c>
      <c r="F3542">
        <v>26049</v>
      </c>
      <c r="G3542">
        <v>10421</v>
      </c>
      <c r="H3542" t="s">
        <v>78</v>
      </c>
      <c r="I3542" t="s">
        <v>191</v>
      </c>
    </row>
    <row r="3543" spans="1:9" ht="15" customHeight="1" x14ac:dyDescent="0.35">
      <c r="A3543">
        <v>2025</v>
      </c>
      <c r="B3543" t="s">
        <v>152</v>
      </c>
      <c r="C3543">
        <v>5</v>
      </c>
      <c r="D3543" t="s">
        <v>113</v>
      </c>
      <c r="E3543">
        <v>21814</v>
      </c>
      <c r="F3543">
        <v>29596</v>
      </c>
      <c r="G3543">
        <v>11268</v>
      </c>
      <c r="H3543" t="s">
        <v>78</v>
      </c>
      <c r="I3543" t="s">
        <v>191</v>
      </c>
    </row>
    <row r="3544" spans="1:9" ht="15" customHeight="1" x14ac:dyDescent="0.35">
      <c r="A3544">
        <v>2025</v>
      </c>
      <c r="B3544" t="s">
        <v>153</v>
      </c>
      <c r="C3544">
        <v>6</v>
      </c>
      <c r="D3544" t="s">
        <v>113</v>
      </c>
      <c r="E3544">
        <v>23778</v>
      </c>
      <c r="F3544">
        <v>31288</v>
      </c>
      <c r="G3544">
        <v>15364</v>
      </c>
      <c r="H3544" t="s">
        <v>78</v>
      </c>
      <c r="I3544" t="s">
        <v>191</v>
      </c>
    </row>
    <row r="3545" spans="1:9" ht="15" customHeight="1" x14ac:dyDescent="0.35">
      <c r="A3545">
        <v>2025</v>
      </c>
      <c r="B3545" t="s">
        <v>154</v>
      </c>
      <c r="C3545">
        <v>7</v>
      </c>
      <c r="D3545" t="s">
        <v>113</v>
      </c>
      <c r="E3545">
        <v>22998</v>
      </c>
      <c r="F3545">
        <v>30095</v>
      </c>
      <c r="G3545">
        <v>14046</v>
      </c>
      <c r="H3545" t="s">
        <v>78</v>
      </c>
      <c r="I3545" t="s">
        <v>191</v>
      </c>
    </row>
    <row r="3546" spans="1:9" ht="15" customHeight="1" x14ac:dyDescent="0.35">
      <c r="A3546">
        <v>2025</v>
      </c>
      <c r="B3546" t="s">
        <v>155</v>
      </c>
      <c r="C3546">
        <v>8</v>
      </c>
      <c r="D3546" t="s">
        <v>113</v>
      </c>
      <c r="E3546">
        <v>21939</v>
      </c>
      <c r="F3546">
        <v>30167</v>
      </c>
      <c r="G3546">
        <v>13469</v>
      </c>
      <c r="H3546" t="s">
        <v>78</v>
      </c>
      <c r="I3546" t="s">
        <v>191</v>
      </c>
    </row>
    <row r="3547" spans="1:9" ht="15" customHeight="1" x14ac:dyDescent="0.35">
      <c r="A3547">
        <v>2025</v>
      </c>
      <c r="B3547" t="s">
        <v>156</v>
      </c>
      <c r="C3547">
        <v>9</v>
      </c>
      <c r="D3547" t="s">
        <v>113</v>
      </c>
      <c r="E3547">
        <v>22440</v>
      </c>
      <c r="F3547">
        <v>30156</v>
      </c>
      <c r="G3547">
        <v>14447</v>
      </c>
      <c r="H3547" t="s">
        <v>78</v>
      </c>
      <c r="I3547" t="s">
        <v>191</v>
      </c>
    </row>
    <row r="3548" spans="1:9" ht="15" customHeight="1" x14ac:dyDescent="0.35">
      <c r="A3548">
        <v>2025</v>
      </c>
      <c r="B3548" t="s">
        <v>157</v>
      </c>
      <c r="C3548">
        <v>10</v>
      </c>
      <c r="D3548" t="s">
        <v>113</v>
      </c>
      <c r="E3548">
        <v>17129</v>
      </c>
      <c r="F3548">
        <v>26017</v>
      </c>
      <c r="G3548">
        <v>11017</v>
      </c>
      <c r="H3548" t="s">
        <v>78</v>
      </c>
      <c r="I3548" t="s">
        <v>191</v>
      </c>
    </row>
    <row r="3549" spans="1:9" ht="15" customHeight="1" x14ac:dyDescent="0.35">
      <c r="A3549">
        <v>2025</v>
      </c>
      <c r="B3549" t="s">
        <v>158</v>
      </c>
      <c r="C3549">
        <v>11</v>
      </c>
      <c r="D3549" t="s">
        <v>113</v>
      </c>
      <c r="E3549">
        <v>13670</v>
      </c>
      <c r="F3549">
        <v>18889</v>
      </c>
      <c r="G3549">
        <v>10228</v>
      </c>
      <c r="H3549" t="s">
        <v>78</v>
      </c>
      <c r="I3549" t="s">
        <v>191</v>
      </c>
    </row>
    <row r="3550" spans="1:9" ht="15" customHeight="1" x14ac:dyDescent="0.35">
      <c r="A3550">
        <v>2025</v>
      </c>
      <c r="B3550" t="s">
        <v>159</v>
      </c>
      <c r="C3550">
        <v>12</v>
      </c>
      <c r="D3550" t="s">
        <v>113</v>
      </c>
      <c r="E3550">
        <v>15696</v>
      </c>
      <c r="F3550">
        <v>22847</v>
      </c>
      <c r="G3550">
        <v>10420</v>
      </c>
      <c r="H3550" t="s">
        <v>78</v>
      </c>
      <c r="I3550" t="s">
        <v>191</v>
      </c>
    </row>
    <row r="3551" spans="1:9" ht="15" customHeight="1" x14ac:dyDescent="0.35">
      <c r="A3551">
        <v>2026</v>
      </c>
      <c r="B3551" t="s">
        <v>147</v>
      </c>
      <c r="C3551">
        <v>1</v>
      </c>
      <c r="D3551" t="s">
        <v>113</v>
      </c>
      <c r="E3551">
        <v>16471</v>
      </c>
      <c r="F3551">
        <v>23785</v>
      </c>
      <c r="G3551">
        <v>10172</v>
      </c>
      <c r="H3551" t="s">
        <v>78</v>
      </c>
      <c r="I3551" t="s">
        <v>191</v>
      </c>
    </row>
    <row r="3552" spans="1:9" ht="15" customHeight="1" x14ac:dyDescent="0.35">
      <c r="A3552">
        <v>2026</v>
      </c>
      <c r="B3552" t="s">
        <v>149</v>
      </c>
      <c r="C3552">
        <v>2</v>
      </c>
      <c r="D3552" t="s">
        <v>113</v>
      </c>
      <c r="E3552">
        <v>15136</v>
      </c>
      <c r="F3552">
        <v>20904</v>
      </c>
      <c r="G3552">
        <v>10297</v>
      </c>
      <c r="H3552" t="s">
        <v>78</v>
      </c>
      <c r="I3552" t="s">
        <v>191</v>
      </c>
    </row>
    <row r="3553" spans="1:9" ht="15" customHeight="1" x14ac:dyDescent="0.35">
      <c r="A3553">
        <v>2026</v>
      </c>
      <c r="B3553" t="s">
        <v>150</v>
      </c>
      <c r="C3553">
        <v>3</v>
      </c>
      <c r="D3553" t="s">
        <v>113</v>
      </c>
      <c r="E3553">
        <v>16471</v>
      </c>
      <c r="F3553">
        <v>23785</v>
      </c>
      <c r="G3553">
        <v>10172</v>
      </c>
      <c r="H3553" t="s">
        <v>78</v>
      </c>
      <c r="I3553" t="s">
        <v>191</v>
      </c>
    </row>
    <row r="3554" spans="1:9" ht="15" customHeight="1" x14ac:dyDescent="0.35">
      <c r="A3554">
        <v>2017</v>
      </c>
      <c r="B3554" t="s">
        <v>147</v>
      </c>
      <c r="C3554">
        <v>1</v>
      </c>
      <c r="D3554" t="s">
        <v>114</v>
      </c>
      <c r="E3554">
        <v>1271</v>
      </c>
      <c r="F3554">
        <v>1857</v>
      </c>
      <c r="G3554">
        <v>486</v>
      </c>
      <c r="H3554" t="s">
        <v>122</v>
      </c>
      <c r="I3554" t="s">
        <v>192</v>
      </c>
    </row>
    <row r="3555" spans="1:9" ht="15" customHeight="1" x14ac:dyDescent="0.35">
      <c r="A3555">
        <v>2017</v>
      </c>
      <c r="B3555" t="s">
        <v>149</v>
      </c>
      <c r="C3555">
        <v>2</v>
      </c>
      <c r="D3555" t="s">
        <v>114</v>
      </c>
      <c r="E3555">
        <v>1358</v>
      </c>
      <c r="F3555">
        <v>1871</v>
      </c>
      <c r="G3555">
        <v>855</v>
      </c>
      <c r="H3555" t="s">
        <v>122</v>
      </c>
      <c r="I3555" t="s">
        <v>192</v>
      </c>
    </row>
    <row r="3556" spans="1:9" ht="15" customHeight="1" x14ac:dyDescent="0.35">
      <c r="A3556">
        <v>2017</v>
      </c>
      <c r="B3556" t="s">
        <v>150</v>
      </c>
      <c r="C3556">
        <v>3</v>
      </c>
      <c r="D3556" t="s">
        <v>114</v>
      </c>
      <c r="E3556">
        <v>1324</v>
      </c>
      <c r="F3556">
        <v>1927</v>
      </c>
      <c r="G3556">
        <v>737</v>
      </c>
      <c r="H3556" t="s">
        <v>122</v>
      </c>
      <c r="I3556" t="s">
        <v>192</v>
      </c>
    </row>
    <row r="3557" spans="1:9" ht="15" customHeight="1" x14ac:dyDescent="0.35">
      <c r="A3557">
        <v>2017</v>
      </c>
      <c r="B3557" t="s">
        <v>151</v>
      </c>
      <c r="C3557">
        <v>4</v>
      </c>
      <c r="D3557" t="s">
        <v>114</v>
      </c>
      <c r="E3557">
        <v>1419</v>
      </c>
      <c r="F3557">
        <v>1799</v>
      </c>
      <c r="G3557">
        <v>934</v>
      </c>
      <c r="H3557" t="s">
        <v>123</v>
      </c>
      <c r="I3557" t="s">
        <v>192</v>
      </c>
    </row>
    <row r="3558" spans="1:9" ht="15" customHeight="1" x14ac:dyDescent="0.35">
      <c r="A3558">
        <v>2017</v>
      </c>
      <c r="B3558" t="s">
        <v>152</v>
      </c>
      <c r="C3558">
        <v>5</v>
      </c>
      <c r="D3558" t="s">
        <v>114</v>
      </c>
      <c r="E3558">
        <v>1579</v>
      </c>
      <c r="F3558">
        <v>1933</v>
      </c>
      <c r="G3558">
        <v>810</v>
      </c>
      <c r="H3558" t="s">
        <v>123</v>
      </c>
      <c r="I3558" t="s">
        <v>192</v>
      </c>
    </row>
    <row r="3559" spans="1:9" ht="15" customHeight="1" x14ac:dyDescent="0.35">
      <c r="A3559">
        <v>2017</v>
      </c>
      <c r="B3559" t="s">
        <v>153</v>
      </c>
      <c r="C3559">
        <v>6</v>
      </c>
      <c r="D3559" t="s">
        <v>114</v>
      </c>
      <c r="E3559">
        <v>1604</v>
      </c>
      <c r="F3559">
        <v>1978</v>
      </c>
      <c r="G3559">
        <v>1001</v>
      </c>
      <c r="H3559" t="s">
        <v>123</v>
      </c>
      <c r="I3559" t="s">
        <v>192</v>
      </c>
    </row>
    <row r="3560" spans="1:9" ht="15" customHeight="1" x14ac:dyDescent="0.35">
      <c r="A3560">
        <v>2017</v>
      </c>
      <c r="B3560" t="s">
        <v>154</v>
      </c>
      <c r="C3560">
        <v>7</v>
      </c>
      <c r="D3560" t="s">
        <v>114</v>
      </c>
      <c r="E3560">
        <v>1278</v>
      </c>
      <c r="F3560">
        <v>1877</v>
      </c>
      <c r="G3560">
        <v>442</v>
      </c>
      <c r="H3560" t="s">
        <v>123</v>
      </c>
      <c r="I3560" t="s">
        <v>192</v>
      </c>
    </row>
    <row r="3561" spans="1:9" ht="15" customHeight="1" x14ac:dyDescent="0.35">
      <c r="A3561">
        <v>2017</v>
      </c>
      <c r="B3561" t="s">
        <v>155</v>
      </c>
      <c r="C3561">
        <v>8</v>
      </c>
      <c r="D3561" t="s">
        <v>114</v>
      </c>
      <c r="E3561">
        <v>1401</v>
      </c>
      <c r="F3561">
        <v>1833</v>
      </c>
      <c r="G3561">
        <v>988</v>
      </c>
      <c r="H3561" t="s">
        <v>123</v>
      </c>
      <c r="I3561" t="s">
        <v>192</v>
      </c>
    </row>
    <row r="3562" spans="1:9" ht="15" customHeight="1" x14ac:dyDescent="0.35">
      <c r="A3562">
        <v>2017</v>
      </c>
      <c r="B3562" t="s">
        <v>156</v>
      </c>
      <c r="C3562">
        <v>9</v>
      </c>
      <c r="D3562" t="s">
        <v>114</v>
      </c>
      <c r="E3562">
        <v>1558</v>
      </c>
      <c r="F3562">
        <v>2035</v>
      </c>
      <c r="G3562">
        <v>1002</v>
      </c>
      <c r="H3562" t="s">
        <v>123</v>
      </c>
      <c r="I3562" t="s">
        <v>192</v>
      </c>
    </row>
    <row r="3563" spans="1:9" ht="15" customHeight="1" x14ac:dyDescent="0.35">
      <c r="A3563">
        <v>2017</v>
      </c>
      <c r="B3563" t="s">
        <v>157</v>
      </c>
      <c r="C3563">
        <v>10</v>
      </c>
      <c r="D3563" t="s">
        <v>114</v>
      </c>
      <c r="E3563">
        <v>1495</v>
      </c>
      <c r="F3563">
        <v>1938</v>
      </c>
      <c r="G3563">
        <v>1093</v>
      </c>
      <c r="H3563" t="s">
        <v>123</v>
      </c>
      <c r="I3563" t="s">
        <v>192</v>
      </c>
    </row>
    <row r="3564" spans="1:9" ht="15" customHeight="1" x14ac:dyDescent="0.35">
      <c r="A3564">
        <v>2017</v>
      </c>
      <c r="B3564" t="s">
        <v>158</v>
      </c>
      <c r="C3564">
        <v>11</v>
      </c>
      <c r="D3564" t="s">
        <v>114</v>
      </c>
      <c r="E3564">
        <v>1478</v>
      </c>
      <c r="F3564">
        <v>1945</v>
      </c>
      <c r="G3564">
        <v>1019</v>
      </c>
      <c r="H3564" t="s">
        <v>123</v>
      </c>
      <c r="I3564" t="s">
        <v>192</v>
      </c>
    </row>
    <row r="3565" spans="1:9" ht="15" customHeight="1" x14ac:dyDescent="0.35">
      <c r="A3565">
        <v>2017</v>
      </c>
      <c r="B3565" t="s">
        <v>159</v>
      </c>
      <c r="C3565">
        <v>12</v>
      </c>
      <c r="D3565" t="s">
        <v>114</v>
      </c>
      <c r="E3565">
        <v>1472</v>
      </c>
      <c r="F3565">
        <v>1960</v>
      </c>
      <c r="G3565">
        <v>674</v>
      </c>
      <c r="H3565" t="s">
        <v>123</v>
      </c>
      <c r="I3565" t="s">
        <v>192</v>
      </c>
    </row>
    <row r="3566" spans="1:9" ht="15" customHeight="1" x14ac:dyDescent="0.35">
      <c r="A3566">
        <v>2018</v>
      </c>
      <c r="B3566" t="s">
        <v>147</v>
      </c>
      <c r="C3566">
        <v>1</v>
      </c>
      <c r="D3566" t="s">
        <v>114</v>
      </c>
      <c r="E3566">
        <v>1685</v>
      </c>
      <c r="F3566">
        <v>2266</v>
      </c>
      <c r="G3566">
        <v>1085</v>
      </c>
      <c r="H3566" t="s">
        <v>123</v>
      </c>
      <c r="I3566" t="s">
        <v>192</v>
      </c>
    </row>
    <row r="3567" spans="1:9" ht="15" customHeight="1" x14ac:dyDescent="0.35">
      <c r="A3567">
        <v>2018</v>
      </c>
      <c r="B3567" t="s">
        <v>149</v>
      </c>
      <c r="C3567">
        <v>2</v>
      </c>
      <c r="D3567" t="s">
        <v>114</v>
      </c>
      <c r="E3567">
        <v>1486</v>
      </c>
      <c r="F3567">
        <v>2021</v>
      </c>
      <c r="G3567">
        <v>1095</v>
      </c>
      <c r="H3567" t="s">
        <v>123</v>
      </c>
      <c r="I3567" t="s">
        <v>192</v>
      </c>
    </row>
    <row r="3568" spans="1:9" ht="15" customHeight="1" x14ac:dyDescent="0.35">
      <c r="A3568">
        <v>2018</v>
      </c>
      <c r="B3568" t="s">
        <v>150</v>
      </c>
      <c r="C3568">
        <v>3</v>
      </c>
      <c r="D3568" t="s">
        <v>114</v>
      </c>
      <c r="E3568">
        <v>1415</v>
      </c>
      <c r="F3568">
        <v>1861</v>
      </c>
      <c r="G3568">
        <v>831</v>
      </c>
      <c r="H3568" t="s">
        <v>123</v>
      </c>
      <c r="I3568" t="s">
        <v>192</v>
      </c>
    </row>
    <row r="3569" spans="1:9" ht="15" customHeight="1" x14ac:dyDescent="0.35">
      <c r="A3569">
        <v>2018</v>
      </c>
      <c r="B3569" t="s">
        <v>151</v>
      </c>
      <c r="C3569">
        <v>4</v>
      </c>
      <c r="D3569" t="s">
        <v>114</v>
      </c>
      <c r="E3569">
        <v>1472</v>
      </c>
      <c r="F3569">
        <v>1887</v>
      </c>
      <c r="G3569">
        <v>967</v>
      </c>
      <c r="H3569" t="s">
        <v>124</v>
      </c>
      <c r="I3569" t="s">
        <v>192</v>
      </c>
    </row>
    <row r="3570" spans="1:9" ht="15" customHeight="1" x14ac:dyDescent="0.35">
      <c r="A3570">
        <v>2018</v>
      </c>
      <c r="B3570" t="s">
        <v>152</v>
      </c>
      <c r="C3570">
        <v>5</v>
      </c>
      <c r="D3570" t="s">
        <v>114</v>
      </c>
      <c r="E3570">
        <v>1621</v>
      </c>
      <c r="F3570">
        <v>2211</v>
      </c>
      <c r="G3570">
        <v>574</v>
      </c>
      <c r="H3570" t="s">
        <v>124</v>
      </c>
      <c r="I3570" t="s">
        <v>192</v>
      </c>
    </row>
    <row r="3571" spans="1:9" ht="15" customHeight="1" x14ac:dyDescent="0.35">
      <c r="A3571">
        <v>2018</v>
      </c>
      <c r="B3571" t="s">
        <v>153</v>
      </c>
      <c r="C3571">
        <v>6</v>
      </c>
      <c r="D3571" t="s">
        <v>114</v>
      </c>
      <c r="E3571">
        <v>1787</v>
      </c>
      <c r="F3571">
        <v>2219</v>
      </c>
      <c r="G3571">
        <v>795</v>
      </c>
      <c r="H3571" t="s">
        <v>124</v>
      </c>
      <c r="I3571" t="s">
        <v>192</v>
      </c>
    </row>
    <row r="3572" spans="1:9" ht="15" customHeight="1" x14ac:dyDescent="0.35">
      <c r="A3572">
        <v>2018</v>
      </c>
      <c r="B3572" t="s">
        <v>154</v>
      </c>
      <c r="C3572">
        <v>7</v>
      </c>
      <c r="D3572" t="s">
        <v>114</v>
      </c>
      <c r="E3572">
        <v>1770</v>
      </c>
      <c r="F3572">
        <v>2190</v>
      </c>
      <c r="G3572">
        <v>1286</v>
      </c>
      <c r="H3572" t="s">
        <v>124</v>
      </c>
      <c r="I3572" t="s">
        <v>192</v>
      </c>
    </row>
    <row r="3573" spans="1:9" ht="15" customHeight="1" x14ac:dyDescent="0.35">
      <c r="A3573">
        <v>2018</v>
      </c>
      <c r="B3573" t="s">
        <v>155</v>
      </c>
      <c r="C3573">
        <v>8</v>
      </c>
      <c r="D3573" t="s">
        <v>114</v>
      </c>
      <c r="E3573">
        <v>1699</v>
      </c>
      <c r="F3573">
        <v>2194</v>
      </c>
      <c r="G3573">
        <v>1289</v>
      </c>
      <c r="H3573" t="s">
        <v>124</v>
      </c>
      <c r="I3573" t="s">
        <v>192</v>
      </c>
    </row>
    <row r="3574" spans="1:9" ht="15" customHeight="1" x14ac:dyDescent="0.35">
      <c r="A3574">
        <v>2018</v>
      </c>
      <c r="B3574" t="s">
        <v>156</v>
      </c>
      <c r="C3574">
        <v>9</v>
      </c>
      <c r="D3574" t="s">
        <v>114</v>
      </c>
      <c r="E3574">
        <v>1601</v>
      </c>
      <c r="F3574">
        <v>2166</v>
      </c>
      <c r="G3574">
        <v>936</v>
      </c>
      <c r="H3574" t="s">
        <v>124</v>
      </c>
      <c r="I3574" t="s">
        <v>192</v>
      </c>
    </row>
    <row r="3575" spans="1:9" ht="15" customHeight="1" x14ac:dyDescent="0.35">
      <c r="A3575">
        <v>2018</v>
      </c>
      <c r="B3575" t="s">
        <v>157</v>
      </c>
      <c r="C3575">
        <v>10</v>
      </c>
      <c r="D3575" t="s">
        <v>114</v>
      </c>
      <c r="E3575">
        <v>1561</v>
      </c>
      <c r="F3575">
        <v>2117</v>
      </c>
      <c r="G3575">
        <v>844</v>
      </c>
      <c r="H3575" t="s">
        <v>124</v>
      </c>
      <c r="I3575" t="s">
        <v>192</v>
      </c>
    </row>
    <row r="3576" spans="1:9" ht="15" customHeight="1" x14ac:dyDescent="0.35">
      <c r="A3576">
        <v>2018</v>
      </c>
      <c r="B3576" t="s">
        <v>158</v>
      </c>
      <c r="C3576">
        <v>11</v>
      </c>
      <c r="D3576" t="s">
        <v>114</v>
      </c>
      <c r="E3576">
        <v>1614</v>
      </c>
      <c r="F3576">
        <v>2220</v>
      </c>
      <c r="G3576">
        <v>1106</v>
      </c>
      <c r="H3576" t="s">
        <v>124</v>
      </c>
      <c r="I3576" t="s">
        <v>192</v>
      </c>
    </row>
    <row r="3577" spans="1:9" ht="15" customHeight="1" x14ac:dyDescent="0.35">
      <c r="A3577">
        <v>2018</v>
      </c>
      <c r="B3577" t="s">
        <v>159</v>
      </c>
      <c r="C3577">
        <v>12</v>
      </c>
      <c r="D3577" t="s">
        <v>114</v>
      </c>
      <c r="E3577">
        <v>1768</v>
      </c>
      <c r="F3577">
        <v>2286</v>
      </c>
      <c r="G3577">
        <v>1196</v>
      </c>
      <c r="H3577" t="s">
        <v>124</v>
      </c>
      <c r="I3577" t="s">
        <v>192</v>
      </c>
    </row>
    <row r="3578" spans="1:9" ht="15" customHeight="1" x14ac:dyDescent="0.35">
      <c r="A3578">
        <v>2019</v>
      </c>
      <c r="B3578" t="s">
        <v>147</v>
      </c>
      <c r="C3578">
        <v>1</v>
      </c>
      <c r="D3578" t="s">
        <v>114</v>
      </c>
      <c r="E3578">
        <v>1698</v>
      </c>
      <c r="F3578">
        <v>2358</v>
      </c>
      <c r="G3578">
        <v>1121</v>
      </c>
      <c r="H3578" t="s">
        <v>124</v>
      </c>
      <c r="I3578" t="s">
        <v>192</v>
      </c>
    </row>
    <row r="3579" spans="1:9" ht="15" customHeight="1" x14ac:dyDescent="0.35">
      <c r="A3579">
        <v>2019</v>
      </c>
      <c r="B3579" t="s">
        <v>149</v>
      </c>
      <c r="C3579">
        <v>2</v>
      </c>
      <c r="D3579" t="s">
        <v>114</v>
      </c>
      <c r="E3579">
        <v>1693</v>
      </c>
      <c r="F3579">
        <v>2233</v>
      </c>
      <c r="G3579">
        <v>1124</v>
      </c>
      <c r="H3579" t="s">
        <v>124</v>
      </c>
      <c r="I3579" t="s">
        <v>192</v>
      </c>
    </row>
    <row r="3580" spans="1:9" ht="15" customHeight="1" x14ac:dyDescent="0.35">
      <c r="A3580">
        <v>2019</v>
      </c>
      <c r="B3580" t="s">
        <v>150</v>
      </c>
      <c r="C3580">
        <v>3</v>
      </c>
      <c r="D3580" t="s">
        <v>114</v>
      </c>
      <c r="E3580">
        <v>1446</v>
      </c>
      <c r="F3580">
        <v>2074</v>
      </c>
      <c r="G3580">
        <v>734</v>
      </c>
      <c r="H3580" t="s">
        <v>124</v>
      </c>
      <c r="I3580" t="s">
        <v>192</v>
      </c>
    </row>
    <row r="3581" spans="1:9" ht="15" customHeight="1" x14ac:dyDescent="0.35">
      <c r="A3581">
        <v>2019</v>
      </c>
      <c r="B3581" t="s">
        <v>151</v>
      </c>
      <c r="C3581">
        <v>4</v>
      </c>
      <c r="D3581" t="s">
        <v>114</v>
      </c>
      <c r="E3581">
        <v>1598</v>
      </c>
      <c r="F3581">
        <v>2041</v>
      </c>
      <c r="G3581">
        <v>997</v>
      </c>
      <c r="H3581" t="s">
        <v>71</v>
      </c>
      <c r="I3581" t="s">
        <v>192</v>
      </c>
    </row>
    <row r="3582" spans="1:9" ht="15" customHeight="1" x14ac:dyDescent="0.35">
      <c r="A3582">
        <v>2019</v>
      </c>
      <c r="B3582" t="s">
        <v>152</v>
      </c>
      <c r="C3582">
        <v>5</v>
      </c>
      <c r="D3582" t="s">
        <v>114</v>
      </c>
      <c r="E3582">
        <v>1918</v>
      </c>
      <c r="F3582">
        <v>2270</v>
      </c>
      <c r="G3582">
        <v>1145</v>
      </c>
      <c r="H3582" t="s">
        <v>71</v>
      </c>
      <c r="I3582" t="s">
        <v>192</v>
      </c>
    </row>
    <row r="3583" spans="1:9" ht="15" customHeight="1" x14ac:dyDescent="0.35">
      <c r="A3583">
        <v>2019</v>
      </c>
      <c r="B3583" t="s">
        <v>153</v>
      </c>
      <c r="C3583">
        <v>6</v>
      </c>
      <c r="D3583" t="s">
        <v>114</v>
      </c>
      <c r="E3583">
        <v>1818</v>
      </c>
      <c r="F3583">
        <v>2170</v>
      </c>
      <c r="G3583">
        <v>985</v>
      </c>
      <c r="H3583" t="s">
        <v>71</v>
      </c>
      <c r="I3583" t="s">
        <v>192</v>
      </c>
    </row>
    <row r="3584" spans="1:9" ht="15" customHeight="1" x14ac:dyDescent="0.35">
      <c r="A3584">
        <v>2019</v>
      </c>
      <c r="B3584" t="s">
        <v>154</v>
      </c>
      <c r="C3584">
        <v>7</v>
      </c>
      <c r="D3584" t="s">
        <v>114</v>
      </c>
      <c r="E3584">
        <v>1811</v>
      </c>
      <c r="F3584">
        <v>2139</v>
      </c>
      <c r="G3584">
        <v>1287</v>
      </c>
      <c r="H3584" t="s">
        <v>71</v>
      </c>
      <c r="I3584" t="s">
        <v>192</v>
      </c>
    </row>
    <row r="3585" spans="1:9" ht="15" customHeight="1" x14ac:dyDescent="0.35">
      <c r="A3585">
        <v>2019</v>
      </c>
      <c r="B3585" t="s">
        <v>155</v>
      </c>
      <c r="C3585">
        <v>8</v>
      </c>
      <c r="D3585" t="s">
        <v>114</v>
      </c>
      <c r="E3585">
        <v>1823</v>
      </c>
      <c r="F3585">
        <v>2193</v>
      </c>
      <c r="G3585">
        <v>1302</v>
      </c>
      <c r="H3585" t="s">
        <v>71</v>
      </c>
      <c r="I3585" t="s">
        <v>192</v>
      </c>
    </row>
    <row r="3586" spans="1:9" ht="15" customHeight="1" x14ac:dyDescent="0.35">
      <c r="A3586">
        <v>2019</v>
      </c>
      <c r="B3586" t="s">
        <v>156</v>
      </c>
      <c r="C3586">
        <v>9</v>
      </c>
      <c r="D3586" t="s">
        <v>114</v>
      </c>
      <c r="E3586">
        <v>1775</v>
      </c>
      <c r="F3586">
        <v>2193</v>
      </c>
      <c r="G3586">
        <v>1399</v>
      </c>
      <c r="H3586" t="s">
        <v>71</v>
      </c>
      <c r="I3586" t="s">
        <v>192</v>
      </c>
    </row>
    <row r="3587" spans="1:9" ht="15" customHeight="1" x14ac:dyDescent="0.35">
      <c r="A3587">
        <v>2019</v>
      </c>
      <c r="B3587" t="s">
        <v>157</v>
      </c>
      <c r="C3587">
        <v>10</v>
      </c>
      <c r="D3587" t="s">
        <v>114</v>
      </c>
      <c r="E3587">
        <v>1583</v>
      </c>
      <c r="F3587">
        <v>2051</v>
      </c>
      <c r="G3587">
        <v>1027</v>
      </c>
      <c r="H3587" t="s">
        <v>71</v>
      </c>
      <c r="I3587" t="s">
        <v>192</v>
      </c>
    </row>
    <row r="3588" spans="1:9" ht="15" customHeight="1" x14ac:dyDescent="0.35">
      <c r="A3588">
        <v>2019</v>
      </c>
      <c r="B3588" t="s">
        <v>158</v>
      </c>
      <c r="C3588">
        <v>11</v>
      </c>
      <c r="D3588" t="s">
        <v>114</v>
      </c>
      <c r="E3588">
        <v>1412</v>
      </c>
      <c r="F3588">
        <v>1885</v>
      </c>
      <c r="G3588">
        <v>1018</v>
      </c>
      <c r="H3588" t="s">
        <v>71</v>
      </c>
      <c r="I3588" t="s">
        <v>192</v>
      </c>
    </row>
    <row r="3589" spans="1:9" ht="15" customHeight="1" x14ac:dyDescent="0.35">
      <c r="A3589">
        <v>2019</v>
      </c>
      <c r="B3589" t="s">
        <v>159</v>
      </c>
      <c r="C3589">
        <v>12</v>
      </c>
      <c r="D3589" t="s">
        <v>114</v>
      </c>
      <c r="E3589">
        <v>1717</v>
      </c>
      <c r="F3589">
        <v>2441</v>
      </c>
      <c r="G3589">
        <v>1074</v>
      </c>
      <c r="H3589" t="s">
        <v>71</v>
      </c>
      <c r="I3589" t="s">
        <v>192</v>
      </c>
    </row>
    <row r="3590" spans="1:9" ht="15" customHeight="1" x14ac:dyDescent="0.35">
      <c r="A3590">
        <v>2020</v>
      </c>
      <c r="B3590" t="s">
        <v>147</v>
      </c>
      <c r="C3590">
        <v>1</v>
      </c>
      <c r="D3590" t="s">
        <v>114</v>
      </c>
      <c r="E3590">
        <v>1833</v>
      </c>
      <c r="F3590">
        <v>2464</v>
      </c>
      <c r="G3590">
        <v>1237</v>
      </c>
      <c r="H3590" t="s">
        <v>71</v>
      </c>
      <c r="I3590" t="s">
        <v>192</v>
      </c>
    </row>
    <row r="3591" spans="1:9" ht="15" customHeight="1" x14ac:dyDescent="0.35">
      <c r="A3591">
        <v>2020</v>
      </c>
      <c r="B3591" t="s">
        <v>149</v>
      </c>
      <c r="C3591">
        <v>2</v>
      </c>
      <c r="D3591" t="s">
        <v>114</v>
      </c>
      <c r="E3591">
        <v>1679</v>
      </c>
      <c r="F3591">
        <v>2348</v>
      </c>
      <c r="G3591">
        <v>1147</v>
      </c>
      <c r="H3591" t="s">
        <v>71</v>
      </c>
      <c r="I3591" t="s">
        <v>192</v>
      </c>
    </row>
    <row r="3592" spans="1:9" ht="15" customHeight="1" x14ac:dyDescent="0.35">
      <c r="A3592">
        <v>2020</v>
      </c>
      <c r="B3592" t="s">
        <v>150</v>
      </c>
      <c r="C3592">
        <v>3</v>
      </c>
      <c r="D3592" t="s">
        <v>114</v>
      </c>
      <c r="E3592">
        <v>1260</v>
      </c>
      <c r="F3592">
        <v>1966</v>
      </c>
      <c r="G3592">
        <v>436</v>
      </c>
      <c r="H3592" t="s">
        <v>71</v>
      </c>
      <c r="I3592" t="s">
        <v>192</v>
      </c>
    </row>
    <row r="3593" spans="1:9" ht="15" customHeight="1" x14ac:dyDescent="0.35">
      <c r="A3593">
        <v>2020</v>
      </c>
      <c r="B3593" t="s">
        <v>151</v>
      </c>
      <c r="C3593">
        <v>4</v>
      </c>
      <c r="D3593" t="s">
        <v>114</v>
      </c>
      <c r="E3593">
        <v>942</v>
      </c>
      <c r="F3593">
        <v>1287</v>
      </c>
      <c r="G3593">
        <v>597</v>
      </c>
      <c r="H3593" t="s">
        <v>72</v>
      </c>
      <c r="I3593" t="s">
        <v>192</v>
      </c>
    </row>
    <row r="3594" spans="1:9" ht="15" customHeight="1" x14ac:dyDescent="0.35">
      <c r="A3594">
        <v>2020</v>
      </c>
      <c r="B3594" t="s">
        <v>152</v>
      </c>
      <c r="C3594">
        <v>5</v>
      </c>
      <c r="D3594" t="s">
        <v>114</v>
      </c>
      <c r="E3594">
        <v>1294</v>
      </c>
      <c r="F3594">
        <v>1764</v>
      </c>
      <c r="G3594">
        <v>568</v>
      </c>
      <c r="H3594" t="s">
        <v>72</v>
      </c>
      <c r="I3594" t="s">
        <v>192</v>
      </c>
    </row>
    <row r="3595" spans="1:9" ht="15" customHeight="1" x14ac:dyDescent="0.35">
      <c r="A3595">
        <v>2020</v>
      </c>
      <c r="B3595" t="s">
        <v>153</v>
      </c>
      <c r="C3595">
        <v>6</v>
      </c>
      <c r="D3595" t="s">
        <v>114</v>
      </c>
      <c r="E3595">
        <v>1633</v>
      </c>
      <c r="F3595">
        <v>1947</v>
      </c>
      <c r="G3595">
        <v>1030</v>
      </c>
      <c r="H3595" t="s">
        <v>72</v>
      </c>
      <c r="I3595" t="s">
        <v>192</v>
      </c>
    </row>
    <row r="3596" spans="1:9" ht="15" customHeight="1" x14ac:dyDescent="0.35">
      <c r="A3596">
        <v>2020</v>
      </c>
      <c r="B3596" t="s">
        <v>154</v>
      </c>
      <c r="C3596">
        <v>7</v>
      </c>
      <c r="D3596" t="s">
        <v>114</v>
      </c>
      <c r="E3596">
        <v>1626</v>
      </c>
      <c r="F3596">
        <v>1919</v>
      </c>
      <c r="G3596">
        <v>1188</v>
      </c>
      <c r="H3596" t="s">
        <v>72</v>
      </c>
      <c r="I3596" t="s">
        <v>192</v>
      </c>
    </row>
    <row r="3597" spans="1:9" ht="15" customHeight="1" x14ac:dyDescent="0.35">
      <c r="A3597">
        <v>2020</v>
      </c>
      <c r="B3597" t="s">
        <v>155</v>
      </c>
      <c r="C3597">
        <v>8</v>
      </c>
      <c r="D3597" t="s">
        <v>114</v>
      </c>
      <c r="E3597">
        <v>1630</v>
      </c>
      <c r="F3597">
        <v>2068</v>
      </c>
      <c r="G3597">
        <v>1244</v>
      </c>
      <c r="H3597" t="s">
        <v>72</v>
      </c>
      <c r="I3597" t="s">
        <v>192</v>
      </c>
    </row>
    <row r="3598" spans="1:9" ht="15" customHeight="1" x14ac:dyDescent="0.35">
      <c r="A3598">
        <v>2020</v>
      </c>
      <c r="B3598" t="s">
        <v>156</v>
      </c>
      <c r="C3598">
        <v>9</v>
      </c>
      <c r="D3598" t="s">
        <v>114</v>
      </c>
      <c r="E3598">
        <v>1754</v>
      </c>
      <c r="F3598">
        <v>2029</v>
      </c>
      <c r="G3598">
        <v>1395</v>
      </c>
      <c r="H3598" t="s">
        <v>72</v>
      </c>
      <c r="I3598" t="s">
        <v>192</v>
      </c>
    </row>
    <row r="3599" spans="1:9" ht="15" customHeight="1" x14ac:dyDescent="0.35">
      <c r="A3599">
        <v>2020</v>
      </c>
      <c r="B3599" t="s">
        <v>157</v>
      </c>
      <c r="C3599">
        <v>10</v>
      </c>
      <c r="D3599" t="s">
        <v>114</v>
      </c>
      <c r="E3599">
        <v>1556</v>
      </c>
      <c r="F3599">
        <v>1999</v>
      </c>
      <c r="G3599">
        <v>1124</v>
      </c>
      <c r="H3599" t="s">
        <v>72</v>
      </c>
      <c r="I3599" t="s">
        <v>192</v>
      </c>
    </row>
    <row r="3600" spans="1:9" ht="15" customHeight="1" x14ac:dyDescent="0.35">
      <c r="A3600">
        <v>2020</v>
      </c>
      <c r="B3600" t="s">
        <v>158</v>
      </c>
      <c r="C3600">
        <v>11</v>
      </c>
      <c r="D3600" t="s">
        <v>114</v>
      </c>
      <c r="E3600">
        <v>1407</v>
      </c>
      <c r="F3600">
        <v>1992</v>
      </c>
      <c r="G3600">
        <v>820</v>
      </c>
      <c r="H3600" t="s">
        <v>72</v>
      </c>
      <c r="I3600" t="s">
        <v>192</v>
      </c>
    </row>
    <row r="3601" spans="1:9" ht="15" customHeight="1" x14ac:dyDescent="0.35">
      <c r="A3601">
        <v>2020</v>
      </c>
      <c r="B3601" t="s">
        <v>159</v>
      </c>
      <c r="C3601">
        <v>12</v>
      </c>
      <c r="D3601" t="s">
        <v>114</v>
      </c>
      <c r="E3601">
        <v>1554</v>
      </c>
      <c r="F3601">
        <v>2124</v>
      </c>
      <c r="G3601">
        <v>1098</v>
      </c>
      <c r="H3601" t="s">
        <v>72</v>
      </c>
      <c r="I3601" t="s">
        <v>192</v>
      </c>
    </row>
    <row r="3602" spans="1:9" ht="15" customHeight="1" x14ac:dyDescent="0.35">
      <c r="A3602">
        <v>2021</v>
      </c>
      <c r="B3602" t="s">
        <v>147</v>
      </c>
      <c r="C3602">
        <v>1</v>
      </c>
      <c r="D3602" t="s">
        <v>114</v>
      </c>
      <c r="E3602">
        <v>1701</v>
      </c>
      <c r="F3602">
        <v>2335</v>
      </c>
      <c r="G3602">
        <v>1111</v>
      </c>
      <c r="H3602" t="s">
        <v>72</v>
      </c>
      <c r="I3602" t="s">
        <v>192</v>
      </c>
    </row>
    <row r="3603" spans="1:9" ht="15" customHeight="1" x14ac:dyDescent="0.35">
      <c r="A3603">
        <v>2021</v>
      </c>
      <c r="B3603" t="s">
        <v>149</v>
      </c>
      <c r="C3603">
        <v>2</v>
      </c>
      <c r="D3603" t="s">
        <v>114</v>
      </c>
      <c r="E3603">
        <v>1550</v>
      </c>
      <c r="F3603">
        <v>2234</v>
      </c>
      <c r="G3603">
        <v>984</v>
      </c>
      <c r="H3603" t="s">
        <v>72</v>
      </c>
      <c r="I3603" t="s">
        <v>192</v>
      </c>
    </row>
    <row r="3604" spans="1:9" ht="15" customHeight="1" x14ac:dyDescent="0.35">
      <c r="A3604">
        <v>2021</v>
      </c>
      <c r="B3604" t="s">
        <v>150</v>
      </c>
      <c r="C3604">
        <v>3</v>
      </c>
      <c r="D3604" t="s">
        <v>114</v>
      </c>
      <c r="E3604">
        <v>1565</v>
      </c>
      <c r="F3604">
        <v>2086</v>
      </c>
      <c r="G3604">
        <v>933</v>
      </c>
      <c r="H3604" t="s">
        <v>72</v>
      </c>
      <c r="I3604" t="s">
        <v>192</v>
      </c>
    </row>
    <row r="3605" spans="1:9" ht="15" customHeight="1" x14ac:dyDescent="0.35">
      <c r="A3605">
        <v>2021</v>
      </c>
      <c r="B3605" t="s">
        <v>151</v>
      </c>
      <c r="C3605">
        <v>4</v>
      </c>
      <c r="D3605" t="s">
        <v>114</v>
      </c>
      <c r="E3605">
        <v>1589</v>
      </c>
      <c r="F3605">
        <v>2065</v>
      </c>
      <c r="G3605">
        <v>1147</v>
      </c>
      <c r="H3605" t="s">
        <v>73</v>
      </c>
      <c r="I3605" t="s">
        <v>192</v>
      </c>
    </row>
    <row r="3606" spans="1:9" ht="15" customHeight="1" x14ac:dyDescent="0.35">
      <c r="A3606">
        <v>2021</v>
      </c>
      <c r="B3606" t="s">
        <v>152</v>
      </c>
      <c r="C3606">
        <v>5</v>
      </c>
      <c r="D3606" t="s">
        <v>114</v>
      </c>
      <c r="E3606">
        <v>1312</v>
      </c>
      <c r="F3606">
        <v>1704</v>
      </c>
      <c r="G3606">
        <v>707</v>
      </c>
      <c r="H3606" t="s">
        <v>73</v>
      </c>
      <c r="I3606" t="s">
        <v>192</v>
      </c>
    </row>
    <row r="3607" spans="1:9" ht="15" customHeight="1" x14ac:dyDescent="0.35">
      <c r="A3607">
        <v>2021</v>
      </c>
      <c r="B3607" t="s">
        <v>153</v>
      </c>
      <c r="C3607">
        <v>6</v>
      </c>
      <c r="D3607" t="s">
        <v>114</v>
      </c>
      <c r="E3607">
        <v>1601</v>
      </c>
      <c r="F3607">
        <v>2129</v>
      </c>
      <c r="G3607">
        <v>671</v>
      </c>
      <c r="H3607" t="s">
        <v>73</v>
      </c>
      <c r="I3607" t="s">
        <v>192</v>
      </c>
    </row>
    <row r="3608" spans="1:9" ht="15" customHeight="1" x14ac:dyDescent="0.35">
      <c r="A3608">
        <v>2021</v>
      </c>
      <c r="B3608" t="s">
        <v>154</v>
      </c>
      <c r="C3608">
        <v>7</v>
      </c>
      <c r="D3608" t="s">
        <v>114</v>
      </c>
      <c r="E3608">
        <v>1742</v>
      </c>
      <c r="F3608">
        <v>2149</v>
      </c>
      <c r="G3608">
        <v>1009</v>
      </c>
      <c r="H3608" t="s">
        <v>73</v>
      </c>
      <c r="I3608" t="s">
        <v>192</v>
      </c>
    </row>
    <row r="3609" spans="1:9" ht="15" customHeight="1" x14ac:dyDescent="0.35">
      <c r="A3609">
        <v>2021</v>
      </c>
      <c r="B3609" t="s">
        <v>155</v>
      </c>
      <c r="C3609">
        <v>8</v>
      </c>
      <c r="D3609" t="s">
        <v>114</v>
      </c>
      <c r="E3609">
        <v>1737</v>
      </c>
      <c r="F3609">
        <v>2118</v>
      </c>
      <c r="G3609">
        <v>1270</v>
      </c>
      <c r="H3609" t="s">
        <v>73</v>
      </c>
      <c r="I3609" t="s">
        <v>192</v>
      </c>
    </row>
    <row r="3610" spans="1:9" ht="15" customHeight="1" x14ac:dyDescent="0.35">
      <c r="A3610">
        <v>2021</v>
      </c>
      <c r="B3610" t="s">
        <v>156</v>
      </c>
      <c r="C3610">
        <v>9</v>
      </c>
      <c r="D3610" t="s">
        <v>114</v>
      </c>
      <c r="E3610">
        <v>1636</v>
      </c>
      <c r="F3610">
        <v>1985</v>
      </c>
      <c r="G3610">
        <v>1256</v>
      </c>
      <c r="H3610" t="s">
        <v>73</v>
      </c>
      <c r="I3610" t="s">
        <v>192</v>
      </c>
    </row>
    <row r="3611" spans="1:9" ht="15" customHeight="1" x14ac:dyDescent="0.35">
      <c r="A3611">
        <v>2021</v>
      </c>
      <c r="B3611" t="s">
        <v>157</v>
      </c>
      <c r="C3611">
        <v>10</v>
      </c>
      <c r="D3611" t="s">
        <v>114</v>
      </c>
      <c r="E3611">
        <v>1566</v>
      </c>
      <c r="F3611">
        <v>2245</v>
      </c>
      <c r="G3611">
        <v>956</v>
      </c>
      <c r="H3611" t="s">
        <v>73</v>
      </c>
      <c r="I3611" t="s">
        <v>192</v>
      </c>
    </row>
    <row r="3612" spans="1:9" ht="15" customHeight="1" x14ac:dyDescent="0.35">
      <c r="A3612">
        <v>2021</v>
      </c>
      <c r="B3612" t="s">
        <v>158</v>
      </c>
      <c r="C3612">
        <v>11</v>
      </c>
      <c r="D3612" t="s">
        <v>114</v>
      </c>
      <c r="E3612">
        <v>1522</v>
      </c>
      <c r="F3612">
        <v>2138</v>
      </c>
      <c r="G3612">
        <v>879</v>
      </c>
      <c r="H3612" t="s">
        <v>73</v>
      </c>
      <c r="I3612" t="s">
        <v>192</v>
      </c>
    </row>
    <row r="3613" spans="1:9" ht="15" customHeight="1" x14ac:dyDescent="0.35">
      <c r="A3613">
        <v>2021</v>
      </c>
      <c r="B3613" t="s">
        <v>159</v>
      </c>
      <c r="C3613">
        <v>12</v>
      </c>
      <c r="D3613" t="s">
        <v>114</v>
      </c>
      <c r="E3613">
        <v>1535</v>
      </c>
      <c r="F3613">
        <v>2203</v>
      </c>
      <c r="G3613">
        <v>791</v>
      </c>
      <c r="H3613" t="s">
        <v>73</v>
      </c>
      <c r="I3613" t="s">
        <v>192</v>
      </c>
    </row>
    <row r="3614" spans="1:9" ht="15" customHeight="1" x14ac:dyDescent="0.35">
      <c r="A3614">
        <v>2022</v>
      </c>
      <c r="B3614" t="s">
        <v>147</v>
      </c>
      <c r="C3614">
        <v>1</v>
      </c>
      <c r="D3614" t="s">
        <v>114</v>
      </c>
      <c r="E3614">
        <v>1684</v>
      </c>
      <c r="F3614">
        <v>2537</v>
      </c>
      <c r="G3614">
        <v>1041</v>
      </c>
      <c r="H3614" t="s">
        <v>73</v>
      </c>
      <c r="I3614" t="s">
        <v>192</v>
      </c>
    </row>
    <row r="3615" spans="1:9" ht="15" customHeight="1" x14ac:dyDescent="0.35">
      <c r="A3615">
        <v>2022</v>
      </c>
      <c r="B3615" t="s">
        <v>149</v>
      </c>
      <c r="C3615">
        <v>2</v>
      </c>
      <c r="D3615" t="s">
        <v>114</v>
      </c>
      <c r="E3615">
        <v>1651</v>
      </c>
      <c r="F3615">
        <v>2337</v>
      </c>
      <c r="G3615">
        <v>855</v>
      </c>
      <c r="H3615" t="s">
        <v>73</v>
      </c>
      <c r="I3615" t="s">
        <v>192</v>
      </c>
    </row>
    <row r="3616" spans="1:9" ht="15" customHeight="1" x14ac:dyDescent="0.35">
      <c r="A3616">
        <v>2022</v>
      </c>
      <c r="B3616" t="s">
        <v>150</v>
      </c>
      <c r="C3616">
        <v>3</v>
      </c>
      <c r="D3616" t="s">
        <v>114</v>
      </c>
      <c r="E3616">
        <v>1486</v>
      </c>
      <c r="F3616">
        <v>2083</v>
      </c>
      <c r="G3616">
        <v>865</v>
      </c>
      <c r="H3616" t="s">
        <v>73</v>
      </c>
      <c r="I3616" t="s">
        <v>192</v>
      </c>
    </row>
    <row r="3617" spans="1:9" ht="15" customHeight="1" x14ac:dyDescent="0.35">
      <c r="A3617">
        <v>2022</v>
      </c>
      <c r="B3617" t="s">
        <v>151</v>
      </c>
      <c r="C3617">
        <v>4</v>
      </c>
      <c r="D3617" t="s">
        <v>114</v>
      </c>
      <c r="E3617">
        <v>1643</v>
      </c>
      <c r="F3617">
        <v>2227</v>
      </c>
      <c r="G3617">
        <v>1052</v>
      </c>
      <c r="H3617" t="s">
        <v>74</v>
      </c>
      <c r="I3617" t="s">
        <v>192</v>
      </c>
    </row>
    <row r="3618" spans="1:9" ht="15" customHeight="1" x14ac:dyDescent="0.35">
      <c r="A3618">
        <v>2022</v>
      </c>
      <c r="B3618" t="s">
        <v>152</v>
      </c>
      <c r="C3618">
        <v>5</v>
      </c>
      <c r="D3618" t="s">
        <v>114</v>
      </c>
      <c r="E3618">
        <v>1794</v>
      </c>
      <c r="F3618">
        <v>2290</v>
      </c>
      <c r="G3618">
        <v>1015</v>
      </c>
      <c r="H3618" t="s">
        <v>74</v>
      </c>
      <c r="I3618" t="s">
        <v>192</v>
      </c>
    </row>
    <row r="3619" spans="1:9" ht="15" customHeight="1" x14ac:dyDescent="0.35">
      <c r="A3619">
        <v>2022</v>
      </c>
      <c r="B3619" t="s">
        <v>153</v>
      </c>
      <c r="C3619">
        <v>6</v>
      </c>
      <c r="D3619" t="s">
        <v>114</v>
      </c>
      <c r="E3619">
        <v>1953</v>
      </c>
      <c r="F3619">
        <v>2421</v>
      </c>
      <c r="G3619">
        <v>1207</v>
      </c>
      <c r="H3619" t="s">
        <v>74</v>
      </c>
      <c r="I3619" t="s">
        <v>192</v>
      </c>
    </row>
    <row r="3620" spans="1:9" ht="15" customHeight="1" x14ac:dyDescent="0.35">
      <c r="A3620">
        <v>2022</v>
      </c>
      <c r="B3620" t="s">
        <v>154</v>
      </c>
      <c r="C3620">
        <v>7</v>
      </c>
      <c r="D3620" t="s">
        <v>114</v>
      </c>
      <c r="E3620">
        <v>1885</v>
      </c>
      <c r="F3620">
        <v>2267</v>
      </c>
      <c r="G3620">
        <v>1401</v>
      </c>
      <c r="H3620" t="s">
        <v>74</v>
      </c>
      <c r="I3620" t="s">
        <v>192</v>
      </c>
    </row>
    <row r="3621" spans="1:9" ht="15" customHeight="1" x14ac:dyDescent="0.35">
      <c r="A3621">
        <v>2022</v>
      </c>
      <c r="B3621" t="s">
        <v>155</v>
      </c>
      <c r="C3621">
        <v>8</v>
      </c>
      <c r="D3621" t="s">
        <v>114</v>
      </c>
      <c r="E3621">
        <v>1875</v>
      </c>
      <c r="F3621">
        <v>2293</v>
      </c>
      <c r="G3621">
        <v>1419</v>
      </c>
      <c r="H3621" t="s">
        <v>74</v>
      </c>
      <c r="I3621" t="s">
        <v>192</v>
      </c>
    </row>
    <row r="3622" spans="1:9" ht="15" customHeight="1" x14ac:dyDescent="0.35">
      <c r="A3622">
        <v>2022</v>
      </c>
      <c r="B3622" t="s">
        <v>156</v>
      </c>
      <c r="C3622">
        <v>9</v>
      </c>
      <c r="D3622" t="s">
        <v>114</v>
      </c>
      <c r="E3622">
        <v>1773</v>
      </c>
      <c r="F3622">
        <v>2218</v>
      </c>
      <c r="G3622">
        <v>1302</v>
      </c>
      <c r="H3622" t="s">
        <v>74</v>
      </c>
      <c r="I3622" t="s">
        <v>192</v>
      </c>
    </row>
    <row r="3623" spans="1:9" ht="15" customHeight="1" x14ac:dyDescent="0.35">
      <c r="A3623">
        <v>2022</v>
      </c>
      <c r="B3623" t="s">
        <v>157</v>
      </c>
      <c r="C3623">
        <v>10</v>
      </c>
      <c r="D3623" t="s">
        <v>114</v>
      </c>
      <c r="E3623">
        <v>1528</v>
      </c>
      <c r="F3623">
        <v>2040</v>
      </c>
      <c r="G3623">
        <v>699</v>
      </c>
      <c r="H3623" t="s">
        <v>74</v>
      </c>
      <c r="I3623" t="s">
        <v>192</v>
      </c>
    </row>
    <row r="3624" spans="1:9" ht="15" customHeight="1" x14ac:dyDescent="0.35">
      <c r="A3624">
        <v>2022</v>
      </c>
      <c r="B3624" t="s">
        <v>158</v>
      </c>
      <c r="C3624">
        <v>11</v>
      </c>
      <c r="D3624" t="s">
        <v>114</v>
      </c>
      <c r="E3624">
        <v>1526</v>
      </c>
      <c r="F3624">
        <v>2047</v>
      </c>
      <c r="G3624">
        <v>1191</v>
      </c>
      <c r="H3624" t="s">
        <v>74</v>
      </c>
      <c r="I3624" t="s">
        <v>192</v>
      </c>
    </row>
    <row r="3625" spans="1:9" ht="15" customHeight="1" x14ac:dyDescent="0.35">
      <c r="A3625">
        <v>2022</v>
      </c>
      <c r="B3625" t="s">
        <v>159</v>
      </c>
      <c r="C3625">
        <v>12</v>
      </c>
      <c r="D3625" t="s">
        <v>114</v>
      </c>
      <c r="E3625">
        <v>1605</v>
      </c>
      <c r="F3625">
        <v>2255</v>
      </c>
      <c r="G3625">
        <v>1112</v>
      </c>
      <c r="H3625" t="s">
        <v>74</v>
      </c>
      <c r="I3625" t="s">
        <v>192</v>
      </c>
    </row>
    <row r="3626" spans="1:9" ht="15" customHeight="1" x14ac:dyDescent="0.35">
      <c r="A3626">
        <v>2023</v>
      </c>
      <c r="B3626" t="s">
        <v>147</v>
      </c>
      <c r="C3626">
        <v>1</v>
      </c>
      <c r="D3626" t="s">
        <v>114</v>
      </c>
      <c r="E3626">
        <v>1814</v>
      </c>
      <c r="F3626">
        <v>2412</v>
      </c>
      <c r="G3626">
        <v>1223</v>
      </c>
      <c r="H3626" t="s">
        <v>74</v>
      </c>
      <c r="I3626" t="s">
        <v>192</v>
      </c>
    </row>
    <row r="3627" spans="1:9" ht="15" customHeight="1" x14ac:dyDescent="0.35">
      <c r="A3627">
        <v>2023</v>
      </c>
      <c r="B3627" t="s">
        <v>149</v>
      </c>
      <c r="C3627">
        <v>2</v>
      </c>
      <c r="D3627" t="s">
        <v>114</v>
      </c>
      <c r="E3627">
        <v>1646</v>
      </c>
      <c r="F3627">
        <v>2276</v>
      </c>
      <c r="G3627">
        <v>1004</v>
      </c>
      <c r="H3627" t="s">
        <v>74</v>
      </c>
      <c r="I3627" t="s">
        <v>192</v>
      </c>
    </row>
    <row r="3628" spans="1:9" ht="15" customHeight="1" x14ac:dyDescent="0.35">
      <c r="A3628">
        <v>2023</v>
      </c>
      <c r="B3628" t="s">
        <v>150</v>
      </c>
      <c r="C3628">
        <v>3</v>
      </c>
      <c r="D3628" t="s">
        <v>114</v>
      </c>
      <c r="E3628">
        <v>1596</v>
      </c>
      <c r="F3628">
        <v>2020</v>
      </c>
      <c r="G3628">
        <v>975</v>
      </c>
      <c r="H3628" t="s">
        <v>74</v>
      </c>
      <c r="I3628" t="s">
        <v>192</v>
      </c>
    </row>
    <row r="3629" spans="1:9" ht="15" customHeight="1" x14ac:dyDescent="0.35">
      <c r="A3629">
        <v>2023</v>
      </c>
      <c r="B3629" t="s">
        <v>151</v>
      </c>
      <c r="C3629">
        <v>4</v>
      </c>
      <c r="D3629" t="s">
        <v>114</v>
      </c>
      <c r="E3629">
        <v>1654</v>
      </c>
      <c r="F3629">
        <v>2141</v>
      </c>
      <c r="G3629">
        <v>1155</v>
      </c>
      <c r="H3629" t="s">
        <v>75</v>
      </c>
      <c r="I3629" t="s">
        <v>192</v>
      </c>
    </row>
    <row r="3630" spans="1:9" ht="15" customHeight="1" x14ac:dyDescent="0.35">
      <c r="A3630">
        <v>2023</v>
      </c>
      <c r="B3630" t="s">
        <v>152</v>
      </c>
      <c r="C3630">
        <v>5</v>
      </c>
      <c r="D3630" t="s">
        <v>114</v>
      </c>
      <c r="E3630">
        <v>1750</v>
      </c>
      <c r="F3630">
        <v>2424</v>
      </c>
      <c r="G3630">
        <v>715</v>
      </c>
      <c r="H3630" t="s">
        <v>75</v>
      </c>
      <c r="I3630" t="s">
        <v>192</v>
      </c>
    </row>
    <row r="3631" spans="1:9" ht="15" customHeight="1" x14ac:dyDescent="0.35">
      <c r="A3631">
        <v>2023</v>
      </c>
      <c r="B3631" t="s">
        <v>153</v>
      </c>
      <c r="C3631">
        <v>6</v>
      </c>
      <c r="D3631" t="s">
        <v>114</v>
      </c>
      <c r="E3631">
        <v>1860</v>
      </c>
      <c r="F3631">
        <v>2239</v>
      </c>
      <c r="G3631">
        <v>1393</v>
      </c>
      <c r="H3631" t="s">
        <v>75</v>
      </c>
      <c r="I3631" t="s">
        <v>192</v>
      </c>
    </row>
    <row r="3632" spans="1:9" ht="15" customHeight="1" x14ac:dyDescent="0.35">
      <c r="A3632">
        <v>2023</v>
      </c>
      <c r="B3632" t="s">
        <v>154</v>
      </c>
      <c r="C3632">
        <v>7</v>
      </c>
      <c r="D3632" t="s">
        <v>114</v>
      </c>
      <c r="E3632">
        <v>1758</v>
      </c>
      <c r="F3632">
        <v>2200</v>
      </c>
      <c r="G3632">
        <v>1271</v>
      </c>
      <c r="H3632" t="s">
        <v>75</v>
      </c>
      <c r="I3632" t="s">
        <v>192</v>
      </c>
    </row>
    <row r="3633" spans="1:9" ht="15" customHeight="1" x14ac:dyDescent="0.35">
      <c r="A3633">
        <v>2023</v>
      </c>
      <c r="B3633" t="s">
        <v>155</v>
      </c>
      <c r="C3633">
        <v>8</v>
      </c>
      <c r="D3633" t="s">
        <v>114</v>
      </c>
      <c r="E3633">
        <v>1767</v>
      </c>
      <c r="F3633">
        <v>2177</v>
      </c>
      <c r="G3633">
        <v>1241</v>
      </c>
      <c r="H3633" t="s">
        <v>75</v>
      </c>
      <c r="I3633" t="s">
        <v>192</v>
      </c>
    </row>
    <row r="3634" spans="1:9" ht="15" customHeight="1" x14ac:dyDescent="0.35">
      <c r="A3634">
        <v>2023</v>
      </c>
      <c r="B3634" t="s">
        <v>156</v>
      </c>
      <c r="C3634">
        <v>9</v>
      </c>
      <c r="D3634" t="s">
        <v>114</v>
      </c>
      <c r="E3634">
        <v>1835</v>
      </c>
      <c r="F3634">
        <v>2260</v>
      </c>
      <c r="G3634">
        <v>1245</v>
      </c>
      <c r="H3634" t="s">
        <v>75</v>
      </c>
      <c r="I3634" t="s">
        <v>192</v>
      </c>
    </row>
    <row r="3635" spans="1:9" ht="15" customHeight="1" x14ac:dyDescent="0.35">
      <c r="A3635">
        <v>2023</v>
      </c>
      <c r="B3635" t="s">
        <v>157</v>
      </c>
      <c r="C3635">
        <v>10</v>
      </c>
      <c r="D3635" t="s">
        <v>114</v>
      </c>
      <c r="E3635">
        <v>1638</v>
      </c>
      <c r="F3635">
        <v>2164</v>
      </c>
      <c r="G3635">
        <v>666</v>
      </c>
      <c r="H3635" t="s">
        <v>75</v>
      </c>
      <c r="I3635" t="s">
        <v>192</v>
      </c>
    </row>
    <row r="3636" spans="1:9" ht="15" customHeight="1" x14ac:dyDescent="0.35">
      <c r="A3636">
        <v>2023</v>
      </c>
      <c r="B3636" t="s">
        <v>158</v>
      </c>
      <c r="C3636">
        <v>11</v>
      </c>
      <c r="D3636" t="s">
        <v>114</v>
      </c>
      <c r="E3636">
        <v>1519</v>
      </c>
      <c r="F3636">
        <v>2101</v>
      </c>
      <c r="G3636">
        <v>809</v>
      </c>
      <c r="H3636" t="s">
        <v>75</v>
      </c>
      <c r="I3636" t="s">
        <v>192</v>
      </c>
    </row>
    <row r="3637" spans="1:9" ht="15" customHeight="1" x14ac:dyDescent="0.35">
      <c r="A3637">
        <v>2023</v>
      </c>
      <c r="B3637" t="s">
        <v>159</v>
      </c>
      <c r="C3637">
        <v>12</v>
      </c>
      <c r="D3637" t="s">
        <v>114</v>
      </c>
      <c r="E3637">
        <v>1599</v>
      </c>
      <c r="F3637">
        <v>2153</v>
      </c>
      <c r="G3637">
        <v>1094</v>
      </c>
      <c r="H3637" t="s">
        <v>75</v>
      </c>
      <c r="I3637" t="s">
        <v>192</v>
      </c>
    </row>
    <row r="3638" spans="1:9" ht="15" customHeight="1" x14ac:dyDescent="0.35">
      <c r="A3638">
        <v>2024</v>
      </c>
      <c r="B3638" t="s">
        <v>147</v>
      </c>
      <c r="C3638">
        <v>1</v>
      </c>
      <c r="D3638" t="s">
        <v>114</v>
      </c>
      <c r="E3638">
        <v>1876</v>
      </c>
      <c r="F3638">
        <v>2365</v>
      </c>
      <c r="G3638">
        <v>1213</v>
      </c>
      <c r="H3638" t="s">
        <v>75</v>
      </c>
      <c r="I3638" t="s">
        <v>192</v>
      </c>
    </row>
    <row r="3639" spans="1:9" ht="15" customHeight="1" x14ac:dyDescent="0.35">
      <c r="A3639">
        <v>2024</v>
      </c>
      <c r="B3639" t="s">
        <v>149</v>
      </c>
      <c r="C3639">
        <v>2</v>
      </c>
      <c r="D3639" t="s">
        <v>114</v>
      </c>
      <c r="E3639">
        <v>1842</v>
      </c>
      <c r="F3639">
        <v>2484</v>
      </c>
      <c r="G3639">
        <v>828</v>
      </c>
      <c r="H3639" t="s">
        <v>75</v>
      </c>
      <c r="I3639" t="s">
        <v>192</v>
      </c>
    </row>
    <row r="3640" spans="1:9" ht="15" customHeight="1" x14ac:dyDescent="0.35">
      <c r="A3640">
        <v>2024</v>
      </c>
      <c r="B3640" t="s">
        <v>150</v>
      </c>
      <c r="C3640">
        <v>3</v>
      </c>
      <c r="D3640" t="s">
        <v>114</v>
      </c>
      <c r="E3640">
        <v>1586</v>
      </c>
      <c r="F3640">
        <v>2204</v>
      </c>
      <c r="G3640">
        <v>793</v>
      </c>
      <c r="H3640" t="s">
        <v>75</v>
      </c>
      <c r="I3640" t="s">
        <v>192</v>
      </c>
    </row>
    <row r="3641" spans="1:9" ht="15" customHeight="1" x14ac:dyDescent="0.35">
      <c r="A3641">
        <v>2024</v>
      </c>
      <c r="B3641" t="s">
        <v>151</v>
      </c>
      <c r="C3641">
        <v>4</v>
      </c>
      <c r="D3641" t="s">
        <v>114</v>
      </c>
      <c r="E3641">
        <v>1581</v>
      </c>
      <c r="F3641">
        <v>2204</v>
      </c>
      <c r="G3641">
        <v>793</v>
      </c>
      <c r="H3641" t="s">
        <v>77</v>
      </c>
      <c r="I3641" t="s">
        <v>192</v>
      </c>
    </row>
    <row r="3642" spans="1:9" ht="15" customHeight="1" x14ac:dyDescent="0.35">
      <c r="A3642">
        <v>2024</v>
      </c>
      <c r="B3642" t="s">
        <v>152</v>
      </c>
      <c r="C3642">
        <v>5</v>
      </c>
      <c r="D3642" t="s">
        <v>114</v>
      </c>
      <c r="E3642">
        <v>1913</v>
      </c>
      <c r="F3642">
        <v>2388</v>
      </c>
      <c r="G3642">
        <v>1391</v>
      </c>
      <c r="H3642" t="s">
        <v>77</v>
      </c>
      <c r="I3642" t="s">
        <v>192</v>
      </c>
    </row>
    <row r="3643" spans="1:9" ht="15" customHeight="1" x14ac:dyDescent="0.35">
      <c r="A3643">
        <v>2024</v>
      </c>
      <c r="B3643" t="s">
        <v>153</v>
      </c>
      <c r="C3643">
        <v>6</v>
      </c>
      <c r="D3643" t="s">
        <v>114</v>
      </c>
      <c r="E3643">
        <v>1981</v>
      </c>
      <c r="F3643">
        <v>2454</v>
      </c>
      <c r="G3643">
        <v>1218</v>
      </c>
      <c r="H3643" t="s">
        <v>77</v>
      </c>
      <c r="I3643" t="s">
        <v>192</v>
      </c>
    </row>
    <row r="3644" spans="1:9" ht="15" customHeight="1" x14ac:dyDescent="0.35">
      <c r="A3644">
        <v>2024</v>
      </c>
      <c r="B3644" t="s">
        <v>154</v>
      </c>
      <c r="C3644">
        <v>7</v>
      </c>
      <c r="D3644" t="s">
        <v>114</v>
      </c>
      <c r="E3644">
        <v>1947</v>
      </c>
      <c r="F3644">
        <v>2488</v>
      </c>
      <c r="G3644">
        <v>1198</v>
      </c>
      <c r="H3644" t="s">
        <v>77</v>
      </c>
      <c r="I3644" t="s">
        <v>192</v>
      </c>
    </row>
    <row r="3645" spans="1:9" ht="15" customHeight="1" x14ac:dyDescent="0.35">
      <c r="A3645">
        <v>2024</v>
      </c>
      <c r="B3645" t="s">
        <v>155</v>
      </c>
      <c r="C3645">
        <v>8</v>
      </c>
      <c r="D3645" t="s">
        <v>114</v>
      </c>
      <c r="E3645">
        <v>1960</v>
      </c>
      <c r="F3645">
        <v>2460</v>
      </c>
      <c r="G3645">
        <v>1503</v>
      </c>
      <c r="H3645" t="s">
        <v>77</v>
      </c>
      <c r="I3645" t="s">
        <v>192</v>
      </c>
    </row>
    <row r="3646" spans="1:9" ht="15" customHeight="1" x14ac:dyDescent="0.35">
      <c r="A3646">
        <v>2024</v>
      </c>
      <c r="B3646" t="s">
        <v>156</v>
      </c>
      <c r="C3646">
        <v>9</v>
      </c>
      <c r="D3646" t="s">
        <v>114</v>
      </c>
      <c r="E3646">
        <v>1870</v>
      </c>
      <c r="F3646">
        <v>2349</v>
      </c>
      <c r="G3646">
        <v>1097</v>
      </c>
      <c r="H3646" t="s">
        <v>77</v>
      </c>
      <c r="I3646" t="s">
        <v>192</v>
      </c>
    </row>
    <row r="3647" spans="1:9" ht="15" customHeight="1" x14ac:dyDescent="0.35">
      <c r="A3647">
        <v>2024</v>
      </c>
      <c r="B3647" t="s">
        <v>157</v>
      </c>
      <c r="C3647">
        <v>10</v>
      </c>
      <c r="D3647" t="s">
        <v>114</v>
      </c>
      <c r="E3647">
        <v>1814</v>
      </c>
      <c r="F3647">
        <v>2333</v>
      </c>
      <c r="G3647">
        <v>1148</v>
      </c>
      <c r="H3647" t="s">
        <v>77</v>
      </c>
      <c r="I3647" t="s">
        <v>192</v>
      </c>
    </row>
    <row r="3648" spans="1:9" ht="15" customHeight="1" x14ac:dyDescent="0.35">
      <c r="A3648">
        <v>2024</v>
      </c>
      <c r="B3648" t="s">
        <v>158</v>
      </c>
      <c r="C3648">
        <v>11</v>
      </c>
      <c r="D3648" t="s">
        <v>114</v>
      </c>
      <c r="E3648">
        <v>1705</v>
      </c>
      <c r="F3648">
        <v>2387</v>
      </c>
      <c r="G3648">
        <v>1097</v>
      </c>
      <c r="H3648" t="s">
        <v>77</v>
      </c>
      <c r="I3648" t="s">
        <v>192</v>
      </c>
    </row>
    <row r="3649" spans="1:9" ht="15" customHeight="1" x14ac:dyDescent="0.35">
      <c r="A3649">
        <v>2024</v>
      </c>
      <c r="B3649" t="s">
        <v>159</v>
      </c>
      <c r="C3649">
        <v>12</v>
      </c>
      <c r="D3649" t="s">
        <v>114</v>
      </c>
      <c r="E3649">
        <v>1867</v>
      </c>
      <c r="F3649">
        <v>2528</v>
      </c>
      <c r="G3649">
        <v>1209</v>
      </c>
      <c r="H3649" t="s">
        <v>77</v>
      </c>
      <c r="I3649" t="s">
        <v>192</v>
      </c>
    </row>
    <row r="3650" spans="1:9" ht="15" customHeight="1" x14ac:dyDescent="0.35">
      <c r="A3650">
        <v>2025</v>
      </c>
      <c r="B3650" t="s">
        <v>147</v>
      </c>
      <c r="C3650">
        <v>1</v>
      </c>
      <c r="D3650" t="s">
        <v>114</v>
      </c>
      <c r="E3650">
        <v>1931</v>
      </c>
      <c r="F3650">
        <v>2686</v>
      </c>
      <c r="G3650">
        <v>1258</v>
      </c>
      <c r="H3650" t="s">
        <v>77</v>
      </c>
      <c r="I3650" t="s">
        <v>192</v>
      </c>
    </row>
    <row r="3651" spans="1:9" ht="15" customHeight="1" x14ac:dyDescent="0.35">
      <c r="A3651">
        <v>2025</v>
      </c>
      <c r="B3651" t="s">
        <v>149</v>
      </c>
      <c r="C3651">
        <v>2</v>
      </c>
      <c r="D3651" t="s">
        <v>114</v>
      </c>
      <c r="E3651">
        <v>1874</v>
      </c>
      <c r="F3651">
        <v>2567</v>
      </c>
      <c r="G3651">
        <v>1106</v>
      </c>
      <c r="H3651" t="s">
        <v>77</v>
      </c>
      <c r="I3651" t="s">
        <v>192</v>
      </c>
    </row>
    <row r="3652" spans="1:9" ht="15" customHeight="1" x14ac:dyDescent="0.35">
      <c r="A3652">
        <v>2025</v>
      </c>
      <c r="B3652" t="s">
        <v>150</v>
      </c>
      <c r="C3652">
        <v>3</v>
      </c>
      <c r="D3652" t="s">
        <v>114</v>
      </c>
      <c r="E3652">
        <v>1659</v>
      </c>
      <c r="F3652">
        <v>2219</v>
      </c>
      <c r="G3652">
        <v>974</v>
      </c>
      <c r="H3652" t="s">
        <v>77</v>
      </c>
      <c r="I3652" t="s">
        <v>192</v>
      </c>
    </row>
    <row r="3653" spans="1:9" ht="15" customHeight="1" x14ac:dyDescent="0.35">
      <c r="A3653">
        <v>2025</v>
      </c>
      <c r="B3653" t="s">
        <v>151</v>
      </c>
      <c r="C3653">
        <v>4</v>
      </c>
      <c r="D3653" t="s">
        <v>114</v>
      </c>
      <c r="E3653">
        <v>1841</v>
      </c>
      <c r="F3653">
        <v>2460</v>
      </c>
      <c r="G3653">
        <v>1059</v>
      </c>
      <c r="H3653" t="s">
        <v>78</v>
      </c>
      <c r="I3653" t="s">
        <v>192</v>
      </c>
    </row>
    <row r="3654" spans="1:9" ht="15" customHeight="1" x14ac:dyDescent="0.35">
      <c r="A3654">
        <v>2025</v>
      </c>
      <c r="B3654" t="s">
        <v>152</v>
      </c>
      <c r="C3654">
        <v>5</v>
      </c>
      <c r="D3654" t="s">
        <v>114</v>
      </c>
      <c r="E3654">
        <v>2019</v>
      </c>
      <c r="F3654">
        <v>2559</v>
      </c>
      <c r="G3654">
        <v>1444</v>
      </c>
      <c r="H3654" t="s">
        <v>78</v>
      </c>
      <c r="I3654" t="s">
        <v>192</v>
      </c>
    </row>
    <row r="3655" spans="1:9" ht="15" customHeight="1" x14ac:dyDescent="0.35">
      <c r="A3655">
        <v>2025</v>
      </c>
      <c r="B3655" t="s">
        <v>153</v>
      </c>
      <c r="C3655">
        <v>6</v>
      </c>
      <c r="D3655" t="s">
        <v>114</v>
      </c>
      <c r="E3655">
        <v>2112</v>
      </c>
      <c r="F3655">
        <v>2581</v>
      </c>
      <c r="G3655">
        <v>1315</v>
      </c>
      <c r="H3655" t="s">
        <v>78</v>
      </c>
      <c r="I3655" t="s">
        <v>192</v>
      </c>
    </row>
    <row r="3656" spans="1:9" ht="15" customHeight="1" x14ac:dyDescent="0.35">
      <c r="A3656">
        <v>2025</v>
      </c>
      <c r="B3656" t="s">
        <v>154</v>
      </c>
      <c r="C3656">
        <v>7</v>
      </c>
      <c r="D3656" t="s">
        <v>114</v>
      </c>
      <c r="E3656">
        <v>1897</v>
      </c>
      <c r="F3656">
        <v>2539</v>
      </c>
      <c r="G3656">
        <v>1303</v>
      </c>
      <c r="H3656" t="s">
        <v>78</v>
      </c>
      <c r="I3656" t="s">
        <v>192</v>
      </c>
    </row>
    <row r="3657" spans="1:9" ht="15" customHeight="1" x14ac:dyDescent="0.35">
      <c r="A3657">
        <v>2025</v>
      </c>
      <c r="B3657" t="s">
        <v>155</v>
      </c>
      <c r="C3657">
        <v>8</v>
      </c>
      <c r="D3657" t="s">
        <v>114</v>
      </c>
      <c r="E3657">
        <v>1920</v>
      </c>
      <c r="F3657">
        <v>2452</v>
      </c>
      <c r="G3657">
        <v>1301</v>
      </c>
      <c r="H3657" t="s">
        <v>78</v>
      </c>
      <c r="I3657" t="s">
        <v>192</v>
      </c>
    </row>
    <row r="3658" spans="1:9" ht="15" customHeight="1" x14ac:dyDescent="0.35">
      <c r="A3658">
        <v>2025</v>
      </c>
      <c r="B3658" t="s">
        <v>156</v>
      </c>
      <c r="C3658">
        <v>9</v>
      </c>
      <c r="D3658" t="s">
        <v>114</v>
      </c>
      <c r="E3658">
        <v>1962</v>
      </c>
      <c r="F3658">
        <v>2561</v>
      </c>
      <c r="G3658">
        <v>1412</v>
      </c>
      <c r="H3658" t="s">
        <v>78</v>
      </c>
      <c r="I3658" t="s">
        <v>192</v>
      </c>
    </row>
    <row r="3659" spans="1:9" ht="15" customHeight="1" x14ac:dyDescent="0.35">
      <c r="A3659">
        <v>2025</v>
      </c>
      <c r="B3659" t="s">
        <v>157</v>
      </c>
      <c r="C3659">
        <v>10</v>
      </c>
      <c r="D3659" t="s">
        <v>114</v>
      </c>
      <c r="E3659">
        <v>1687</v>
      </c>
      <c r="F3659">
        <v>2428</v>
      </c>
      <c r="G3659">
        <v>940</v>
      </c>
      <c r="H3659" t="s">
        <v>78</v>
      </c>
      <c r="I3659" t="s">
        <v>192</v>
      </c>
    </row>
    <row r="3660" spans="1:9" ht="15" customHeight="1" x14ac:dyDescent="0.35">
      <c r="A3660">
        <v>2025</v>
      </c>
      <c r="B3660" t="s">
        <v>158</v>
      </c>
      <c r="C3660">
        <v>11</v>
      </c>
      <c r="D3660" t="s">
        <v>114</v>
      </c>
      <c r="E3660">
        <v>1753</v>
      </c>
      <c r="F3660">
        <v>2371</v>
      </c>
      <c r="G3660">
        <v>1221</v>
      </c>
      <c r="H3660" t="s">
        <v>78</v>
      </c>
      <c r="I3660" t="s">
        <v>192</v>
      </c>
    </row>
    <row r="3661" spans="1:9" ht="15" customHeight="1" x14ac:dyDescent="0.35">
      <c r="A3661">
        <v>2025</v>
      </c>
      <c r="B3661" t="s">
        <v>159</v>
      </c>
      <c r="C3661">
        <v>12</v>
      </c>
      <c r="D3661" t="s">
        <v>114</v>
      </c>
      <c r="E3661">
        <v>1963</v>
      </c>
      <c r="F3661">
        <v>2758</v>
      </c>
      <c r="G3661">
        <v>1378</v>
      </c>
      <c r="H3661" t="s">
        <v>78</v>
      </c>
      <c r="I3661" t="s">
        <v>192</v>
      </c>
    </row>
    <row r="3662" spans="1:9" ht="15" customHeight="1" x14ac:dyDescent="0.35">
      <c r="A3662">
        <v>2026</v>
      </c>
      <c r="B3662" t="s">
        <v>147</v>
      </c>
      <c r="C3662">
        <v>1</v>
      </c>
      <c r="D3662" t="s">
        <v>114</v>
      </c>
      <c r="E3662">
        <v>2002</v>
      </c>
      <c r="F3662">
        <v>2776</v>
      </c>
      <c r="G3662">
        <v>974</v>
      </c>
      <c r="H3662" t="s">
        <v>78</v>
      </c>
      <c r="I3662" t="s">
        <v>192</v>
      </c>
    </row>
    <row r="3663" spans="1:9" ht="15" customHeight="1" x14ac:dyDescent="0.35">
      <c r="A3663">
        <v>2026</v>
      </c>
      <c r="B3663" t="s">
        <v>149</v>
      </c>
      <c r="C3663">
        <v>2</v>
      </c>
      <c r="D3663" t="s">
        <v>114</v>
      </c>
      <c r="E3663">
        <v>1875</v>
      </c>
      <c r="F3663">
        <v>2601</v>
      </c>
      <c r="G3663">
        <v>1181</v>
      </c>
      <c r="H3663" t="s">
        <v>78</v>
      </c>
      <c r="I3663" t="s">
        <v>192</v>
      </c>
    </row>
    <row r="3664" spans="1:9" ht="15" customHeight="1" x14ac:dyDescent="0.35">
      <c r="A3664">
        <v>2026</v>
      </c>
      <c r="B3664" t="s">
        <v>150</v>
      </c>
      <c r="C3664">
        <v>3</v>
      </c>
      <c r="D3664" t="s">
        <v>114</v>
      </c>
      <c r="E3664">
        <v>2002</v>
      </c>
      <c r="F3664">
        <v>2776</v>
      </c>
      <c r="G3664">
        <v>974</v>
      </c>
      <c r="H3664" t="s">
        <v>78</v>
      </c>
      <c r="I3664" t="s">
        <v>192</v>
      </c>
    </row>
    <row r="3665" spans="1:9" ht="15" customHeight="1" x14ac:dyDescent="0.35">
      <c r="A3665">
        <v>2017</v>
      </c>
      <c r="B3665" t="s">
        <v>147</v>
      </c>
      <c r="C3665">
        <v>1</v>
      </c>
      <c r="D3665" t="s">
        <v>115</v>
      </c>
      <c r="E3665">
        <v>4450</v>
      </c>
      <c r="F3665">
        <v>6498</v>
      </c>
      <c r="G3665">
        <v>3000</v>
      </c>
      <c r="H3665" t="s">
        <v>122</v>
      </c>
      <c r="I3665" t="s">
        <v>193</v>
      </c>
    </row>
    <row r="3666" spans="1:9" ht="15" customHeight="1" x14ac:dyDescent="0.35">
      <c r="A3666">
        <v>2017</v>
      </c>
      <c r="B3666" t="s">
        <v>149</v>
      </c>
      <c r="C3666">
        <v>2</v>
      </c>
      <c r="D3666" t="s">
        <v>115</v>
      </c>
      <c r="E3666">
        <v>4925</v>
      </c>
      <c r="F3666">
        <v>7020</v>
      </c>
      <c r="G3666">
        <v>3428</v>
      </c>
      <c r="H3666" t="s">
        <v>122</v>
      </c>
      <c r="I3666" t="s">
        <v>193</v>
      </c>
    </row>
    <row r="3667" spans="1:9" ht="15" customHeight="1" x14ac:dyDescent="0.35">
      <c r="A3667">
        <v>2017</v>
      </c>
      <c r="B3667" t="s">
        <v>150</v>
      </c>
      <c r="C3667">
        <v>3</v>
      </c>
      <c r="D3667" t="s">
        <v>115</v>
      </c>
      <c r="E3667">
        <v>5257</v>
      </c>
      <c r="F3667">
        <v>8163</v>
      </c>
      <c r="G3667">
        <v>3264</v>
      </c>
      <c r="H3667" t="s">
        <v>122</v>
      </c>
      <c r="I3667" t="s">
        <v>193</v>
      </c>
    </row>
    <row r="3668" spans="1:9" ht="15" customHeight="1" x14ac:dyDescent="0.35">
      <c r="A3668">
        <v>2017</v>
      </c>
      <c r="B3668" t="s">
        <v>151</v>
      </c>
      <c r="C3668">
        <v>4</v>
      </c>
      <c r="D3668" t="s">
        <v>115</v>
      </c>
      <c r="E3668">
        <v>6516</v>
      </c>
      <c r="F3668">
        <v>8363</v>
      </c>
      <c r="G3668">
        <v>4499</v>
      </c>
      <c r="H3668" t="s">
        <v>123</v>
      </c>
      <c r="I3668" t="s">
        <v>193</v>
      </c>
    </row>
    <row r="3669" spans="1:9" ht="15" customHeight="1" x14ac:dyDescent="0.35">
      <c r="A3669">
        <v>2017</v>
      </c>
      <c r="B3669" t="s">
        <v>152</v>
      </c>
      <c r="C3669">
        <v>5</v>
      </c>
      <c r="D3669" t="s">
        <v>115</v>
      </c>
      <c r="E3669">
        <v>6192</v>
      </c>
      <c r="F3669">
        <v>7951</v>
      </c>
      <c r="G3669">
        <v>3816</v>
      </c>
      <c r="H3669" t="s">
        <v>123</v>
      </c>
      <c r="I3669" t="s">
        <v>193</v>
      </c>
    </row>
    <row r="3670" spans="1:9" ht="15" customHeight="1" x14ac:dyDescent="0.35">
      <c r="A3670">
        <v>2017</v>
      </c>
      <c r="B3670" t="s">
        <v>153</v>
      </c>
      <c r="C3670">
        <v>6</v>
      </c>
      <c r="D3670" t="s">
        <v>115</v>
      </c>
      <c r="E3670">
        <v>6220</v>
      </c>
      <c r="F3670">
        <v>8270</v>
      </c>
      <c r="G3670">
        <v>3837</v>
      </c>
      <c r="H3670" t="s">
        <v>123</v>
      </c>
      <c r="I3670" t="s">
        <v>193</v>
      </c>
    </row>
    <row r="3671" spans="1:9" ht="15" customHeight="1" x14ac:dyDescent="0.35">
      <c r="A3671">
        <v>2017</v>
      </c>
      <c r="B3671" t="s">
        <v>154</v>
      </c>
      <c r="C3671">
        <v>7</v>
      </c>
      <c r="D3671" t="s">
        <v>115</v>
      </c>
      <c r="E3671">
        <v>5992</v>
      </c>
      <c r="F3671">
        <v>7869</v>
      </c>
      <c r="G3671">
        <v>3761</v>
      </c>
      <c r="H3671" t="s">
        <v>123</v>
      </c>
      <c r="I3671" t="s">
        <v>193</v>
      </c>
    </row>
    <row r="3672" spans="1:9" ht="15" customHeight="1" x14ac:dyDescent="0.35">
      <c r="A3672">
        <v>2017</v>
      </c>
      <c r="B3672" t="s">
        <v>155</v>
      </c>
      <c r="C3672">
        <v>8</v>
      </c>
      <c r="D3672" t="s">
        <v>115</v>
      </c>
      <c r="E3672">
        <v>6198</v>
      </c>
      <c r="F3672">
        <v>8017</v>
      </c>
      <c r="G3672">
        <v>4308</v>
      </c>
      <c r="H3672" t="s">
        <v>123</v>
      </c>
      <c r="I3672" t="s">
        <v>193</v>
      </c>
    </row>
    <row r="3673" spans="1:9" ht="15" customHeight="1" x14ac:dyDescent="0.35">
      <c r="A3673">
        <v>2017</v>
      </c>
      <c r="B3673" t="s">
        <v>156</v>
      </c>
      <c r="C3673">
        <v>9</v>
      </c>
      <c r="D3673" t="s">
        <v>115</v>
      </c>
      <c r="E3673">
        <v>6335</v>
      </c>
      <c r="F3673">
        <v>8192</v>
      </c>
      <c r="G3673">
        <v>3964</v>
      </c>
      <c r="H3673" t="s">
        <v>123</v>
      </c>
      <c r="I3673" t="s">
        <v>193</v>
      </c>
    </row>
    <row r="3674" spans="1:9" ht="15" customHeight="1" x14ac:dyDescent="0.35">
      <c r="A3674">
        <v>2017</v>
      </c>
      <c r="B3674" t="s">
        <v>157</v>
      </c>
      <c r="C3674">
        <v>10</v>
      </c>
      <c r="D3674" t="s">
        <v>115</v>
      </c>
      <c r="E3674">
        <v>5641</v>
      </c>
      <c r="F3674">
        <v>8248</v>
      </c>
      <c r="G3674">
        <v>3709</v>
      </c>
      <c r="H3674" t="s">
        <v>123</v>
      </c>
      <c r="I3674" t="s">
        <v>193</v>
      </c>
    </row>
    <row r="3675" spans="1:9" ht="15" customHeight="1" x14ac:dyDescent="0.35">
      <c r="A3675">
        <v>2017</v>
      </c>
      <c r="B3675" t="s">
        <v>158</v>
      </c>
      <c r="C3675">
        <v>11</v>
      </c>
      <c r="D3675" t="s">
        <v>115</v>
      </c>
      <c r="E3675">
        <v>4507</v>
      </c>
      <c r="F3675">
        <v>6830</v>
      </c>
      <c r="G3675">
        <v>2949</v>
      </c>
      <c r="H3675" t="s">
        <v>123</v>
      </c>
      <c r="I3675" t="s">
        <v>193</v>
      </c>
    </row>
    <row r="3676" spans="1:9" ht="15" customHeight="1" x14ac:dyDescent="0.35">
      <c r="A3676">
        <v>2017</v>
      </c>
      <c r="B3676" t="s">
        <v>159</v>
      </c>
      <c r="C3676">
        <v>12</v>
      </c>
      <c r="D3676" t="s">
        <v>115</v>
      </c>
      <c r="E3676">
        <v>4103</v>
      </c>
      <c r="F3676">
        <v>6404</v>
      </c>
      <c r="G3676">
        <v>2660</v>
      </c>
      <c r="H3676" t="s">
        <v>123</v>
      </c>
      <c r="I3676" t="s">
        <v>193</v>
      </c>
    </row>
    <row r="3677" spans="1:9" ht="15" customHeight="1" x14ac:dyDescent="0.35">
      <c r="A3677">
        <v>2018</v>
      </c>
      <c r="B3677" t="s">
        <v>147</v>
      </c>
      <c r="C3677">
        <v>1</v>
      </c>
      <c r="D3677" t="s">
        <v>115</v>
      </c>
      <c r="E3677">
        <v>4418</v>
      </c>
      <c r="F3677">
        <v>6560</v>
      </c>
      <c r="G3677">
        <v>2634</v>
      </c>
      <c r="H3677" t="s">
        <v>123</v>
      </c>
      <c r="I3677" t="s">
        <v>193</v>
      </c>
    </row>
    <row r="3678" spans="1:9" ht="15" customHeight="1" x14ac:dyDescent="0.35">
      <c r="A3678">
        <v>2018</v>
      </c>
      <c r="B3678" t="s">
        <v>149</v>
      </c>
      <c r="C3678">
        <v>2</v>
      </c>
      <c r="D3678" t="s">
        <v>115</v>
      </c>
      <c r="E3678">
        <v>5102</v>
      </c>
      <c r="F3678">
        <v>6886</v>
      </c>
      <c r="G3678">
        <v>3668</v>
      </c>
      <c r="H3678" t="s">
        <v>123</v>
      </c>
      <c r="I3678" t="s">
        <v>193</v>
      </c>
    </row>
    <row r="3679" spans="1:9" ht="15" customHeight="1" x14ac:dyDescent="0.35">
      <c r="A3679">
        <v>2018</v>
      </c>
      <c r="B3679" t="s">
        <v>150</v>
      </c>
      <c r="C3679">
        <v>3</v>
      </c>
      <c r="D3679" t="s">
        <v>115</v>
      </c>
      <c r="E3679">
        <v>6286</v>
      </c>
      <c r="F3679">
        <v>8447</v>
      </c>
      <c r="G3679">
        <v>4392</v>
      </c>
      <c r="H3679" t="s">
        <v>123</v>
      </c>
      <c r="I3679" t="s">
        <v>193</v>
      </c>
    </row>
    <row r="3680" spans="1:9" ht="15" customHeight="1" x14ac:dyDescent="0.35">
      <c r="A3680">
        <v>2018</v>
      </c>
      <c r="B3680" t="s">
        <v>151</v>
      </c>
      <c r="C3680">
        <v>4</v>
      </c>
      <c r="D3680" t="s">
        <v>115</v>
      </c>
      <c r="E3680">
        <v>6239</v>
      </c>
      <c r="F3680">
        <v>8294</v>
      </c>
      <c r="G3680">
        <v>3378</v>
      </c>
      <c r="H3680" t="s">
        <v>124</v>
      </c>
      <c r="I3680" t="s">
        <v>193</v>
      </c>
    </row>
    <row r="3681" spans="1:9" ht="15" customHeight="1" x14ac:dyDescent="0.35">
      <c r="A3681">
        <v>2018</v>
      </c>
      <c r="B3681" t="s">
        <v>152</v>
      </c>
      <c r="C3681">
        <v>5</v>
      </c>
      <c r="D3681" t="s">
        <v>115</v>
      </c>
      <c r="E3681">
        <v>6509</v>
      </c>
      <c r="F3681">
        <v>8412</v>
      </c>
      <c r="G3681">
        <v>3867</v>
      </c>
      <c r="H3681" t="s">
        <v>124</v>
      </c>
      <c r="I3681" t="s">
        <v>193</v>
      </c>
    </row>
    <row r="3682" spans="1:9" ht="15" customHeight="1" x14ac:dyDescent="0.35">
      <c r="A3682">
        <v>2018</v>
      </c>
      <c r="B3682" t="s">
        <v>153</v>
      </c>
      <c r="C3682">
        <v>6</v>
      </c>
      <c r="D3682" t="s">
        <v>115</v>
      </c>
      <c r="E3682">
        <v>6917</v>
      </c>
      <c r="F3682">
        <v>8724</v>
      </c>
      <c r="G3682">
        <v>4569</v>
      </c>
      <c r="H3682" t="s">
        <v>124</v>
      </c>
      <c r="I3682" t="s">
        <v>193</v>
      </c>
    </row>
    <row r="3683" spans="1:9" ht="15" customHeight="1" x14ac:dyDescent="0.35">
      <c r="A3683">
        <v>2018</v>
      </c>
      <c r="B3683" t="s">
        <v>154</v>
      </c>
      <c r="C3683">
        <v>7</v>
      </c>
      <c r="D3683" t="s">
        <v>115</v>
      </c>
      <c r="E3683">
        <v>6826</v>
      </c>
      <c r="F3683">
        <v>8634</v>
      </c>
      <c r="G3683">
        <v>5118</v>
      </c>
      <c r="H3683" t="s">
        <v>124</v>
      </c>
      <c r="I3683" t="s">
        <v>193</v>
      </c>
    </row>
    <row r="3684" spans="1:9" ht="15" customHeight="1" x14ac:dyDescent="0.35">
      <c r="A3684">
        <v>2018</v>
      </c>
      <c r="B3684" t="s">
        <v>155</v>
      </c>
      <c r="C3684">
        <v>8</v>
      </c>
      <c r="D3684" t="s">
        <v>115</v>
      </c>
      <c r="E3684">
        <v>6876</v>
      </c>
      <c r="F3684">
        <v>8770</v>
      </c>
      <c r="G3684">
        <v>5170</v>
      </c>
      <c r="H3684" t="s">
        <v>124</v>
      </c>
      <c r="I3684" t="s">
        <v>193</v>
      </c>
    </row>
    <row r="3685" spans="1:9" ht="15" customHeight="1" x14ac:dyDescent="0.35">
      <c r="A3685">
        <v>2018</v>
      </c>
      <c r="B3685" t="s">
        <v>156</v>
      </c>
      <c r="C3685">
        <v>9</v>
      </c>
      <c r="D3685" t="s">
        <v>115</v>
      </c>
      <c r="E3685">
        <v>6808</v>
      </c>
      <c r="F3685">
        <v>8644</v>
      </c>
      <c r="G3685">
        <v>4577</v>
      </c>
      <c r="H3685" t="s">
        <v>124</v>
      </c>
      <c r="I3685" t="s">
        <v>193</v>
      </c>
    </row>
    <row r="3686" spans="1:9" ht="15" customHeight="1" x14ac:dyDescent="0.35">
      <c r="A3686">
        <v>2018</v>
      </c>
      <c r="B3686" t="s">
        <v>157</v>
      </c>
      <c r="C3686">
        <v>10</v>
      </c>
      <c r="D3686" t="s">
        <v>115</v>
      </c>
      <c r="E3686">
        <v>6026</v>
      </c>
      <c r="F3686">
        <v>8618</v>
      </c>
      <c r="G3686">
        <v>3734</v>
      </c>
      <c r="H3686" t="s">
        <v>124</v>
      </c>
      <c r="I3686" t="s">
        <v>193</v>
      </c>
    </row>
    <row r="3687" spans="1:9" ht="15" customHeight="1" x14ac:dyDescent="0.35">
      <c r="A3687">
        <v>2018</v>
      </c>
      <c r="B3687" t="s">
        <v>158</v>
      </c>
      <c r="C3687">
        <v>11</v>
      </c>
      <c r="D3687" t="s">
        <v>115</v>
      </c>
      <c r="E3687">
        <v>4824</v>
      </c>
      <c r="F3687">
        <v>7680</v>
      </c>
      <c r="G3687">
        <v>3370</v>
      </c>
      <c r="H3687" t="s">
        <v>124</v>
      </c>
      <c r="I3687" t="s">
        <v>193</v>
      </c>
    </row>
    <row r="3688" spans="1:9" ht="15" customHeight="1" x14ac:dyDescent="0.35">
      <c r="A3688">
        <v>2018</v>
      </c>
      <c r="B3688" t="s">
        <v>159</v>
      </c>
      <c r="C3688">
        <v>12</v>
      </c>
      <c r="D3688" t="s">
        <v>115</v>
      </c>
      <c r="E3688">
        <v>4624</v>
      </c>
      <c r="F3688">
        <v>6375</v>
      </c>
      <c r="G3688">
        <v>3322</v>
      </c>
      <c r="H3688" t="s">
        <v>124</v>
      </c>
      <c r="I3688" t="s">
        <v>193</v>
      </c>
    </row>
    <row r="3689" spans="1:9" ht="15" customHeight="1" x14ac:dyDescent="0.35">
      <c r="A3689">
        <v>2019</v>
      </c>
      <c r="B3689" t="s">
        <v>147</v>
      </c>
      <c r="C3689">
        <v>1</v>
      </c>
      <c r="D3689" t="s">
        <v>115</v>
      </c>
      <c r="E3689">
        <v>4944</v>
      </c>
      <c r="F3689">
        <v>6633</v>
      </c>
      <c r="G3689">
        <v>3633</v>
      </c>
      <c r="H3689" t="s">
        <v>124</v>
      </c>
      <c r="I3689" t="s">
        <v>193</v>
      </c>
    </row>
    <row r="3690" spans="1:9" ht="15" customHeight="1" x14ac:dyDescent="0.35">
      <c r="A3690">
        <v>2019</v>
      </c>
      <c r="B3690" t="s">
        <v>149</v>
      </c>
      <c r="C3690">
        <v>2</v>
      </c>
      <c r="D3690" t="s">
        <v>115</v>
      </c>
      <c r="E3690">
        <v>5252</v>
      </c>
      <c r="F3690">
        <v>7161</v>
      </c>
      <c r="G3690">
        <v>2759</v>
      </c>
      <c r="H3690" t="s">
        <v>124</v>
      </c>
      <c r="I3690" t="s">
        <v>193</v>
      </c>
    </row>
    <row r="3691" spans="1:9" ht="15" customHeight="1" x14ac:dyDescent="0.35">
      <c r="A3691">
        <v>2019</v>
      </c>
      <c r="B3691" t="s">
        <v>150</v>
      </c>
      <c r="C3691">
        <v>3</v>
      </c>
      <c r="D3691" t="s">
        <v>115</v>
      </c>
      <c r="E3691">
        <v>5807</v>
      </c>
      <c r="F3691">
        <v>8098</v>
      </c>
      <c r="G3691">
        <v>3982</v>
      </c>
      <c r="H3691" t="s">
        <v>124</v>
      </c>
      <c r="I3691" t="s">
        <v>193</v>
      </c>
    </row>
    <row r="3692" spans="1:9" ht="15" customHeight="1" x14ac:dyDescent="0.35">
      <c r="A3692">
        <v>2019</v>
      </c>
      <c r="B3692" t="s">
        <v>151</v>
      </c>
      <c r="C3692">
        <v>4</v>
      </c>
      <c r="D3692" t="s">
        <v>115</v>
      </c>
      <c r="E3692">
        <v>6859</v>
      </c>
      <c r="F3692">
        <v>8528</v>
      </c>
      <c r="G3692">
        <v>3649</v>
      </c>
      <c r="H3692" t="s">
        <v>71</v>
      </c>
      <c r="I3692" t="s">
        <v>193</v>
      </c>
    </row>
    <row r="3693" spans="1:9" ht="15" customHeight="1" x14ac:dyDescent="0.35">
      <c r="A3693">
        <v>2019</v>
      </c>
      <c r="B3693" t="s">
        <v>152</v>
      </c>
      <c r="C3693">
        <v>5</v>
      </c>
      <c r="D3693" t="s">
        <v>115</v>
      </c>
      <c r="E3693">
        <v>7491</v>
      </c>
      <c r="F3693">
        <v>9210</v>
      </c>
      <c r="G3693">
        <v>3764</v>
      </c>
      <c r="H3693" t="s">
        <v>71</v>
      </c>
      <c r="I3693" t="s">
        <v>193</v>
      </c>
    </row>
    <row r="3694" spans="1:9" ht="15" customHeight="1" x14ac:dyDescent="0.35">
      <c r="A3694">
        <v>2019</v>
      </c>
      <c r="B3694" t="s">
        <v>153</v>
      </c>
      <c r="C3694">
        <v>6</v>
      </c>
      <c r="D3694" t="s">
        <v>115</v>
      </c>
      <c r="E3694">
        <v>7368</v>
      </c>
      <c r="F3694">
        <v>9124</v>
      </c>
      <c r="G3694">
        <v>4525</v>
      </c>
      <c r="H3694" t="s">
        <v>71</v>
      </c>
      <c r="I3694" t="s">
        <v>193</v>
      </c>
    </row>
    <row r="3695" spans="1:9" ht="15" customHeight="1" x14ac:dyDescent="0.35">
      <c r="A3695">
        <v>2019</v>
      </c>
      <c r="B3695" t="s">
        <v>154</v>
      </c>
      <c r="C3695">
        <v>7</v>
      </c>
      <c r="D3695" t="s">
        <v>115</v>
      </c>
      <c r="E3695">
        <v>7282</v>
      </c>
      <c r="F3695">
        <v>9064</v>
      </c>
      <c r="G3695">
        <v>5192</v>
      </c>
      <c r="H3695" t="s">
        <v>71</v>
      </c>
      <c r="I3695" t="s">
        <v>193</v>
      </c>
    </row>
    <row r="3696" spans="1:9" ht="15" customHeight="1" x14ac:dyDescent="0.35">
      <c r="A3696">
        <v>2019</v>
      </c>
      <c r="B3696" t="s">
        <v>155</v>
      </c>
      <c r="C3696">
        <v>8</v>
      </c>
      <c r="D3696" t="s">
        <v>115</v>
      </c>
      <c r="E3696">
        <v>7030</v>
      </c>
      <c r="F3696">
        <v>8839</v>
      </c>
      <c r="G3696">
        <v>4911</v>
      </c>
      <c r="H3696" t="s">
        <v>71</v>
      </c>
      <c r="I3696" t="s">
        <v>193</v>
      </c>
    </row>
    <row r="3697" spans="1:9" ht="15" customHeight="1" x14ac:dyDescent="0.35">
      <c r="A3697">
        <v>2019</v>
      </c>
      <c r="B3697" t="s">
        <v>156</v>
      </c>
      <c r="C3697">
        <v>9</v>
      </c>
      <c r="D3697" t="s">
        <v>115</v>
      </c>
      <c r="E3697">
        <v>6798</v>
      </c>
      <c r="F3697">
        <v>8970</v>
      </c>
      <c r="G3697">
        <v>4362</v>
      </c>
      <c r="H3697" t="s">
        <v>71</v>
      </c>
      <c r="I3697" t="s">
        <v>193</v>
      </c>
    </row>
    <row r="3698" spans="1:9" ht="15" customHeight="1" x14ac:dyDescent="0.35">
      <c r="A3698">
        <v>2019</v>
      </c>
      <c r="B3698" t="s">
        <v>157</v>
      </c>
      <c r="C3698">
        <v>10</v>
      </c>
      <c r="D3698" t="s">
        <v>115</v>
      </c>
      <c r="E3698">
        <v>5842</v>
      </c>
      <c r="F3698">
        <v>8180</v>
      </c>
      <c r="G3698">
        <v>3742</v>
      </c>
      <c r="H3698" t="s">
        <v>71</v>
      </c>
      <c r="I3698" t="s">
        <v>193</v>
      </c>
    </row>
    <row r="3699" spans="1:9" ht="15" customHeight="1" x14ac:dyDescent="0.35">
      <c r="A3699">
        <v>2019</v>
      </c>
      <c r="B3699" t="s">
        <v>158</v>
      </c>
      <c r="C3699">
        <v>11</v>
      </c>
      <c r="D3699" t="s">
        <v>115</v>
      </c>
      <c r="E3699">
        <v>4782</v>
      </c>
      <c r="F3699">
        <v>6767</v>
      </c>
      <c r="G3699">
        <v>3256</v>
      </c>
      <c r="H3699" t="s">
        <v>71</v>
      </c>
      <c r="I3699" t="s">
        <v>193</v>
      </c>
    </row>
    <row r="3700" spans="1:9" ht="15" customHeight="1" x14ac:dyDescent="0.35">
      <c r="A3700">
        <v>2019</v>
      </c>
      <c r="B3700" t="s">
        <v>159</v>
      </c>
      <c r="C3700">
        <v>12</v>
      </c>
      <c r="D3700" t="s">
        <v>115</v>
      </c>
      <c r="E3700">
        <v>4652</v>
      </c>
      <c r="F3700">
        <v>6149</v>
      </c>
      <c r="G3700">
        <v>3521</v>
      </c>
      <c r="H3700" t="s">
        <v>71</v>
      </c>
      <c r="I3700" t="s">
        <v>193</v>
      </c>
    </row>
    <row r="3701" spans="1:9" ht="15" customHeight="1" x14ac:dyDescent="0.35">
      <c r="A3701">
        <v>2020</v>
      </c>
      <c r="B3701" t="s">
        <v>147</v>
      </c>
      <c r="C3701">
        <v>1</v>
      </c>
      <c r="D3701" t="s">
        <v>115</v>
      </c>
      <c r="E3701">
        <v>4801</v>
      </c>
      <c r="F3701">
        <v>6314</v>
      </c>
      <c r="G3701">
        <v>2861</v>
      </c>
      <c r="H3701" t="s">
        <v>71</v>
      </c>
      <c r="I3701" t="s">
        <v>193</v>
      </c>
    </row>
    <row r="3702" spans="1:9" ht="15" customHeight="1" x14ac:dyDescent="0.35">
      <c r="A3702">
        <v>2020</v>
      </c>
      <c r="B3702" t="s">
        <v>149</v>
      </c>
      <c r="C3702">
        <v>2</v>
      </c>
      <c r="D3702" t="s">
        <v>115</v>
      </c>
      <c r="E3702">
        <v>5077</v>
      </c>
      <c r="F3702">
        <v>6650</v>
      </c>
      <c r="G3702">
        <v>3708</v>
      </c>
      <c r="H3702" t="s">
        <v>71</v>
      </c>
      <c r="I3702" t="s">
        <v>193</v>
      </c>
    </row>
    <row r="3703" spans="1:9" ht="15" customHeight="1" x14ac:dyDescent="0.35">
      <c r="A3703">
        <v>2020</v>
      </c>
      <c r="B3703" t="s">
        <v>150</v>
      </c>
      <c r="C3703">
        <v>3</v>
      </c>
      <c r="D3703" t="s">
        <v>115</v>
      </c>
      <c r="E3703">
        <v>5057</v>
      </c>
      <c r="F3703">
        <v>6948</v>
      </c>
      <c r="G3703">
        <v>3591</v>
      </c>
      <c r="H3703" t="s">
        <v>71</v>
      </c>
      <c r="I3703" t="s">
        <v>193</v>
      </c>
    </row>
    <row r="3704" spans="1:9" ht="15" customHeight="1" x14ac:dyDescent="0.35">
      <c r="A3704">
        <v>2020</v>
      </c>
      <c r="B3704" t="s">
        <v>151</v>
      </c>
      <c r="C3704">
        <v>4</v>
      </c>
      <c r="D3704" t="s">
        <v>115</v>
      </c>
      <c r="E3704">
        <v>5158</v>
      </c>
      <c r="F3704">
        <v>6983</v>
      </c>
      <c r="G3704">
        <v>3035</v>
      </c>
      <c r="H3704" t="s">
        <v>72</v>
      </c>
      <c r="I3704" t="s">
        <v>193</v>
      </c>
    </row>
    <row r="3705" spans="1:9" ht="15" customHeight="1" x14ac:dyDescent="0.35">
      <c r="A3705">
        <v>2020</v>
      </c>
      <c r="B3705" t="s">
        <v>152</v>
      </c>
      <c r="C3705">
        <v>5</v>
      </c>
      <c r="D3705" t="s">
        <v>115</v>
      </c>
      <c r="E3705">
        <v>5041</v>
      </c>
      <c r="F3705">
        <v>7770</v>
      </c>
      <c r="G3705">
        <v>1503</v>
      </c>
      <c r="H3705" t="s">
        <v>72</v>
      </c>
      <c r="I3705" t="s">
        <v>193</v>
      </c>
    </row>
    <row r="3706" spans="1:9" ht="15" customHeight="1" x14ac:dyDescent="0.35">
      <c r="A3706">
        <v>2020</v>
      </c>
      <c r="B3706" t="s">
        <v>153</v>
      </c>
      <c r="C3706">
        <v>6</v>
      </c>
      <c r="D3706" t="s">
        <v>115</v>
      </c>
      <c r="E3706">
        <v>6432</v>
      </c>
      <c r="F3706">
        <v>8155</v>
      </c>
      <c r="G3706">
        <v>4240</v>
      </c>
      <c r="H3706" t="s">
        <v>72</v>
      </c>
      <c r="I3706" t="s">
        <v>193</v>
      </c>
    </row>
    <row r="3707" spans="1:9" ht="15" customHeight="1" x14ac:dyDescent="0.35">
      <c r="A3707">
        <v>2020</v>
      </c>
      <c r="B3707" t="s">
        <v>154</v>
      </c>
      <c r="C3707">
        <v>7</v>
      </c>
      <c r="D3707" t="s">
        <v>115</v>
      </c>
      <c r="E3707">
        <v>6851</v>
      </c>
      <c r="F3707">
        <v>8360</v>
      </c>
      <c r="G3707">
        <v>4953</v>
      </c>
      <c r="H3707" t="s">
        <v>72</v>
      </c>
      <c r="I3707" t="s">
        <v>193</v>
      </c>
    </row>
    <row r="3708" spans="1:9" ht="15" customHeight="1" x14ac:dyDescent="0.35">
      <c r="A3708">
        <v>2020</v>
      </c>
      <c r="B3708" t="s">
        <v>155</v>
      </c>
      <c r="C3708">
        <v>8</v>
      </c>
      <c r="D3708" t="s">
        <v>115</v>
      </c>
      <c r="E3708">
        <v>6806</v>
      </c>
      <c r="F3708">
        <v>8407</v>
      </c>
      <c r="G3708">
        <v>5138</v>
      </c>
      <c r="H3708" t="s">
        <v>72</v>
      </c>
      <c r="I3708" t="s">
        <v>193</v>
      </c>
    </row>
    <row r="3709" spans="1:9" ht="15" customHeight="1" x14ac:dyDescent="0.35">
      <c r="A3709">
        <v>2020</v>
      </c>
      <c r="B3709" t="s">
        <v>156</v>
      </c>
      <c r="C3709">
        <v>9</v>
      </c>
      <c r="D3709" t="s">
        <v>115</v>
      </c>
      <c r="E3709">
        <v>6833</v>
      </c>
      <c r="F3709">
        <v>8517</v>
      </c>
      <c r="G3709">
        <v>5196</v>
      </c>
      <c r="H3709" t="s">
        <v>72</v>
      </c>
      <c r="I3709" t="s">
        <v>193</v>
      </c>
    </row>
    <row r="3710" spans="1:9" ht="15" customHeight="1" x14ac:dyDescent="0.35">
      <c r="A3710">
        <v>2020</v>
      </c>
      <c r="B3710" t="s">
        <v>157</v>
      </c>
      <c r="C3710">
        <v>10</v>
      </c>
      <c r="D3710" t="s">
        <v>115</v>
      </c>
      <c r="E3710">
        <v>6534</v>
      </c>
      <c r="F3710">
        <v>8538</v>
      </c>
      <c r="G3710">
        <v>3888</v>
      </c>
      <c r="H3710" t="s">
        <v>72</v>
      </c>
      <c r="I3710" t="s">
        <v>193</v>
      </c>
    </row>
    <row r="3711" spans="1:9" ht="15" customHeight="1" x14ac:dyDescent="0.35">
      <c r="A3711">
        <v>2020</v>
      </c>
      <c r="B3711" t="s">
        <v>158</v>
      </c>
      <c r="C3711">
        <v>11</v>
      </c>
      <c r="D3711" t="s">
        <v>115</v>
      </c>
      <c r="E3711">
        <v>4867</v>
      </c>
      <c r="F3711">
        <v>7456</v>
      </c>
      <c r="G3711">
        <v>3177</v>
      </c>
      <c r="H3711" t="s">
        <v>72</v>
      </c>
      <c r="I3711" t="s">
        <v>193</v>
      </c>
    </row>
    <row r="3712" spans="1:9" ht="15" customHeight="1" x14ac:dyDescent="0.35">
      <c r="A3712">
        <v>2020</v>
      </c>
      <c r="B3712" t="s">
        <v>159</v>
      </c>
      <c r="C3712">
        <v>12</v>
      </c>
      <c r="D3712" t="s">
        <v>115</v>
      </c>
      <c r="E3712">
        <v>4771</v>
      </c>
      <c r="F3712">
        <v>6345</v>
      </c>
      <c r="G3712">
        <v>3875</v>
      </c>
      <c r="H3712" t="s">
        <v>72</v>
      </c>
      <c r="I3712" t="s">
        <v>193</v>
      </c>
    </row>
    <row r="3713" spans="1:9" ht="15" customHeight="1" x14ac:dyDescent="0.35">
      <c r="A3713">
        <v>2021</v>
      </c>
      <c r="B3713" t="s">
        <v>147</v>
      </c>
      <c r="C3713">
        <v>1</v>
      </c>
      <c r="D3713" t="s">
        <v>115</v>
      </c>
      <c r="E3713">
        <v>5230</v>
      </c>
      <c r="F3713">
        <v>6662</v>
      </c>
      <c r="G3713">
        <v>3577</v>
      </c>
      <c r="H3713" t="s">
        <v>72</v>
      </c>
      <c r="I3713" t="s">
        <v>193</v>
      </c>
    </row>
    <row r="3714" spans="1:9" ht="15" customHeight="1" x14ac:dyDescent="0.35">
      <c r="A3714">
        <v>2021</v>
      </c>
      <c r="B3714" t="s">
        <v>149</v>
      </c>
      <c r="C3714">
        <v>2</v>
      </c>
      <c r="D3714" t="s">
        <v>115</v>
      </c>
      <c r="E3714">
        <v>5563</v>
      </c>
      <c r="F3714">
        <v>7077</v>
      </c>
      <c r="G3714">
        <v>4021</v>
      </c>
      <c r="H3714" t="s">
        <v>72</v>
      </c>
      <c r="I3714" t="s">
        <v>193</v>
      </c>
    </row>
    <row r="3715" spans="1:9" ht="15" customHeight="1" x14ac:dyDescent="0.35">
      <c r="A3715">
        <v>2021</v>
      </c>
      <c r="B3715" t="s">
        <v>150</v>
      </c>
      <c r="C3715">
        <v>3</v>
      </c>
      <c r="D3715" t="s">
        <v>115</v>
      </c>
      <c r="E3715">
        <v>6919</v>
      </c>
      <c r="F3715">
        <v>8864</v>
      </c>
      <c r="G3715">
        <v>4809</v>
      </c>
      <c r="H3715" t="s">
        <v>72</v>
      </c>
      <c r="I3715" t="s">
        <v>193</v>
      </c>
    </row>
    <row r="3716" spans="1:9" ht="15" customHeight="1" x14ac:dyDescent="0.35">
      <c r="A3716">
        <v>2021</v>
      </c>
      <c r="B3716" t="s">
        <v>151</v>
      </c>
      <c r="C3716">
        <v>4</v>
      </c>
      <c r="D3716" t="s">
        <v>115</v>
      </c>
      <c r="E3716">
        <v>7546</v>
      </c>
      <c r="F3716">
        <v>9023</v>
      </c>
      <c r="G3716">
        <v>5184</v>
      </c>
      <c r="H3716" t="s">
        <v>73</v>
      </c>
      <c r="I3716" t="s">
        <v>193</v>
      </c>
    </row>
    <row r="3717" spans="1:9" ht="15" customHeight="1" x14ac:dyDescent="0.35">
      <c r="A3717">
        <v>2021</v>
      </c>
      <c r="B3717" t="s">
        <v>152</v>
      </c>
      <c r="C3717">
        <v>5</v>
      </c>
      <c r="D3717" t="s">
        <v>115</v>
      </c>
      <c r="E3717">
        <v>6120</v>
      </c>
      <c r="F3717">
        <v>8808</v>
      </c>
      <c r="G3717">
        <v>3396</v>
      </c>
      <c r="H3717" t="s">
        <v>73</v>
      </c>
      <c r="I3717" t="s">
        <v>193</v>
      </c>
    </row>
    <row r="3718" spans="1:9" ht="15" customHeight="1" x14ac:dyDescent="0.35">
      <c r="A3718">
        <v>2021</v>
      </c>
      <c r="B3718" t="s">
        <v>153</v>
      </c>
      <c r="C3718">
        <v>6</v>
      </c>
      <c r="D3718" t="s">
        <v>115</v>
      </c>
      <c r="E3718">
        <v>6518</v>
      </c>
      <c r="F3718">
        <v>8542</v>
      </c>
      <c r="G3718">
        <v>4518</v>
      </c>
      <c r="H3718" t="s">
        <v>73</v>
      </c>
      <c r="I3718" t="s">
        <v>193</v>
      </c>
    </row>
    <row r="3719" spans="1:9" ht="15" customHeight="1" x14ac:dyDescent="0.35">
      <c r="A3719">
        <v>2021</v>
      </c>
      <c r="B3719" t="s">
        <v>154</v>
      </c>
      <c r="C3719">
        <v>7</v>
      </c>
      <c r="D3719" t="s">
        <v>115</v>
      </c>
      <c r="E3719">
        <v>7009</v>
      </c>
      <c r="F3719">
        <v>8818</v>
      </c>
      <c r="G3719">
        <v>4455</v>
      </c>
      <c r="H3719" t="s">
        <v>73</v>
      </c>
      <c r="I3719" t="s">
        <v>193</v>
      </c>
    </row>
    <row r="3720" spans="1:9" ht="15" customHeight="1" x14ac:dyDescent="0.35">
      <c r="A3720">
        <v>2021</v>
      </c>
      <c r="B3720" t="s">
        <v>155</v>
      </c>
      <c r="C3720">
        <v>8</v>
      </c>
      <c r="D3720" t="s">
        <v>115</v>
      </c>
      <c r="E3720">
        <v>7162</v>
      </c>
      <c r="F3720">
        <v>8711</v>
      </c>
      <c r="G3720">
        <v>5389</v>
      </c>
      <c r="H3720" t="s">
        <v>73</v>
      </c>
      <c r="I3720" t="s">
        <v>193</v>
      </c>
    </row>
    <row r="3721" spans="1:9" ht="15" customHeight="1" x14ac:dyDescent="0.35">
      <c r="A3721">
        <v>2021</v>
      </c>
      <c r="B3721" t="s">
        <v>156</v>
      </c>
      <c r="C3721">
        <v>9</v>
      </c>
      <c r="D3721" t="s">
        <v>115</v>
      </c>
      <c r="E3721">
        <v>6845</v>
      </c>
      <c r="F3721">
        <v>8729</v>
      </c>
      <c r="G3721">
        <v>4683</v>
      </c>
      <c r="H3721" t="s">
        <v>73</v>
      </c>
      <c r="I3721" t="s">
        <v>193</v>
      </c>
    </row>
    <row r="3722" spans="1:9" ht="15" customHeight="1" x14ac:dyDescent="0.35">
      <c r="A3722">
        <v>2021</v>
      </c>
      <c r="B3722" t="s">
        <v>157</v>
      </c>
      <c r="C3722">
        <v>10</v>
      </c>
      <c r="D3722" t="s">
        <v>115</v>
      </c>
      <c r="E3722">
        <v>6340</v>
      </c>
      <c r="F3722">
        <v>8575</v>
      </c>
      <c r="G3722">
        <v>4279</v>
      </c>
      <c r="H3722" t="s">
        <v>73</v>
      </c>
      <c r="I3722" t="s">
        <v>193</v>
      </c>
    </row>
    <row r="3723" spans="1:9" ht="15" customHeight="1" x14ac:dyDescent="0.35">
      <c r="A3723">
        <v>2021</v>
      </c>
      <c r="B3723" t="s">
        <v>158</v>
      </c>
      <c r="C3723">
        <v>11</v>
      </c>
      <c r="D3723" t="s">
        <v>115</v>
      </c>
      <c r="E3723">
        <v>4985</v>
      </c>
      <c r="F3723">
        <v>6960</v>
      </c>
      <c r="G3723">
        <v>3474</v>
      </c>
      <c r="H3723" t="s">
        <v>73</v>
      </c>
      <c r="I3723" t="s">
        <v>193</v>
      </c>
    </row>
    <row r="3724" spans="1:9" ht="15" customHeight="1" x14ac:dyDescent="0.35">
      <c r="A3724">
        <v>2021</v>
      </c>
      <c r="B3724" t="s">
        <v>159</v>
      </c>
      <c r="C3724">
        <v>12</v>
      </c>
      <c r="D3724" t="s">
        <v>115</v>
      </c>
      <c r="E3724">
        <v>4701</v>
      </c>
      <c r="F3724">
        <v>6140</v>
      </c>
      <c r="G3724">
        <v>3163</v>
      </c>
      <c r="H3724" t="s">
        <v>73</v>
      </c>
      <c r="I3724" t="s">
        <v>193</v>
      </c>
    </row>
    <row r="3725" spans="1:9" ht="15" customHeight="1" x14ac:dyDescent="0.35">
      <c r="A3725">
        <v>2022</v>
      </c>
      <c r="B3725" t="s">
        <v>147</v>
      </c>
      <c r="C3725">
        <v>1</v>
      </c>
      <c r="D3725" t="s">
        <v>115</v>
      </c>
      <c r="E3725">
        <v>4894</v>
      </c>
      <c r="F3725">
        <v>6289</v>
      </c>
      <c r="G3725">
        <v>3472</v>
      </c>
      <c r="H3725" t="s">
        <v>73</v>
      </c>
      <c r="I3725" t="s">
        <v>193</v>
      </c>
    </row>
    <row r="3726" spans="1:9" ht="15" customHeight="1" x14ac:dyDescent="0.35">
      <c r="A3726">
        <v>2022</v>
      </c>
      <c r="B3726" t="s">
        <v>149</v>
      </c>
      <c r="C3726">
        <v>2</v>
      </c>
      <c r="D3726" t="s">
        <v>115</v>
      </c>
      <c r="E3726">
        <v>4946</v>
      </c>
      <c r="F3726">
        <v>6413</v>
      </c>
      <c r="G3726">
        <v>3639</v>
      </c>
      <c r="H3726" t="s">
        <v>73</v>
      </c>
      <c r="I3726" t="s">
        <v>193</v>
      </c>
    </row>
    <row r="3727" spans="1:9" ht="15" customHeight="1" x14ac:dyDescent="0.35">
      <c r="A3727">
        <v>2022</v>
      </c>
      <c r="B3727" t="s">
        <v>150</v>
      </c>
      <c r="C3727">
        <v>3</v>
      </c>
      <c r="D3727" t="s">
        <v>115</v>
      </c>
      <c r="E3727">
        <v>6513</v>
      </c>
      <c r="F3727">
        <v>8779</v>
      </c>
      <c r="G3727">
        <v>4123</v>
      </c>
      <c r="H3727" t="s">
        <v>73</v>
      </c>
      <c r="I3727" t="s">
        <v>193</v>
      </c>
    </row>
    <row r="3728" spans="1:9" ht="15" customHeight="1" x14ac:dyDescent="0.35">
      <c r="A3728">
        <v>2022</v>
      </c>
      <c r="B3728" t="s">
        <v>151</v>
      </c>
      <c r="C3728">
        <v>4</v>
      </c>
      <c r="D3728" t="s">
        <v>115</v>
      </c>
      <c r="E3728">
        <v>7971</v>
      </c>
      <c r="F3728">
        <v>9663</v>
      </c>
      <c r="G3728">
        <v>4636</v>
      </c>
      <c r="H3728" t="s">
        <v>74</v>
      </c>
      <c r="I3728" t="s">
        <v>193</v>
      </c>
    </row>
    <row r="3729" spans="1:9" ht="15" customHeight="1" x14ac:dyDescent="0.35">
      <c r="A3729">
        <v>2022</v>
      </c>
      <c r="B3729" t="s">
        <v>152</v>
      </c>
      <c r="C3729">
        <v>5</v>
      </c>
      <c r="D3729" t="s">
        <v>115</v>
      </c>
      <c r="E3729">
        <v>7060</v>
      </c>
      <c r="F3729">
        <v>9082</v>
      </c>
      <c r="G3729">
        <v>4493</v>
      </c>
      <c r="H3729" t="s">
        <v>74</v>
      </c>
      <c r="I3729" t="s">
        <v>193</v>
      </c>
    </row>
    <row r="3730" spans="1:9" ht="15" customHeight="1" x14ac:dyDescent="0.35">
      <c r="A3730">
        <v>2022</v>
      </c>
      <c r="B3730" t="s">
        <v>153</v>
      </c>
      <c r="C3730">
        <v>6</v>
      </c>
      <c r="D3730" t="s">
        <v>115</v>
      </c>
      <c r="E3730">
        <v>7585</v>
      </c>
      <c r="F3730">
        <v>9405</v>
      </c>
      <c r="G3730">
        <v>5284</v>
      </c>
      <c r="H3730" t="s">
        <v>74</v>
      </c>
      <c r="I3730" t="s">
        <v>193</v>
      </c>
    </row>
    <row r="3731" spans="1:9" ht="15" customHeight="1" x14ac:dyDescent="0.35">
      <c r="A3731">
        <v>2022</v>
      </c>
      <c r="B3731" t="s">
        <v>154</v>
      </c>
      <c r="C3731">
        <v>7</v>
      </c>
      <c r="D3731" t="s">
        <v>115</v>
      </c>
      <c r="E3731">
        <v>7942</v>
      </c>
      <c r="F3731">
        <v>9424</v>
      </c>
      <c r="G3731">
        <v>6057</v>
      </c>
      <c r="H3731" t="s">
        <v>74</v>
      </c>
      <c r="I3731" t="s">
        <v>193</v>
      </c>
    </row>
    <row r="3732" spans="1:9" ht="15" customHeight="1" x14ac:dyDescent="0.35">
      <c r="A3732">
        <v>2022</v>
      </c>
      <c r="B3732" t="s">
        <v>155</v>
      </c>
      <c r="C3732">
        <v>8</v>
      </c>
      <c r="D3732" t="s">
        <v>115</v>
      </c>
      <c r="E3732">
        <v>7594</v>
      </c>
      <c r="F3732">
        <v>9487</v>
      </c>
      <c r="G3732">
        <v>4913</v>
      </c>
      <c r="H3732" t="s">
        <v>74</v>
      </c>
      <c r="I3732" t="s">
        <v>193</v>
      </c>
    </row>
    <row r="3733" spans="1:9" ht="15" customHeight="1" x14ac:dyDescent="0.35">
      <c r="A3733">
        <v>2022</v>
      </c>
      <c r="B3733" t="s">
        <v>156</v>
      </c>
      <c r="C3733">
        <v>9</v>
      </c>
      <c r="D3733" t="s">
        <v>115</v>
      </c>
      <c r="E3733">
        <v>7639</v>
      </c>
      <c r="F3733">
        <v>9486</v>
      </c>
      <c r="G3733">
        <v>5236</v>
      </c>
      <c r="H3733" t="s">
        <v>74</v>
      </c>
      <c r="I3733" t="s">
        <v>193</v>
      </c>
    </row>
    <row r="3734" spans="1:9" ht="15" customHeight="1" x14ac:dyDescent="0.35">
      <c r="A3734">
        <v>2022</v>
      </c>
      <c r="B3734" t="s">
        <v>157</v>
      </c>
      <c r="C3734">
        <v>10</v>
      </c>
      <c r="D3734" t="s">
        <v>115</v>
      </c>
      <c r="E3734">
        <v>6679</v>
      </c>
      <c r="F3734">
        <v>8939</v>
      </c>
      <c r="G3734">
        <v>3959</v>
      </c>
      <c r="H3734" t="s">
        <v>74</v>
      </c>
      <c r="I3734" t="s">
        <v>193</v>
      </c>
    </row>
    <row r="3735" spans="1:9" ht="15" customHeight="1" x14ac:dyDescent="0.35">
      <c r="A3735">
        <v>2022</v>
      </c>
      <c r="B3735" t="s">
        <v>158</v>
      </c>
      <c r="C3735">
        <v>11</v>
      </c>
      <c r="D3735" t="s">
        <v>115</v>
      </c>
      <c r="E3735">
        <v>5394</v>
      </c>
      <c r="F3735">
        <v>7594</v>
      </c>
      <c r="G3735">
        <v>3999</v>
      </c>
      <c r="H3735" t="s">
        <v>74</v>
      </c>
      <c r="I3735" t="s">
        <v>193</v>
      </c>
    </row>
    <row r="3736" spans="1:9" ht="15" customHeight="1" x14ac:dyDescent="0.35">
      <c r="A3736">
        <v>2022</v>
      </c>
      <c r="B3736" t="s">
        <v>159</v>
      </c>
      <c r="C3736">
        <v>12</v>
      </c>
      <c r="D3736" t="s">
        <v>115</v>
      </c>
      <c r="E3736">
        <v>5254</v>
      </c>
      <c r="F3736">
        <v>6582</v>
      </c>
      <c r="G3736">
        <v>3811</v>
      </c>
      <c r="H3736" t="s">
        <v>74</v>
      </c>
      <c r="I3736" t="s">
        <v>193</v>
      </c>
    </row>
    <row r="3737" spans="1:9" ht="15" customHeight="1" x14ac:dyDescent="0.35">
      <c r="A3737">
        <v>2023</v>
      </c>
      <c r="B3737" t="s">
        <v>147</v>
      </c>
      <c r="C3737">
        <v>1</v>
      </c>
      <c r="D3737" t="s">
        <v>115</v>
      </c>
      <c r="E3737">
        <v>5623</v>
      </c>
      <c r="F3737">
        <v>7004</v>
      </c>
      <c r="G3737">
        <v>3972</v>
      </c>
      <c r="H3737" t="s">
        <v>74</v>
      </c>
      <c r="I3737" t="s">
        <v>193</v>
      </c>
    </row>
    <row r="3738" spans="1:9" ht="15" customHeight="1" x14ac:dyDescent="0.35">
      <c r="A3738">
        <v>2023</v>
      </c>
      <c r="B3738" t="s">
        <v>149</v>
      </c>
      <c r="C3738">
        <v>2</v>
      </c>
      <c r="D3738" t="s">
        <v>115</v>
      </c>
      <c r="E3738">
        <v>6102</v>
      </c>
      <c r="F3738">
        <v>7373</v>
      </c>
      <c r="G3738">
        <v>4838</v>
      </c>
      <c r="H3738" t="s">
        <v>74</v>
      </c>
      <c r="I3738" t="s">
        <v>193</v>
      </c>
    </row>
    <row r="3739" spans="1:9" ht="15" customHeight="1" x14ac:dyDescent="0.35">
      <c r="A3739">
        <v>2023</v>
      </c>
      <c r="B3739" t="s">
        <v>150</v>
      </c>
      <c r="C3739">
        <v>3</v>
      </c>
      <c r="D3739" t="s">
        <v>115</v>
      </c>
      <c r="E3739">
        <v>6458</v>
      </c>
      <c r="F3739">
        <v>8416</v>
      </c>
      <c r="G3739">
        <v>4399</v>
      </c>
      <c r="H3739" t="s">
        <v>74</v>
      </c>
      <c r="I3739" t="s">
        <v>193</v>
      </c>
    </row>
    <row r="3740" spans="1:9" ht="15" customHeight="1" x14ac:dyDescent="0.35">
      <c r="A3740">
        <v>2023</v>
      </c>
      <c r="B3740" t="s">
        <v>151</v>
      </c>
      <c r="C3740">
        <v>4</v>
      </c>
      <c r="D3740" t="s">
        <v>115</v>
      </c>
      <c r="E3740">
        <v>7931</v>
      </c>
      <c r="F3740">
        <v>11418</v>
      </c>
      <c r="G3740">
        <v>4140</v>
      </c>
      <c r="H3740" t="s">
        <v>75</v>
      </c>
      <c r="I3740" t="s">
        <v>193</v>
      </c>
    </row>
    <row r="3741" spans="1:9" ht="15" customHeight="1" x14ac:dyDescent="0.35">
      <c r="A3741">
        <v>2023</v>
      </c>
      <c r="B3741" t="s">
        <v>152</v>
      </c>
      <c r="C3741">
        <v>5</v>
      </c>
      <c r="D3741" t="s">
        <v>115</v>
      </c>
      <c r="E3741">
        <v>7948</v>
      </c>
      <c r="F3741">
        <v>10712</v>
      </c>
      <c r="G3741">
        <v>4778</v>
      </c>
      <c r="H3741" t="s">
        <v>75</v>
      </c>
      <c r="I3741" t="s">
        <v>193</v>
      </c>
    </row>
    <row r="3742" spans="1:9" ht="15" customHeight="1" x14ac:dyDescent="0.35">
      <c r="A3742">
        <v>2023</v>
      </c>
      <c r="B3742" t="s">
        <v>153</v>
      </c>
      <c r="C3742">
        <v>6</v>
      </c>
      <c r="D3742" t="s">
        <v>115</v>
      </c>
      <c r="E3742">
        <v>8846</v>
      </c>
      <c r="F3742">
        <v>11603</v>
      </c>
      <c r="G3742">
        <v>6089</v>
      </c>
      <c r="H3742" t="s">
        <v>75</v>
      </c>
      <c r="I3742" t="s">
        <v>193</v>
      </c>
    </row>
    <row r="3743" spans="1:9" ht="15" customHeight="1" x14ac:dyDescent="0.35">
      <c r="A3743">
        <v>2023</v>
      </c>
      <c r="B3743" t="s">
        <v>154</v>
      </c>
      <c r="C3743">
        <v>7</v>
      </c>
      <c r="D3743" t="s">
        <v>115</v>
      </c>
      <c r="E3743">
        <v>8741</v>
      </c>
      <c r="F3743">
        <v>10598</v>
      </c>
      <c r="G3743">
        <v>6645</v>
      </c>
      <c r="H3743" t="s">
        <v>75</v>
      </c>
      <c r="I3743" t="s">
        <v>193</v>
      </c>
    </row>
    <row r="3744" spans="1:9" ht="15" customHeight="1" x14ac:dyDescent="0.35">
      <c r="A3744">
        <v>2023</v>
      </c>
      <c r="B3744" t="s">
        <v>155</v>
      </c>
      <c r="C3744">
        <v>8</v>
      </c>
      <c r="D3744" t="s">
        <v>115</v>
      </c>
      <c r="E3744">
        <v>8030</v>
      </c>
      <c r="F3744">
        <v>10570</v>
      </c>
      <c r="G3744">
        <v>4143</v>
      </c>
      <c r="H3744" t="s">
        <v>75</v>
      </c>
      <c r="I3744" t="s">
        <v>193</v>
      </c>
    </row>
    <row r="3745" spans="1:9" ht="15" customHeight="1" x14ac:dyDescent="0.35">
      <c r="A3745">
        <v>2023</v>
      </c>
      <c r="B3745" t="s">
        <v>156</v>
      </c>
      <c r="C3745">
        <v>9</v>
      </c>
      <c r="D3745" t="s">
        <v>115</v>
      </c>
      <c r="E3745">
        <v>8136</v>
      </c>
      <c r="F3745">
        <v>10188</v>
      </c>
      <c r="G3745">
        <v>5925</v>
      </c>
      <c r="H3745" t="s">
        <v>75</v>
      </c>
      <c r="I3745" t="s">
        <v>193</v>
      </c>
    </row>
    <row r="3746" spans="1:9" ht="15" customHeight="1" x14ac:dyDescent="0.35">
      <c r="A3746">
        <v>2023</v>
      </c>
      <c r="B3746" t="s">
        <v>157</v>
      </c>
      <c r="C3746">
        <v>10</v>
      </c>
      <c r="D3746" t="s">
        <v>115</v>
      </c>
      <c r="E3746">
        <v>7265</v>
      </c>
      <c r="F3746">
        <v>9623</v>
      </c>
      <c r="G3746">
        <v>4930</v>
      </c>
      <c r="H3746" t="s">
        <v>75</v>
      </c>
      <c r="I3746" t="s">
        <v>193</v>
      </c>
    </row>
    <row r="3747" spans="1:9" ht="15" customHeight="1" x14ac:dyDescent="0.35">
      <c r="A3747">
        <v>2023</v>
      </c>
      <c r="B3747" t="s">
        <v>158</v>
      </c>
      <c r="C3747">
        <v>11</v>
      </c>
      <c r="D3747" t="s">
        <v>115</v>
      </c>
      <c r="E3747">
        <v>5912</v>
      </c>
      <c r="F3747">
        <v>8312</v>
      </c>
      <c r="G3747">
        <v>4217</v>
      </c>
      <c r="H3747" t="s">
        <v>75</v>
      </c>
      <c r="I3747" t="s">
        <v>193</v>
      </c>
    </row>
    <row r="3748" spans="1:9" ht="15" customHeight="1" x14ac:dyDescent="0.35">
      <c r="A3748">
        <v>2023</v>
      </c>
      <c r="B3748" t="s">
        <v>159</v>
      </c>
      <c r="C3748">
        <v>12</v>
      </c>
      <c r="D3748" t="s">
        <v>115</v>
      </c>
      <c r="E3748">
        <v>5391</v>
      </c>
      <c r="F3748">
        <v>6823</v>
      </c>
      <c r="G3748">
        <v>3755</v>
      </c>
      <c r="H3748" t="s">
        <v>75</v>
      </c>
      <c r="I3748" t="s">
        <v>193</v>
      </c>
    </row>
    <row r="3749" spans="1:9" ht="15" customHeight="1" x14ac:dyDescent="0.35">
      <c r="A3749">
        <v>2024</v>
      </c>
      <c r="B3749" t="s">
        <v>147</v>
      </c>
      <c r="C3749">
        <v>1</v>
      </c>
      <c r="D3749" t="s">
        <v>115</v>
      </c>
      <c r="E3749">
        <v>5797</v>
      </c>
      <c r="F3749">
        <v>7223</v>
      </c>
      <c r="G3749">
        <v>4159</v>
      </c>
      <c r="H3749" t="s">
        <v>75</v>
      </c>
      <c r="I3749" t="s">
        <v>193</v>
      </c>
    </row>
    <row r="3750" spans="1:9" ht="15" customHeight="1" x14ac:dyDescent="0.35">
      <c r="A3750">
        <v>2024</v>
      </c>
      <c r="B3750" t="s">
        <v>149</v>
      </c>
      <c r="C3750">
        <v>2</v>
      </c>
      <c r="D3750" t="s">
        <v>115</v>
      </c>
      <c r="E3750">
        <v>6185</v>
      </c>
      <c r="F3750">
        <v>7516</v>
      </c>
      <c r="G3750">
        <v>4582</v>
      </c>
      <c r="H3750" t="s">
        <v>75</v>
      </c>
      <c r="I3750" t="s">
        <v>193</v>
      </c>
    </row>
    <row r="3751" spans="1:9" ht="15" customHeight="1" x14ac:dyDescent="0.35">
      <c r="A3751">
        <v>2024</v>
      </c>
      <c r="B3751" t="s">
        <v>150</v>
      </c>
      <c r="C3751">
        <v>3</v>
      </c>
      <c r="D3751" t="s">
        <v>115</v>
      </c>
      <c r="E3751">
        <v>6958</v>
      </c>
      <c r="F3751">
        <v>9908</v>
      </c>
      <c r="G3751">
        <v>4486</v>
      </c>
      <c r="H3751" t="s">
        <v>75</v>
      </c>
      <c r="I3751" t="s">
        <v>193</v>
      </c>
    </row>
    <row r="3752" spans="1:9" ht="15" customHeight="1" x14ac:dyDescent="0.35">
      <c r="A3752">
        <v>2024</v>
      </c>
      <c r="B3752" t="s">
        <v>151</v>
      </c>
      <c r="C3752">
        <v>4</v>
      </c>
      <c r="D3752" t="s">
        <v>115</v>
      </c>
      <c r="E3752">
        <v>6914</v>
      </c>
      <c r="F3752">
        <v>9908</v>
      </c>
      <c r="G3752">
        <v>4486</v>
      </c>
      <c r="H3752" t="s">
        <v>77</v>
      </c>
      <c r="I3752" t="s">
        <v>193</v>
      </c>
    </row>
    <row r="3753" spans="1:9" ht="15" customHeight="1" x14ac:dyDescent="0.35">
      <c r="A3753">
        <v>2024</v>
      </c>
      <c r="B3753" t="s">
        <v>152</v>
      </c>
      <c r="C3753">
        <v>5</v>
      </c>
      <c r="D3753" t="s">
        <v>115</v>
      </c>
      <c r="E3753">
        <v>9003</v>
      </c>
      <c r="F3753">
        <v>12703</v>
      </c>
      <c r="G3753">
        <v>4104</v>
      </c>
      <c r="H3753" t="s">
        <v>77</v>
      </c>
      <c r="I3753" t="s">
        <v>193</v>
      </c>
    </row>
    <row r="3754" spans="1:9" ht="15" customHeight="1" x14ac:dyDescent="0.35">
      <c r="A3754">
        <v>2024</v>
      </c>
      <c r="B3754" t="s">
        <v>153</v>
      </c>
      <c r="C3754">
        <v>6</v>
      </c>
      <c r="D3754" t="s">
        <v>115</v>
      </c>
      <c r="E3754">
        <v>9904</v>
      </c>
      <c r="F3754">
        <v>12358</v>
      </c>
      <c r="G3754">
        <v>7503</v>
      </c>
      <c r="H3754" t="s">
        <v>77</v>
      </c>
      <c r="I3754" t="s">
        <v>193</v>
      </c>
    </row>
    <row r="3755" spans="1:9" ht="15" customHeight="1" x14ac:dyDescent="0.35">
      <c r="A3755">
        <v>2024</v>
      </c>
      <c r="B3755" t="s">
        <v>154</v>
      </c>
      <c r="C3755">
        <v>7</v>
      </c>
      <c r="D3755" t="s">
        <v>115</v>
      </c>
      <c r="E3755">
        <v>9514</v>
      </c>
      <c r="F3755">
        <v>11670</v>
      </c>
      <c r="G3755">
        <v>6790</v>
      </c>
      <c r="H3755" t="s">
        <v>77</v>
      </c>
      <c r="I3755" t="s">
        <v>193</v>
      </c>
    </row>
    <row r="3756" spans="1:9" ht="15" customHeight="1" x14ac:dyDescent="0.35">
      <c r="A3756">
        <v>2024</v>
      </c>
      <c r="B3756" t="s">
        <v>155</v>
      </c>
      <c r="C3756">
        <v>8</v>
      </c>
      <c r="D3756" t="s">
        <v>115</v>
      </c>
      <c r="E3756">
        <v>8671</v>
      </c>
      <c r="F3756">
        <v>10651</v>
      </c>
      <c r="G3756">
        <v>5780</v>
      </c>
      <c r="H3756" t="s">
        <v>77</v>
      </c>
      <c r="I3756" t="s">
        <v>193</v>
      </c>
    </row>
    <row r="3757" spans="1:9" ht="15" customHeight="1" x14ac:dyDescent="0.35">
      <c r="A3757">
        <v>2024</v>
      </c>
      <c r="B3757" t="s">
        <v>156</v>
      </c>
      <c r="C3757">
        <v>9</v>
      </c>
      <c r="D3757" t="s">
        <v>115</v>
      </c>
      <c r="E3757">
        <v>8971</v>
      </c>
      <c r="F3757">
        <v>12030</v>
      </c>
      <c r="G3757">
        <v>5039</v>
      </c>
      <c r="H3757" t="s">
        <v>77</v>
      </c>
      <c r="I3757" t="s">
        <v>193</v>
      </c>
    </row>
    <row r="3758" spans="1:9" ht="15" customHeight="1" x14ac:dyDescent="0.35">
      <c r="A3758">
        <v>2024</v>
      </c>
      <c r="B3758" t="s">
        <v>157</v>
      </c>
      <c r="C3758">
        <v>10</v>
      </c>
      <c r="D3758" t="s">
        <v>115</v>
      </c>
      <c r="E3758">
        <v>8148</v>
      </c>
      <c r="F3758">
        <v>11377</v>
      </c>
      <c r="G3758">
        <v>5066</v>
      </c>
      <c r="H3758" t="s">
        <v>77</v>
      </c>
      <c r="I3758" t="s">
        <v>193</v>
      </c>
    </row>
    <row r="3759" spans="1:9" ht="15" customHeight="1" x14ac:dyDescent="0.35">
      <c r="A3759">
        <v>2024</v>
      </c>
      <c r="B3759" t="s">
        <v>158</v>
      </c>
      <c r="C3759">
        <v>11</v>
      </c>
      <c r="D3759" t="s">
        <v>115</v>
      </c>
      <c r="E3759">
        <v>6545</v>
      </c>
      <c r="F3759">
        <v>9113</v>
      </c>
      <c r="G3759">
        <v>4608</v>
      </c>
      <c r="H3759" t="s">
        <v>77</v>
      </c>
      <c r="I3759" t="s">
        <v>193</v>
      </c>
    </row>
    <row r="3760" spans="1:9" ht="15" customHeight="1" x14ac:dyDescent="0.35">
      <c r="A3760">
        <v>2024</v>
      </c>
      <c r="B3760" t="s">
        <v>159</v>
      </c>
      <c r="C3760">
        <v>12</v>
      </c>
      <c r="D3760" t="s">
        <v>115</v>
      </c>
      <c r="E3760">
        <v>5715</v>
      </c>
      <c r="F3760">
        <v>7333</v>
      </c>
      <c r="G3760">
        <v>4272</v>
      </c>
      <c r="H3760" t="s">
        <v>77</v>
      </c>
      <c r="I3760" t="s">
        <v>193</v>
      </c>
    </row>
    <row r="3761" spans="1:9" ht="15" customHeight="1" x14ac:dyDescent="0.35">
      <c r="A3761">
        <v>2025</v>
      </c>
      <c r="B3761" t="s">
        <v>147</v>
      </c>
      <c r="C3761">
        <v>1</v>
      </c>
      <c r="D3761" t="s">
        <v>115</v>
      </c>
      <c r="E3761">
        <v>6524</v>
      </c>
      <c r="F3761">
        <v>8319</v>
      </c>
      <c r="G3761">
        <v>4492</v>
      </c>
      <c r="H3761" t="s">
        <v>77</v>
      </c>
      <c r="I3761" t="s">
        <v>193</v>
      </c>
    </row>
    <row r="3762" spans="1:9" ht="15" customHeight="1" x14ac:dyDescent="0.35">
      <c r="A3762">
        <v>2025</v>
      </c>
      <c r="B3762" t="s">
        <v>149</v>
      </c>
      <c r="C3762">
        <v>2</v>
      </c>
      <c r="D3762" t="s">
        <v>115</v>
      </c>
      <c r="E3762">
        <v>6842</v>
      </c>
      <c r="F3762">
        <v>8614</v>
      </c>
      <c r="G3762">
        <v>5013</v>
      </c>
      <c r="H3762" t="s">
        <v>77</v>
      </c>
      <c r="I3762" t="s">
        <v>193</v>
      </c>
    </row>
    <row r="3763" spans="1:9" ht="15" customHeight="1" x14ac:dyDescent="0.35">
      <c r="A3763">
        <v>2025</v>
      </c>
      <c r="B3763" t="s">
        <v>150</v>
      </c>
      <c r="C3763">
        <v>3</v>
      </c>
      <c r="D3763" t="s">
        <v>115</v>
      </c>
      <c r="E3763">
        <v>8237</v>
      </c>
      <c r="F3763">
        <v>11054</v>
      </c>
      <c r="G3763">
        <v>5427</v>
      </c>
      <c r="H3763" t="s">
        <v>77</v>
      </c>
      <c r="I3763" t="s">
        <v>193</v>
      </c>
    </row>
    <row r="3764" spans="1:9" ht="15" customHeight="1" x14ac:dyDescent="0.35">
      <c r="A3764">
        <v>2025</v>
      </c>
      <c r="B3764" t="s">
        <v>151</v>
      </c>
      <c r="C3764">
        <v>4</v>
      </c>
      <c r="D3764" t="s">
        <v>115</v>
      </c>
      <c r="E3764">
        <v>9227</v>
      </c>
      <c r="F3764">
        <v>12367</v>
      </c>
      <c r="G3764">
        <v>5956</v>
      </c>
      <c r="H3764" t="s">
        <v>78</v>
      </c>
      <c r="I3764" t="s">
        <v>193</v>
      </c>
    </row>
    <row r="3765" spans="1:9" ht="15" customHeight="1" x14ac:dyDescent="0.35">
      <c r="A3765">
        <v>2025</v>
      </c>
      <c r="B3765" t="s">
        <v>152</v>
      </c>
      <c r="C3765">
        <v>5</v>
      </c>
      <c r="D3765" t="s">
        <v>115</v>
      </c>
      <c r="E3765">
        <v>9323</v>
      </c>
      <c r="F3765">
        <v>12713</v>
      </c>
      <c r="G3765">
        <v>5803</v>
      </c>
      <c r="H3765" t="s">
        <v>78</v>
      </c>
      <c r="I3765" t="s">
        <v>193</v>
      </c>
    </row>
    <row r="3766" spans="1:9" ht="15" customHeight="1" x14ac:dyDescent="0.35">
      <c r="A3766">
        <v>2025</v>
      </c>
      <c r="B3766" t="s">
        <v>153</v>
      </c>
      <c r="C3766">
        <v>6</v>
      </c>
      <c r="D3766" t="s">
        <v>115</v>
      </c>
      <c r="E3766">
        <v>9777</v>
      </c>
      <c r="F3766">
        <v>13085</v>
      </c>
      <c r="G3766">
        <v>6306</v>
      </c>
      <c r="H3766" t="s">
        <v>78</v>
      </c>
      <c r="I3766" t="s">
        <v>193</v>
      </c>
    </row>
    <row r="3767" spans="1:9" ht="15" customHeight="1" x14ac:dyDescent="0.35">
      <c r="A3767">
        <v>2025</v>
      </c>
      <c r="B3767" t="s">
        <v>154</v>
      </c>
      <c r="C3767">
        <v>7</v>
      </c>
      <c r="D3767" t="s">
        <v>115</v>
      </c>
      <c r="E3767">
        <v>9321</v>
      </c>
      <c r="F3767">
        <v>12880</v>
      </c>
      <c r="G3767">
        <v>6965</v>
      </c>
      <c r="H3767" t="s">
        <v>78</v>
      </c>
      <c r="I3767" t="s">
        <v>193</v>
      </c>
    </row>
    <row r="3768" spans="1:9" ht="15" customHeight="1" x14ac:dyDescent="0.35">
      <c r="A3768">
        <v>2025</v>
      </c>
      <c r="B3768" t="s">
        <v>155</v>
      </c>
      <c r="C3768">
        <v>8</v>
      </c>
      <c r="D3768" t="s">
        <v>115</v>
      </c>
      <c r="E3768">
        <v>9028</v>
      </c>
      <c r="F3768">
        <v>11413</v>
      </c>
      <c r="G3768">
        <v>6427</v>
      </c>
      <c r="H3768" t="s">
        <v>78</v>
      </c>
      <c r="I3768" t="s">
        <v>193</v>
      </c>
    </row>
    <row r="3769" spans="1:9" ht="15" customHeight="1" x14ac:dyDescent="0.35">
      <c r="A3769">
        <v>2025</v>
      </c>
      <c r="B3769" t="s">
        <v>156</v>
      </c>
      <c r="C3769">
        <v>9</v>
      </c>
      <c r="D3769" t="s">
        <v>115</v>
      </c>
      <c r="E3769">
        <v>9486</v>
      </c>
      <c r="F3769">
        <v>11852</v>
      </c>
      <c r="G3769">
        <v>6713</v>
      </c>
      <c r="H3769" t="s">
        <v>78</v>
      </c>
      <c r="I3769" t="s">
        <v>193</v>
      </c>
    </row>
    <row r="3770" spans="1:9" ht="15" customHeight="1" x14ac:dyDescent="0.35">
      <c r="A3770">
        <v>2025</v>
      </c>
      <c r="B3770" t="s">
        <v>157</v>
      </c>
      <c r="C3770">
        <v>10</v>
      </c>
      <c r="D3770" t="s">
        <v>115</v>
      </c>
      <c r="E3770">
        <v>8482</v>
      </c>
      <c r="F3770">
        <v>10306</v>
      </c>
      <c r="G3770">
        <v>5953</v>
      </c>
      <c r="H3770" t="s">
        <v>78</v>
      </c>
      <c r="I3770" t="s">
        <v>193</v>
      </c>
    </row>
    <row r="3771" spans="1:9" ht="15" customHeight="1" x14ac:dyDescent="0.35">
      <c r="A3771">
        <v>2025</v>
      </c>
      <c r="B3771" t="s">
        <v>158</v>
      </c>
      <c r="C3771">
        <v>11</v>
      </c>
      <c r="D3771" t="s">
        <v>115</v>
      </c>
      <c r="E3771">
        <v>6472</v>
      </c>
      <c r="F3771">
        <v>9124</v>
      </c>
      <c r="G3771">
        <v>4565</v>
      </c>
      <c r="H3771" t="s">
        <v>78</v>
      </c>
      <c r="I3771" t="s">
        <v>193</v>
      </c>
    </row>
    <row r="3772" spans="1:9" ht="15" customHeight="1" x14ac:dyDescent="0.35">
      <c r="A3772">
        <v>2025</v>
      </c>
      <c r="B3772" t="s">
        <v>159</v>
      </c>
      <c r="C3772">
        <v>12</v>
      </c>
      <c r="D3772" t="s">
        <v>115</v>
      </c>
      <c r="E3772">
        <v>6364</v>
      </c>
      <c r="F3772">
        <v>8229</v>
      </c>
      <c r="G3772">
        <v>4190</v>
      </c>
      <c r="H3772" t="s">
        <v>78</v>
      </c>
      <c r="I3772" t="s">
        <v>193</v>
      </c>
    </row>
    <row r="3773" spans="1:9" ht="15" customHeight="1" x14ac:dyDescent="0.35">
      <c r="A3773">
        <v>2026</v>
      </c>
      <c r="B3773" t="s">
        <v>147</v>
      </c>
      <c r="C3773">
        <v>1</v>
      </c>
      <c r="D3773" t="s">
        <v>115</v>
      </c>
      <c r="E3773">
        <v>6868</v>
      </c>
      <c r="F3773">
        <v>8700</v>
      </c>
      <c r="G3773">
        <v>4725</v>
      </c>
      <c r="H3773" t="s">
        <v>78</v>
      </c>
      <c r="I3773" t="s">
        <v>193</v>
      </c>
    </row>
    <row r="3774" spans="1:9" ht="15" customHeight="1" x14ac:dyDescent="0.35">
      <c r="A3774">
        <v>2026</v>
      </c>
      <c r="B3774" t="s">
        <v>149</v>
      </c>
      <c r="C3774">
        <v>2</v>
      </c>
      <c r="D3774" t="s">
        <v>115</v>
      </c>
      <c r="E3774">
        <v>7398</v>
      </c>
      <c r="F3774">
        <v>9357</v>
      </c>
      <c r="G3774">
        <v>4940</v>
      </c>
      <c r="H3774" t="s">
        <v>78</v>
      </c>
      <c r="I3774" t="s">
        <v>193</v>
      </c>
    </row>
    <row r="3775" spans="1:9" ht="15" customHeight="1" x14ac:dyDescent="0.35">
      <c r="A3775">
        <v>2026</v>
      </c>
      <c r="B3775" t="s">
        <v>150</v>
      </c>
      <c r="C3775">
        <v>3</v>
      </c>
      <c r="D3775" t="s">
        <v>115</v>
      </c>
      <c r="E3775">
        <v>6868</v>
      </c>
      <c r="F3775">
        <v>8700</v>
      </c>
      <c r="G3775">
        <v>4725</v>
      </c>
      <c r="H3775" t="s">
        <v>78</v>
      </c>
      <c r="I3775" t="s">
        <v>193</v>
      </c>
    </row>
    <row r="3777" spans="1:1" ht="15" customHeight="1" x14ac:dyDescent="0.35">
      <c r="A3777" t="s">
        <v>194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341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34" customWidth="1"/>
    <col min="2" max="2" width="10" customWidth="1"/>
    <col min="3" max="4" width="38" customWidth="1"/>
    <col min="5" max="5" width="34" customWidth="1"/>
    <col min="6" max="6" width="18" customWidth="1"/>
    <col min="7" max="7" width="14" customWidth="1"/>
    <col min="8" max="8" width="40" customWidth="1"/>
  </cols>
  <sheetData>
    <row r="1" spans="1:8" ht="15" customHeight="1" x14ac:dyDescent="0.35">
      <c r="A1" s="4" t="s">
        <v>52</v>
      </c>
      <c r="B1" s="4" t="s">
        <v>53</v>
      </c>
      <c r="C1" s="4" t="s">
        <v>195</v>
      </c>
      <c r="D1" s="4" t="s">
        <v>196</v>
      </c>
      <c r="E1" s="4" t="s">
        <v>197</v>
      </c>
      <c r="F1" s="4" t="s">
        <v>198</v>
      </c>
      <c r="G1" s="4" t="s">
        <v>199</v>
      </c>
      <c r="H1" s="4" t="s">
        <v>120</v>
      </c>
    </row>
    <row r="2" spans="1:8" ht="15" customHeight="1" x14ac:dyDescent="0.35">
      <c r="A2" t="s">
        <v>80</v>
      </c>
      <c r="B2" t="s">
        <v>122</v>
      </c>
      <c r="C2">
        <v>7668</v>
      </c>
      <c r="D2">
        <v>6422.3</v>
      </c>
      <c r="E2">
        <v>4772</v>
      </c>
      <c r="F2" s="5">
        <f t="shared" ref="F2:F65" si="0">IF(D2=0,"",C2/D2)</f>
        <v>1.193964778973265</v>
      </c>
      <c r="G2">
        <v>3</v>
      </c>
      <c r="H2" t="s">
        <v>200</v>
      </c>
    </row>
    <row r="3" spans="1:8" ht="15" customHeight="1" x14ac:dyDescent="0.35">
      <c r="A3" t="s">
        <v>80</v>
      </c>
      <c r="B3" t="s">
        <v>123</v>
      </c>
      <c r="C3">
        <v>8877</v>
      </c>
      <c r="D3">
        <v>6638.4</v>
      </c>
      <c r="E3">
        <v>4514</v>
      </c>
      <c r="F3" s="5">
        <f t="shared" si="0"/>
        <v>1.3372198120028924</v>
      </c>
      <c r="G3">
        <v>12</v>
      </c>
    </row>
    <row r="4" spans="1:8" ht="15" customHeight="1" x14ac:dyDescent="0.35">
      <c r="A4" t="s">
        <v>80</v>
      </c>
      <c r="B4" t="s">
        <v>124</v>
      </c>
      <c r="C4">
        <v>9203</v>
      </c>
      <c r="D4">
        <v>7144.8</v>
      </c>
      <c r="E4">
        <v>2748</v>
      </c>
      <c r="F4" s="5">
        <f t="shared" si="0"/>
        <v>1.2880696450565445</v>
      </c>
      <c r="G4">
        <v>12</v>
      </c>
    </row>
    <row r="5" spans="1:8" ht="15" customHeight="1" x14ac:dyDescent="0.35">
      <c r="A5" t="s">
        <v>80</v>
      </c>
      <c r="B5" t="s">
        <v>71</v>
      </c>
      <c r="C5">
        <v>10134</v>
      </c>
      <c r="D5">
        <v>7283.8</v>
      </c>
      <c r="E5">
        <v>5059</v>
      </c>
      <c r="F5" s="5">
        <f t="shared" si="0"/>
        <v>1.3913067354952084</v>
      </c>
      <c r="G5">
        <v>12</v>
      </c>
    </row>
    <row r="6" spans="1:8" ht="15" customHeight="1" x14ac:dyDescent="0.35">
      <c r="A6" t="s">
        <v>80</v>
      </c>
      <c r="B6" t="s">
        <v>72</v>
      </c>
      <c r="C6">
        <v>11089</v>
      </c>
      <c r="D6">
        <v>7092</v>
      </c>
      <c r="E6">
        <v>3877</v>
      </c>
      <c r="F6" s="5">
        <f t="shared" si="0"/>
        <v>1.5635927805978567</v>
      </c>
      <c r="G6">
        <v>12</v>
      </c>
    </row>
    <row r="7" spans="1:8" ht="15" customHeight="1" x14ac:dyDescent="0.35">
      <c r="A7" t="s">
        <v>80</v>
      </c>
      <c r="B7" t="s">
        <v>73</v>
      </c>
      <c r="C7">
        <v>11991</v>
      </c>
      <c r="D7">
        <v>7813.7</v>
      </c>
      <c r="E7">
        <v>4602</v>
      </c>
      <c r="F7" s="5">
        <f t="shared" si="0"/>
        <v>1.5346122835532463</v>
      </c>
      <c r="G7">
        <v>12</v>
      </c>
    </row>
    <row r="8" spans="1:8" ht="15" customHeight="1" x14ac:dyDescent="0.35">
      <c r="A8" t="s">
        <v>80</v>
      </c>
      <c r="B8" t="s">
        <v>74</v>
      </c>
      <c r="C8">
        <v>12179</v>
      </c>
      <c r="D8">
        <v>8155.2</v>
      </c>
      <c r="E8">
        <v>5170</v>
      </c>
      <c r="F8" s="5">
        <f t="shared" si="0"/>
        <v>1.4934029821463606</v>
      </c>
      <c r="G8">
        <v>12</v>
      </c>
    </row>
    <row r="9" spans="1:8" ht="15" customHeight="1" x14ac:dyDescent="0.35">
      <c r="A9" t="s">
        <v>80</v>
      </c>
      <c r="B9" t="s">
        <v>75</v>
      </c>
      <c r="C9">
        <v>13025</v>
      </c>
      <c r="D9">
        <v>9092.2999999999993</v>
      </c>
      <c r="E9">
        <v>4644</v>
      </c>
      <c r="F9" s="5">
        <f t="shared" si="0"/>
        <v>1.4325308227841143</v>
      </c>
      <c r="G9">
        <v>12</v>
      </c>
    </row>
    <row r="10" spans="1:8" ht="15" customHeight="1" x14ac:dyDescent="0.35">
      <c r="A10" t="s">
        <v>80</v>
      </c>
      <c r="B10" t="s">
        <v>77</v>
      </c>
      <c r="C10">
        <v>13652</v>
      </c>
      <c r="D10">
        <v>9050.9</v>
      </c>
      <c r="E10">
        <v>3620</v>
      </c>
      <c r="F10" s="5">
        <f t="shared" si="0"/>
        <v>1.5083582848114552</v>
      </c>
      <c r="G10">
        <v>12</v>
      </c>
    </row>
    <row r="11" spans="1:8" ht="15" customHeight="1" x14ac:dyDescent="0.35">
      <c r="A11" t="s">
        <v>80</v>
      </c>
      <c r="B11" t="s">
        <v>78</v>
      </c>
      <c r="C11">
        <v>13213</v>
      </c>
      <c r="D11">
        <v>9114.6</v>
      </c>
      <c r="E11">
        <v>3204</v>
      </c>
      <c r="F11" s="5">
        <f t="shared" si="0"/>
        <v>1.4496522063502513</v>
      </c>
      <c r="G11">
        <v>12</v>
      </c>
    </row>
    <row r="12" spans="1:8" ht="15" customHeight="1" x14ac:dyDescent="0.35">
      <c r="A12" t="s">
        <v>81</v>
      </c>
      <c r="B12" t="s">
        <v>122</v>
      </c>
      <c r="C12">
        <v>147</v>
      </c>
      <c r="D12">
        <v>87.3</v>
      </c>
      <c r="E12">
        <v>44</v>
      </c>
      <c r="F12" s="5">
        <f t="shared" si="0"/>
        <v>1.6838487972508591</v>
      </c>
      <c r="G12">
        <v>3</v>
      </c>
      <c r="H12" t="s">
        <v>200</v>
      </c>
    </row>
    <row r="13" spans="1:8" ht="15" customHeight="1" x14ac:dyDescent="0.35">
      <c r="A13" t="s">
        <v>81</v>
      </c>
      <c r="B13" t="s">
        <v>123</v>
      </c>
      <c r="C13">
        <v>176</v>
      </c>
      <c r="D13">
        <v>87.8</v>
      </c>
      <c r="E13">
        <v>2</v>
      </c>
      <c r="F13" s="5">
        <f t="shared" si="0"/>
        <v>2.0045558086560367</v>
      </c>
      <c r="G13">
        <v>12</v>
      </c>
    </row>
    <row r="14" spans="1:8" ht="15" customHeight="1" x14ac:dyDescent="0.35">
      <c r="A14" t="s">
        <v>81</v>
      </c>
      <c r="B14" t="s">
        <v>124</v>
      </c>
      <c r="C14">
        <v>152</v>
      </c>
      <c r="D14">
        <v>86.8</v>
      </c>
      <c r="E14">
        <v>8</v>
      </c>
      <c r="F14" s="5">
        <f t="shared" si="0"/>
        <v>1.7511520737327189</v>
      </c>
      <c r="G14">
        <v>12</v>
      </c>
    </row>
    <row r="15" spans="1:8" ht="15" customHeight="1" x14ac:dyDescent="0.35">
      <c r="A15" t="s">
        <v>81</v>
      </c>
      <c r="B15" t="s">
        <v>71</v>
      </c>
      <c r="C15">
        <v>163</v>
      </c>
      <c r="D15">
        <v>91.5</v>
      </c>
      <c r="E15">
        <v>28</v>
      </c>
      <c r="F15" s="5">
        <f t="shared" si="0"/>
        <v>1.7814207650273224</v>
      </c>
      <c r="G15">
        <v>12</v>
      </c>
    </row>
    <row r="16" spans="1:8" ht="15" customHeight="1" x14ac:dyDescent="0.35">
      <c r="A16" t="s">
        <v>81</v>
      </c>
      <c r="B16" t="s">
        <v>72</v>
      </c>
      <c r="C16">
        <v>148</v>
      </c>
      <c r="D16">
        <v>79.900000000000006</v>
      </c>
      <c r="E16">
        <v>12</v>
      </c>
      <c r="F16" s="5">
        <f t="shared" si="0"/>
        <v>1.8523153942428034</v>
      </c>
      <c r="G16">
        <v>12</v>
      </c>
    </row>
    <row r="17" spans="1:8" ht="15" customHeight="1" x14ac:dyDescent="0.35">
      <c r="A17" t="s">
        <v>81</v>
      </c>
      <c r="B17" t="s">
        <v>73</v>
      </c>
      <c r="C17">
        <v>182</v>
      </c>
      <c r="D17">
        <v>97.2</v>
      </c>
      <c r="E17">
        <v>34</v>
      </c>
      <c r="F17" s="5">
        <f t="shared" si="0"/>
        <v>1.8724279835390947</v>
      </c>
      <c r="G17">
        <v>12</v>
      </c>
    </row>
    <row r="18" spans="1:8" ht="15" customHeight="1" x14ac:dyDescent="0.35">
      <c r="A18" t="s">
        <v>81</v>
      </c>
      <c r="B18" t="s">
        <v>74</v>
      </c>
      <c r="C18">
        <v>178</v>
      </c>
      <c r="D18">
        <v>99.6</v>
      </c>
      <c r="E18">
        <v>8</v>
      </c>
      <c r="F18" s="5">
        <f t="shared" si="0"/>
        <v>1.7871485943775101</v>
      </c>
      <c r="G18">
        <v>12</v>
      </c>
    </row>
    <row r="19" spans="1:8" ht="15" customHeight="1" x14ac:dyDescent="0.35">
      <c r="A19" t="s">
        <v>81</v>
      </c>
      <c r="B19" t="s">
        <v>75</v>
      </c>
      <c r="C19">
        <v>190</v>
      </c>
      <c r="D19">
        <v>119</v>
      </c>
      <c r="E19">
        <v>53</v>
      </c>
      <c r="F19" s="5">
        <f t="shared" si="0"/>
        <v>1.596638655462185</v>
      </c>
      <c r="G19">
        <v>12</v>
      </c>
    </row>
    <row r="20" spans="1:8" ht="15" customHeight="1" x14ac:dyDescent="0.35">
      <c r="A20" t="s">
        <v>81</v>
      </c>
      <c r="B20" t="s">
        <v>77</v>
      </c>
      <c r="C20">
        <v>197</v>
      </c>
      <c r="D20">
        <v>123.8</v>
      </c>
      <c r="E20">
        <v>52</v>
      </c>
      <c r="F20" s="5">
        <f t="shared" si="0"/>
        <v>1.5912762520193862</v>
      </c>
      <c r="G20">
        <v>12</v>
      </c>
    </row>
    <row r="21" spans="1:8" ht="15" customHeight="1" x14ac:dyDescent="0.35">
      <c r="A21" t="s">
        <v>81</v>
      </c>
      <c r="B21" t="s">
        <v>78</v>
      </c>
      <c r="C21">
        <v>216</v>
      </c>
      <c r="D21">
        <v>137.4</v>
      </c>
      <c r="E21">
        <v>65</v>
      </c>
      <c r="F21" s="5">
        <f t="shared" si="0"/>
        <v>1.5720524017467248</v>
      </c>
      <c r="G21">
        <v>12</v>
      </c>
    </row>
    <row r="22" spans="1:8" ht="15" customHeight="1" x14ac:dyDescent="0.35">
      <c r="A22" t="s">
        <v>82</v>
      </c>
      <c r="B22" t="s">
        <v>122</v>
      </c>
      <c r="C22">
        <v>1378</v>
      </c>
      <c r="D22">
        <v>867.7</v>
      </c>
      <c r="E22">
        <v>269</v>
      </c>
      <c r="F22" s="5">
        <f t="shared" si="0"/>
        <v>1.5881064884176559</v>
      </c>
      <c r="G22">
        <v>3</v>
      </c>
      <c r="H22" t="s">
        <v>200</v>
      </c>
    </row>
    <row r="23" spans="1:8" ht="15" customHeight="1" x14ac:dyDescent="0.35">
      <c r="A23" t="s">
        <v>82</v>
      </c>
      <c r="B23" t="s">
        <v>123</v>
      </c>
      <c r="C23">
        <v>1722</v>
      </c>
      <c r="D23">
        <v>1010.2</v>
      </c>
      <c r="E23">
        <v>361</v>
      </c>
      <c r="F23" s="5">
        <f t="shared" si="0"/>
        <v>1.7046129479311027</v>
      </c>
      <c r="G23">
        <v>12</v>
      </c>
    </row>
    <row r="24" spans="1:8" ht="15" customHeight="1" x14ac:dyDescent="0.35">
      <c r="A24" t="s">
        <v>82</v>
      </c>
      <c r="B24" t="s">
        <v>124</v>
      </c>
      <c r="C24">
        <v>1787</v>
      </c>
      <c r="D24">
        <v>1064</v>
      </c>
      <c r="E24">
        <v>477</v>
      </c>
      <c r="F24" s="5">
        <f t="shared" si="0"/>
        <v>1.6795112781954886</v>
      </c>
      <c r="G24">
        <v>12</v>
      </c>
    </row>
    <row r="25" spans="1:8" ht="15" customHeight="1" x14ac:dyDescent="0.35">
      <c r="A25" t="s">
        <v>82</v>
      </c>
      <c r="B25" t="s">
        <v>71</v>
      </c>
      <c r="C25">
        <v>1896</v>
      </c>
      <c r="D25">
        <v>1079.8</v>
      </c>
      <c r="E25">
        <v>225</v>
      </c>
      <c r="F25" s="5">
        <f t="shared" si="0"/>
        <v>1.7558807186516021</v>
      </c>
      <c r="G25">
        <v>12</v>
      </c>
    </row>
    <row r="26" spans="1:8" ht="15" customHeight="1" x14ac:dyDescent="0.35">
      <c r="A26" t="s">
        <v>82</v>
      </c>
      <c r="B26" t="s">
        <v>72</v>
      </c>
      <c r="C26">
        <v>1969</v>
      </c>
      <c r="D26">
        <v>1116.2</v>
      </c>
      <c r="E26">
        <v>194</v>
      </c>
      <c r="F26" s="5">
        <f t="shared" si="0"/>
        <v>1.7640207848055902</v>
      </c>
      <c r="G26">
        <v>12</v>
      </c>
    </row>
    <row r="27" spans="1:8" ht="15" customHeight="1" x14ac:dyDescent="0.35">
      <c r="A27" t="s">
        <v>82</v>
      </c>
      <c r="B27" t="s">
        <v>73</v>
      </c>
      <c r="C27">
        <v>2089</v>
      </c>
      <c r="D27">
        <v>1240.2</v>
      </c>
      <c r="E27">
        <v>473</v>
      </c>
      <c r="F27" s="5">
        <f t="shared" si="0"/>
        <v>1.6844057410095146</v>
      </c>
      <c r="G27">
        <v>12</v>
      </c>
    </row>
    <row r="28" spans="1:8" ht="15" customHeight="1" x14ac:dyDescent="0.35">
      <c r="A28" t="s">
        <v>82</v>
      </c>
      <c r="B28" t="s">
        <v>74</v>
      </c>
      <c r="C28">
        <v>2352</v>
      </c>
      <c r="D28">
        <v>1299.2</v>
      </c>
      <c r="E28">
        <v>381</v>
      </c>
      <c r="F28" s="5">
        <f t="shared" si="0"/>
        <v>1.8103448275862069</v>
      </c>
      <c r="G28">
        <v>12</v>
      </c>
    </row>
    <row r="29" spans="1:8" ht="15" customHeight="1" x14ac:dyDescent="0.35">
      <c r="A29" t="s">
        <v>82</v>
      </c>
      <c r="B29" t="s">
        <v>75</v>
      </c>
      <c r="C29">
        <v>2379</v>
      </c>
      <c r="D29">
        <v>1382.2</v>
      </c>
      <c r="E29">
        <v>504</v>
      </c>
      <c r="F29" s="5">
        <f t="shared" si="0"/>
        <v>1.7211691506294313</v>
      </c>
      <c r="G29">
        <v>12</v>
      </c>
    </row>
    <row r="30" spans="1:8" ht="15" customHeight="1" x14ac:dyDescent="0.35">
      <c r="A30" t="s">
        <v>82</v>
      </c>
      <c r="B30" t="s">
        <v>77</v>
      </c>
      <c r="C30">
        <v>2635</v>
      </c>
      <c r="D30">
        <v>1448.8</v>
      </c>
      <c r="E30">
        <v>379</v>
      </c>
      <c r="F30" s="5">
        <f t="shared" si="0"/>
        <v>1.8187465488680288</v>
      </c>
      <c r="G30">
        <v>12</v>
      </c>
    </row>
    <row r="31" spans="1:8" ht="15" customHeight="1" x14ac:dyDescent="0.35">
      <c r="A31" t="s">
        <v>82</v>
      </c>
      <c r="B31" t="s">
        <v>78</v>
      </c>
      <c r="C31">
        <v>2788</v>
      </c>
      <c r="D31">
        <v>1532.7</v>
      </c>
      <c r="E31">
        <v>632</v>
      </c>
      <c r="F31" s="5">
        <f t="shared" si="0"/>
        <v>1.8190122006915899</v>
      </c>
      <c r="G31">
        <v>12</v>
      </c>
    </row>
    <row r="32" spans="1:8" ht="15" customHeight="1" x14ac:dyDescent="0.35">
      <c r="A32" t="s">
        <v>83</v>
      </c>
      <c r="B32" t="s">
        <v>122</v>
      </c>
      <c r="C32">
        <v>3660</v>
      </c>
      <c r="D32">
        <v>2492.3000000000002</v>
      </c>
      <c r="E32">
        <v>993</v>
      </c>
      <c r="F32" s="5">
        <f t="shared" si="0"/>
        <v>1.4685230509970708</v>
      </c>
      <c r="G32">
        <v>3</v>
      </c>
      <c r="H32" t="s">
        <v>200</v>
      </c>
    </row>
    <row r="33" spans="1:8" ht="15" customHeight="1" x14ac:dyDescent="0.35">
      <c r="A33" t="s">
        <v>83</v>
      </c>
      <c r="B33" t="s">
        <v>123</v>
      </c>
      <c r="C33">
        <v>4435</v>
      </c>
      <c r="D33">
        <v>2967.5</v>
      </c>
      <c r="E33">
        <v>509</v>
      </c>
      <c r="F33" s="5">
        <f t="shared" si="0"/>
        <v>1.4945240101095199</v>
      </c>
      <c r="G33">
        <v>12</v>
      </c>
    </row>
    <row r="34" spans="1:8" ht="15" customHeight="1" x14ac:dyDescent="0.35">
      <c r="A34" t="s">
        <v>83</v>
      </c>
      <c r="B34" t="s">
        <v>124</v>
      </c>
      <c r="C34">
        <v>4949</v>
      </c>
      <c r="D34">
        <v>3330.7</v>
      </c>
      <c r="E34">
        <v>550</v>
      </c>
      <c r="F34" s="5">
        <f t="shared" si="0"/>
        <v>1.4858738403338638</v>
      </c>
      <c r="G34">
        <v>12</v>
      </c>
    </row>
    <row r="35" spans="1:8" ht="15" customHeight="1" x14ac:dyDescent="0.35">
      <c r="A35" t="s">
        <v>83</v>
      </c>
      <c r="B35" t="s">
        <v>71</v>
      </c>
      <c r="C35">
        <v>5716</v>
      </c>
      <c r="D35">
        <v>3533.4</v>
      </c>
      <c r="E35">
        <v>1133</v>
      </c>
      <c r="F35" s="5">
        <f t="shared" si="0"/>
        <v>1.6177053263145977</v>
      </c>
      <c r="G35">
        <v>12</v>
      </c>
    </row>
    <row r="36" spans="1:8" ht="15" customHeight="1" x14ac:dyDescent="0.35">
      <c r="A36" t="s">
        <v>83</v>
      </c>
      <c r="B36" t="s">
        <v>72</v>
      </c>
      <c r="C36">
        <v>5818</v>
      </c>
      <c r="D36">
        <v>3819.8</v>
      </c>
      <c r="E36">
        <v>1357</v>
      </c>
      <c r="F36" s="5">
        <f t="shared" si="0"/>
        <v>1.5231163935284568</v>
      </c>
      <c r="G36">
        <v>12</v>
      </c>
    </row>
    <row r="37" spans="1:8" ht="15" customHeight="1" x14ac:dyDescent="0.35">
      <c r="A37" t="s">
        <v>83</v>
      </c>
      <c r="B37" t="s">
        <v>73</v>
      </c>
      <c r="C37">
        <v>6485</v>
      </c>
      <c r="D37">
        <v>4044.3</v>
      </c>
      <c r="E37">
        <v>843</v>
      </c>
      <c r="F37" s="5">
        <f t="shared" si="0"/>
        <v>1.6034913334816903</v>
      </c>
      <c r="G37">
        <v>12</v>
      </c>
    </row>
    <row r="38" spans="1:8" ht="15" customHeight="1" x14ac:dyDescent="0.35">
      <c r="A38" t="s">
        <v>83</v>
      </c>
      <c r="B38" t="s">
        <v>74</v>
      </c>
      <c r="C38">
        <v>6644</v>
      </c>
      <c r="D38">
        <v>4362.8999999999996</v>
      </c>
      <c r="E38">
        <v>1838</v>
      </c>
      <c r="F38" s="5">
        <f t="shared" si="0"/>
        <v>1.5228403126360908</v>
      </c>
      <c r="G38">
        <v>12</v>
      </c>
    </row>
    <row r="39" spans="1:8" ht="15" customHeight="1" x14ac:dyDescent="0.35">
      <c r="A39" t="s">
        <v>83</v>
      </c>
      <c r="B39" t="s">
        <v>75</v>
      </c>
      <c r="C39">
        <v>7494</v>
      </c>
      <c r="D39">
        <v>4631.8999999999996</v>
      </c>
      <c r="E39">
        <v>2011</v>
      </c>
      <c r="F39" s="5">
        <f t="shared" si="0"/>
        <v>1.6179105766532094</v>
      </c>
      <c r="G39">
        <v>12</v>
      </c>
    </row>
    <row r="40" spans="1:8" ht="15" customHeight="1" x14ac:dyDescent="0.35">
      <c r="A40" t="s">
        <v>83</v>
      </c>
      <c r="B40" t="s">
        <v>77</v>
      </c>
      <c r="C40">
        <v>7873</v>
      </c>
      <c r="D40">
        <v>4911</v>
      </c>
      <c r="E40">
        <v>2017</v>
      </c>
      <c r="F40" s="5">
        <f t="shared" si="0"/>
        <v>1.6031358175524333</v>
      </c>
      <c r="G40">
        <v>12</v>
      </c>
    </row>
    <row r="41" spans="1:8" ht="15" customHeight="1" x14ac:dyDescent="0.35">
      <c r="A41" t="s">
        <v>83</v>
      </c>
      <c r="B41" t="s">
        <v>78</v>
      </c>
      <c r="C41">
        <v>8676</v>
      </c>
      <c r="D41">
        <v>5370.7</v>
      </c>
      <c r="E41">
        <v>1343</v>
      </c>
      <c r="F41" s="5">
        <f t="shared" si="0"/>
        <v>1.6154318803880314</v>
      </c>
      <c r="G41">
        <v>12</v>
      </c>
    </row>
    <row r="42" spans="1:8" ht="15" customHeight="1" x14ac:dyDescent="0.35">
      <c r="A42" t="s">
        <v>84</v>
      </c>
      <c r="B42" t="s">
        <v>122</v>
      </c>
      <c r="C42">
        <v>270</v>
      </c>
      <c r="D42">
        <v>155.30000000000001</v>
      </c>
      <c r="E42">
        <v>71</v>
      </c>
      <c r="F42" s="5">
        <f t="shared" si="0"/>
        <v>1.7385705086928525</v>
      </c>
      <c r="G42">
        <v>3</v>
      </c>
      <c r="H42" t="s">
        <v>200</v>
      </c>
    </row>
    <row r="43" spans="1:8" ht="15" customHeight="1" x14ac:dyDescent="0.35">
      <c r="A43" t="s">
        <v>84</v>
      </c>
      <c r="B43" t="s">
        <v>123</v>
      </c>
      <c r="C43">
        <v>390</v>
      </c>
      <c r="D43">
        <v>202.5</v>
      </c>
      <c r="E43">
        <v>71</v>
      </c>
      <c r="F43" s="5">
        <f t="shared" si="0"/>
        <v>1.9259259259259258</v>
      </c>
      <c r="G43">
        <v>12</v>
      </c>
    </row>
    <row r="44" spans="1:8" ht="15" customHeight="1" x14ac:dyDescent="0.35">
      <c r="A44" t="s">
        <v>84</v>
      </c>
      <c r="B44" t="s">
        <v>124</v>
      </c>
      <c r="C44">
        <v>401</v>
      </c>
      <c r="D44">
        <v>195.6</v>
      </c>
      <c r="E44">
        <v>63</v>
      </c>
      <c r="F44" s="5">
        <f t="shared" si="0"/>
        <v>2.0501022494887526</v>
      </c>
      <c r="G44">
        <v>12</v>
      </c>
    </row>
    <row r="45" spans="1:8" ht="15" customHeight="1" x14ac:dyDescent="0.35">
      <c r="A45" t="s">
        <v>84</v>
      </c>
      <c r="B45" t="s">
        <v>71</v>
      </c>
      <c r="C45">
        <v>426</v>
      </c>
      <c r="D45">
        <v>202.9</v>
      </c>
      <c r="E45">
        <v>61</v>
      </c>
      <c r="F45" s="5">
        <f t="shared" si="0"/>
        <v>2.099556431739773</v>
      </c>
      <c r="G45">
        <v>12</v>
      </c>
    </row>
    <row r="46" spans="1:8" ht="15" customHeight="1" x14ac:dyDescent="0.35">
      <c r="A46" t="s">
        <v>84</v>
      </c>
      <c r="B46" t="s">
        <v>72</v>
      </c>
      <c r="C46">
        <v>376</v>
      </c>
      <c r="D46">
        <v>172.3</v>
      </c>
      <c r="E46">
        <v>61</v>
      </c>
      <c r="F46" s="5">
        <f t="shared" si="0"/>
        <v>2.182240278583865</v>
      </c>
      <c r="G46">
        <v>12</v>
      </c>
    </row>
    <row r="47" spans="1:8" ht="15" customHeight="1" x14ac:dyDescent="0.35">
      <c r="A47" t="s">
        <v>84</v>
      </c>
      <c r="B47" t="s">
        <v>73</v>
      </c>
      <c r="C47">
        <v>420</v>
      </c>
      <c r="D47">
        <v>183</v>
      </c>
      <c r="E47">
        <v>26</v>
      </c>
      <c r="F47" s="5">
        <f t="shared" si="0"/>
        <v>2.2950819672131146</v>
      </c>
      <c r="G47">
        <v>12</v>
      </c>
    </row>
    <row r="48" spans="1:8" ht="15" customHeight="1" x14ac:dyDescent="0.35">
      <c r="A48" t="s">
        <v>84</v>
      </c>
      <c r="B48" t="s">
        <v>74</v>
      </c>
      <c r="C48">
        <v>403</v>
      </c>
      <c r="D48">
        <v>203.8</v>
      </c>
      <c r="E48">
        <v>73</v>
      </c>
      <c r="F48" s="5">
        <f t="shared" si="0"/>
        <v>1.9774288518155052</v>
      </c>
      <c r="G48">
        <v>12</v>
      </c>
    </row>
    <row r="49" spans="1:8" ht="15" customHeight="1" x14ac:dyDescent="0.35">
      <c r="A49" t="s">
        <v>84</v>
      </c>
      <c r="B49" t="s">
        <v>75</v>
      </c>
      <c r="C49">
        <v>408</v>
      </c>
      <c r="D49">
        <v>202.6</v>
      </c>
      <c r="E49">
        <v>76</v>
      </c>
      <c r="F49" s="5">
        <f t="shared" si="0"/>
        <v>2.0138203356367228</v>
      </c>
      <c r="G49">
        <v>12</v>
      </c>
    </row>
    <row r="50" spans="1:8" ht="15" customHeight="1" x14ac:dyDescent="0.35">
      <c r="A50" t="s">
        <v>84</v>
      </c>
      <c r="B50" t="s">
        <v>77</v>
      </c>
      <c r="C50">
        <v>443</v>
      </c>
      <c r="D50">
        <v>219.5</v>
      </c>
      <c r="E50">
        <v>77</v>
      </c>
      <c r="F50" s="5">
        <f t="shared" si="0"/>
        <v>2.0182232346241458</v>
      </c>
      <c r="G50">
        <v>12</v>
      </c>
    </row>
    <row r="51" spans="1:8" ht="15" customHeight="1" x14ac:dyDescent="0.35">
      <c r="A51" t="s">
        <v>84</v>
      </c>
      <c r="B51" t="s">
        <v>78</v>
      </c>
      <c r="C51">
        <v>462</v>
      </c>
      <c r="D51">
        <v>218.2</v>
      </c>
      <c r="E51">
        <v>81</v>
      </c>
      <c r="F51" s="5">
        <f t="shared" si="0"/>
        <v>2.1173235563703026</v>
      </c>
      <c r="G51">
        <v>12</v>
      </c>
    </row>
    <row r="52" spans="1:8" ht="15" customHeight="1" x14ac:dyDescent="0.35">
      <c r="A52" t="s">
        <v>85</v>
      </c>
      <c r="B52" t="s">
        <v>122</v>
      </c>
      <c r="C52">
        <v>3851</v>
      </c>
      <c r="D52">
        <v>3086.3</v>
      </c>
      <c r="E52">
        <v>2208</v>
      </c>
      <c r="F52" s="5">
        <f t="shared" si="0"/>
        <v>1.2477724135696464</v>
      </c>
      <c r="G52">
        <v>3</v>
      </c>
      <c r="H52" t="s">
        <v>200</v>
      </c>
    </row>
    <row r="53" spans="1:8" ht="15" customHeight="1" x14ac:dyDescent="0.35">
      <c r="A53" t="s">
        <v>85</v>
      </c>
      <c r="B53" t="s">
        <v>123</v>
      </c>
      <c r="C53">
        <v>4049</v>
      </c>
      <c r="D53">
        <v>3098.2</v>
      </c>
      <c r="E53">
        <v>1651</v>
      </c>
      <c r="F53" s="5">
        <f t="shared" si="0"/>
        <v>1.3068878703763476</v>
      </c>
      <c r="G53">
        <v>12</v>
      </c>
    </row>
    <row r="54" spans="1:8" ht="15" customHeight="1" x14ac:dyDescent="0.35">
      <c r="A54" t="s">
        <v>85</v>
      </c>
      <c r="B54" t="s">
        <v>124</v>
      </c>
      <c r="C54">
        <v>4519</v>
      </c>
      <c r="D54">
        <v>3363.9</v>
      </c>
      <c r="E54">
        <v>1791</v>
      </c>
      <c r="F54" s="5">
        <f t="shared" si="0"/>
        <v>1.3433811944469216</v>
      </c>
      <c r="G54">
        <v>12</v>
      </c>
    </row>
    <row r="55" spans="1:8" ht="15" customHeight="1" x14ac:dyDescent="0.35">
      <c r="A55" t="s">
        <v>85</v>
      </c>
      <c r="B55" t="s">
        <v>71</v>
      </c>
      <c r="C55">
        <v>4671</v>
      </c>
      <c r="D55">
        <v>3423</v>
      </c>
      <c r="E55">
        <v>2139</v>
      </c>
      <c r="F55" s="5">
        <f t="shared" si="0"/>
        <v>1.3645924627519719</v>
      </c>
      <c r="G55">
        <v>12</v>
      </c>
    </row>
    <row r="56" spans="1:8" ht="15" customHeight="1" x14ac:dyDescent="0.35">
      <c r="A56" t="s">
        <v>85</v>
      </c>
      <c r="B56" t="s">
        <v>72</v>
      </c>
      <c r="C56">
        <v>4643</v>
      </c>
      <c r="D56">
        <v>3426.5</v>
      </c>
      <c r="E56">
        <v>1859</v>
      </c>
      <c r="F56" s="5">
        <f t="shared" si="0"/>
        <v>1.3550269954764336</v>
      </c>
      <c r="G56">
        <v>12</v>
      </c>
    </row>
    <row r="57" spans="1:8" ht="15" customHeight="1" x14ac:dyDescent="0.35">
      <c r="A57" t="s">
        <v>85</v>
      </c>
      <c r="B57" t="s">
        <v>73</v>
      </c>
      <c r="C57">
        <v>4955</v>
      </c>
      <c r="D57">
        <v>3676.2</v>
      </c>
      <c r="E57">
        <v>1788</v>
      </c>
      <c r="F57" s="5">
        <f t="shared" si="0"/>
        <v>1.3478592024372995</v>
      </c>
      <c r="G57">
        <v>12</v>
      </c>
    </row>
    <row r="58" spans="1:8" ht="15" customHeight="1" x14ac:dyDescent="0.35">
      <c r="A58" t="s">
        <v>85</v>
      </c>
      <c r="B58" t="s">
        <v>74</v>
      </c>
      <c r="C58">
        <v>5433</v>
      </c>
      <c r="D58">
        <v>4175</v>
      </c>
      <c r="E58">
        <v>2392</v>
      </c>
      <c r="F58" s="5">
        <f t="shared" si="0"/>
        <v>1.3013173652694612</v>
      </c>
      <c r="G58">
        <v>12</v>
      </c>
    </row>
    <row r="59" spans="1:8" ht="15" customHeight="1" x14ac:dyDescent="0.35">
      <c r="A59" t="s">
        <v>85</v>
      </c>
      <c r="B59" t="s">
        <v>75</v>
      </c>
      <c r="C59">
        <v>6170</v>
      </c>
      <c r="D59">
        <v>4505.5</v>
      </c>
      <c r="E59">
        <v>2526</v>
      </c>
      <c r="F59" s="5">
        <f t="shared" si="0"/>
        <v>1.3694373543446898</v>
      </c>
      <c r="G59">
        <v>12</v>
      </c>
    </row>
    <row r="60" spans="1:8" ht="15" customHeight="1" x14ac:dyDescent="0.35">
      <c r="A60" t="s">
        <v>85</v>
      </c>
      <c r="B60" t="s">
        <v>77</v>
      </c>
      <c r="C60">
        <v>6602</v>
      </c>
      <c r="D60">
        <v>4880.3999999999996</v>
      </c>
      <c r="E60">
        <v>2577</v>
      </c>
      <c r="F60" s="5">
        <f t="shared" si="0"/>
        <v>1.352757970658143</v>
      </c>
      <c r="G60">
        <v>12</v>
      </c>
    </row>
    <row r="61" spans="1:8" ht="15" customHeight="1" x14ac:dyDescent="0.35">
      <c r="A61" t="s">
        <v>85</v>
      </c>
      <c r="B61" t="s">
        <v>78</v>
      </c>
      <c r="C61">
        <v>6845</v>
      </c>
      <c r="D61">
        <v>4820.8</v>
      </c>
      <c r="E61">
        <v>1934</v>
      </c>
      <c r="F61" s="5">
        <f t="shared" si="0"/>
        <v>1.4198888151344176</v>
      </c>
      <c r="G61">
        <v>12</v>
      </c>
    </row>
    <row r="62" spans="1:8" ht="15" customHeight="1" x14ac:dyDescent="0.35">
      <c r="A62" t="s">
        <v>165</v>
      </c>
      <c r="B62" t="s">
        <v>122</v>
      </c>
      <c r="C62">
        <v>3090</v>
      </c>
      <c r="D62">
        <v>2397.6999999999998</v>
      </c>
      <c r="E62">
        <v>1476</v>
      </c>
      <c r="F62" s="5">
        <f t="shared" si="0"/>
        <v>1.2887350377445053</v>
      </c>
      <c r="G62">
        <v>3</v>
      </c>
      <c r="H62" t="s">
        <v>200</v>
      </c>
    </row>
    <row r="63" spans="1:8" ht="15" customHeight="1" x14ac:dyDescent="0.35">
      <c r="A63" t="s">
        <v>165</v>
      </c>
      <c r="B63" t="s">
        <v>123</v>
      </c>
      <c r="C63">
        <v>3128</v>
      </c>
      <c r="D63">
        <v>2501.8000000000002</v>
      </c>
      <c r="E63">
        <v>1517</v>
      </c>
      <c r="F63" s="5">
        <f t="shared" si="0"/>
        <v>1.250299784155408</v>
      </c>
      <c r="G63">
        <v>12</v>
      </c>
    </row>
    <row r="64" spans="1:8" ht="15" customHeight="1" x14ac:dyDescent="0.35">
      <c r="A64" t="s">
        <v>165</v>
      </c>
      <c r="B64" t="s">
        <v>124</v>
      </c>
      <c r="C64">
        <v>3467</v>
      </c>
      <c r="D64">
        <v>2619.1999999999998</v>
      </c>
      <c r="E64">
        <v>1604</v>
      </c>
      <c r="F64" s="5">
        <f t="shared" si="0"/>
        <v>1.3236866218692731</v>
      </c>
      <c r="G64">
        <v>12</v>
      </c>
    </row>
    <row r="65" spans="1:8" ht="15" customHeight="1" x14ac:dyDescent="0.35">
      <c r="A65" t="s">
        <v>165</v>
      </c>
      <c r="B65" t="s">
        <v>71</v>
      </c>
      <c r="C65">
        <v>3237</v>
      </c>
      <c r="D65">
        <v>2608.8000000000002</v>
      </c>
      <c r="E65">
        <v>1095</v>
      </c>
      <c r="F65" s="5">
        <f t="shared" si="0"/>
        <v>1.2408003679852806</v>
      </c>
      <c r="G65">
        <v>12</v>
      </c>
    </row>
    <row r="66" spans="1:8" ht="15" customHeight="1" x14ac:dyDescent="0.35">
      <c r="A66" t="s">
        <v>165</v>
      </c>
      <c r="B66" t="s">
        <v>72</v>
      </c>
      <c r="C66">
        <v>3453</v>
      </c>
      <c r="D66">
        <v>2496.6999999999998</v>
      </c>
      <c r="E66">
        <v>944</v>
      </c>
      <c r="F66" s="5">
        <f t="shared" ref="F66:F129" si="1">IF(D66=0,"",C66/D66)</f>
        <v>1.3830255937837947</v>
      </c>
      <c r="G66">
        <v>12</v>
      </c>
    </row>
    <row r="67" spans="1:8" ht="15" customHeight="1" x14ac:dyDescent="0.35">
      <c r="A67" t="s">
        <v>165</v>
      </c>
      <c r="B67" t="s">
        <v>73</v>
      </c>
      <c r="C67">
        <v>3793</v>
      </c>
      <c r="D67">
        <v>2768.1</v>
      </c>
      <c r="E67">
        <v>1773</v>
      </c>
      <c r="F67" s="5">
        <f t="shared" si="1"/>
        <v>1.37025396481341</v>
      </c>
      <c r="G67">
        <v>12</v>
      </c>
    </row>
    <row r="68" spans="1:8" ht="15" customHeight="1" x14ac:dyDescent="0.35">
      <c r="A68" t="s">
        <v>165</v>
      </c>
      <c r="B68" t="s">
        <v>74</v>
      </c>
      <c r="C68">
        <v>3991</v>
      </c>
      <c r="D68">
        <v>3073.4</v>
      </c>
      <c r="E68">
        <v>2231</v>
      </c>
      <c r="F68" s="5">
        <f t="shared" si="1"/>
        <v>1.2985618533220538</v>
      </c>
      <c r="G68">
        <v>12</v>
      </c>
    </row>
    <row r="69" spans="1:8" ht="15" customHeight="1" x14ac:dyDescent="0.35">
      <c r="A69" t="s">
        <v>165</v>
      </c>
      <c r="B69" t="s">
        <v>75</v>
      </c>
      <c r="C69">
        <v>3810</v>
      </c>
      <c r="D69">
        <v>3102.1</v>
      </c>
      <c r="E69">
        <v>2190</v>
      </c>
      <c r="F69" s="5">
        <f t="shared" si="1"/>
        <v>1.2282002514425712</v>
      </c>
      <c r="G69">
        <v>12</v>
      </c>
    </row>
    <row r="70" spans="1:8" ht="15" customHeight="1" x14ac:dyDescent="0.35">
      <c r="A70" t="s">
        <v>165</v>
      </c>
      <c r="B70" t="s">
        <v>77</v>
      </c>
      <c r="C70">
        <v>3924</v>
      </c>
      <c r="D70">
        <v>3047.8</v>
      </c>
      <c r="E70">
        <v>2193</v>
      </c>
      <c r="F70" s="5">
        <f t="shared" si="1"/>
        <v>1.2874860555154537</v>
      </c>
      <c r="G70">
        <v>12</v>
      </c>
    </row>
    <row r="71" spans="1:8" ht="15" customHeight="1" x14ac:dyDescent="0.35">
      <c r="A71" t="s">
        <v>165</v>
      </c>
      <c r="B71" t="s">
        <v>78</v>
      </c>
      <c r="C71">
        <v>3564</v>
      </c>
      <c r="D71">
        <v>2830.9</v>
      </c>
      <c r="E71">
        <v>1774</v>
      </c>
      <c r="F71" s="5">
        <f t="shared" si="1"/>
        <v>1.2589635804867709</v>
      </c>
      <c r="G71">
        <v>12</v>
      </c>
    </row>
    <row r="72" spans="1:8" ht="15" customHeight="1" x14ac:dyDescent="0.35">
      <c r="A72" t="s">
        <v>86</v>
      </c>
      <c r="B72" t="s">
        <v>122</v>
      </c>
      <c r="C72">
        <v>1072</v>
      </c>
      <c r="D72">
        <v>945.3</v>
      </c>
      <c r="E72">
        <v>459</v>
      </c>
      <c r="F72" s="5">
        <f t="shared" si="1"/>
        <v>1.1340315243837935</v>
      </c>
      <c r="G72">
        <v>3</v>
      </c>
      <c r="H72" t="s">
        <v>200</v>
      </c>
    </row>
    <row r="73" spans="1:8" ht="15" customHeight="1" x14ac:dyDescent="0.35">
      <c r="A73" t="s">
        <v>86</v>
      </c>
      <c r="B73" t="s">
        <v>123</v>
      </c>
      <c r="C73">
        <v>1108</v>
      </c>
      <c r="D73">
        <v>984.5</v>
      </c>
      <c r="E73">
        <v>431</v>
      </c>
      <c r="F73" s="5">
        <f t="shared" si="1"/>
        <v>1.1254443880142204</v>
      </c>
      <c r="G73">
        <v>12</v>
      </c>
    </row>
    <row r="74" spans="1:8" ht="15" customHeight="1" x14ac:dyDescent="0.35">
      <c r="A74" t="s">
        <v>86</v>
      </c>
      <c r="B74" t="s">
        <v>124</v>
      </c>
      <c r="C74">
        <v>1156</v>
      </c>
      <c r="D74">
        <v>1014.5</v>
      </c>
      <c r="E74">
        <v>415</v>
      </c>
      <c r="F74" s="5">
        <f t="shared" si="1"/>
        <v>1.1394775751601773</v>
      </c>
      <c r="G74">
        <v>12</v>
      </c>
    </row>
    <row r="75" spans="1:8" ht="15" customHeight="1" x14ac:dyDescent="0.35">
      <c r="A75" t="s">
        <v>86</v>
      </c>
      <c r="B75" t="s">
        <v>71</v>
      </c>
      <c r="C75">
        <v>1169</v>
      </c>
      <c r="D75">
        <v>1034.9000000000001</v>
      </c>
      <c r="E75">
        <v>102</v>
      </c>
      <c r="F75" s="5">
        <f t="shared" si="1"/>
        <v>1.1295777369794182</v>
      </c>
      <c r="G75">
        <v>12</v>
      </c>
    </row>
    <row r="76" spans="1:8" ht="15" customHeight="1" x14ac:dyDescent="0.35">
      <c r="A76" t="s">
        <v>86</v>
      </c>
      <c r="B76" t="s">
        <v>72</v>
      </c>
      <c r="C76">
        <v>1232</v>
      </c>
      <c r="D76">
        <v>877</v>
      </c>
      <c r="E76">
        <v>100</v>
      </c>
      <c r="F76" s="5">
        <f t="shared" si="1"/>
        <v>1.4047890535917902</v>
      </c>
      <c r="G76">
        <v>12</v>
      </c>
    </row>
    <row r="77" spans="1:8" ht="15" customHeight="1" x14ac:dyDescent="0.35">
      <c r="A77" t="s">
        <v>86</v>
      </c>
      <c r="B77" t="s">
        <v>73</v>
      </c>
      <c r="C77">
        <v>1260</v>
      </c>
      <c r="D77">
        <v>1081.5999999999999</v>
      </c>
      <c r="E77">
        <v>487</v>
      </c>
      <c r="F77" s="5">
        <f t="shared" si="1"/>
        <v>1.164940828402367</v>
      </c>
      <c r="G77">
        <v>12</v>
      </c>
    </row>
    <row r="78" spans="1:8" ht="15" customHeight="1" x14ac:dyDescent="0.35">
      <c r="A78" t="s">
        <v>86</v>
      </c>
      <c r="B78" t="s">
        <v>74</v>
      </c>
      <c r="C78">
        <v>1345</v>
      </c>
      <c r="D78">
        <v>1143</v>
      </c>
      <c r="E78">
        <v>527</v>
      </c>
      <c r="F78" s="5">
        <f t="shared" si="1"/>
        <v>1.1767279090113736</v>
      </c>
      <c r="G78">
        <v>12</v>
      </c>
    </row>
    <row r="79" spans="1:8" ht="15" customHeight="1" x14ac:dyDescent="0.35">
      <c r="A79" t="s">
        <v>86</v>
      </c>
      <c r="B79" t="s">
        <v>75</v>
      </c>
      <c r="C79">
        <v>1332</v>
      </c>
      <c r="D79">
        <v>1196.8</v>
      </c>
      <c r="E79">
        <v>600</v>
      </c>
      <c r="F79" s="5">
        <f t="shared" si="1"/>
        <v>1.1129679144385027</v>
      </c>
      <c r="G79">
        <v>12</v>
      </c>
    </row>
    <row r="80" spans="1:8" ht="15" customHeight="1" x14ac:dyDescent="0.35">
      <c r="A80" t="s">
        <v>86</v>
      </c>
      <c r="B80" t="s">
        <v>77</v>
      </c>
      <c r="C80">
        <v>1500</v>
      </c>
      <c r="D80">
        <v>1228.9000000000001</v>
      </c>
      <c r="E80">
        <v>600</v>
      </c>
      <c r="F80" s="5">
        <f t="shared" si="1"/>
        <v>1.2206037920091137</v>
      </c>
      <c r="G80">
        <v>12</v>
      </c>
    </row>
    <row r="81" spans="1:8" ht="15" customHeight="1" x14ac:dyDescent="0.35">
      <c r="A81" t="s">
        <v>86</v>
      </c>
      <c r="B81" t="s">
        <v>78</v>
      </c>
      <c r="C81">
        <v>1414</v>
      </c>
      <c r="D81">
        <v>1270</v>
      </c>
      <c r="E81">
        <v>685</v>
      </c>
      <c r="F81" s="5">
        <f t="shared" si="1"/>
        <v>1.1133858267716537</v>
      </c>
      <c r="G81">
        <v>12</v>
      </c>
    </row>
    <row r="82" spans="1:8" ht="15" customHeight="1" x14ac:dyDescent="0.35">
      <c r="A82" t="s">
        <v>87</v>
      </c>
      <c r="B82" t="s">
        <v>122</v>
      </c>
      <c r="C82">
        <v>4193</v>
      </c>
      <c r="D82">
        <v>2624.3</v>
      </c>
      <c r="E82">
        <v>1162</v>
      </c>
      <c r="F82" s="5">
        <f t="shared" si="1"/>
        <v>1.5977594025073352</v>
      </c>
      <c r="G82">
        <v>3</v>
      </c>
      <c r="H82" t="s">
        <v>200</v>
      </c>
    </row>
    <row r="83" spans="1:8" ht="15" customHeight="1" x14ac:dyDescent="0.35">
      <c r="A83" t="s">
        <v>87</v>
      </c>
      <c r="B83" t="s">
        <v>123</v>
      </c>
      <c r="C83">
        <v>6457</v>
      </c>
      <c r="D83">
        <v>3628.3</v>
      </c>
      <c r="E83">
        <v>1337</v>
      </c>
      <c r="F83" s="5">
        <f t="shared" si="1"/>
        <v>1.7796213102554914</v>
      </c>
      <c r="G83">
        <v>12</v>
      </c>
    </row>
    <row r="84" spans="1:8" ht="15" customHeight="1" x14ac:dyDescent="0.35">
      <c r="A84" t="s">
        <v>87</v>
      </c>
      <c r="B84" t="s">
        <v>124</v>
      </c>
      <c r="C84">
        <v>6931</v>
      </c>
      <c r="D84">
        <v>3672.4</v>
      </c>
      <c r="E84">
        <v>527</v>
      </c>
      <c r="F84" s="5">
        <f t="shared" si="1"/>
        <v>1.8873216425226009</v>
      </c>
      <c r="G84">
        <v>12</v>
      </c>
    </row>
    <row r="85" spans="1:8" ht="15" customHeight="1" x14ac:dyDescent="0.35">
      <c r="A85" t="s">
        <v>87</v>
      </c>
      <c r="B85" t="s">
        <v>71</v>
      </c>
      <c r="C85">
        <v>7302</v>
      </c>
      <c r="D85">
        <v>3761.8</v>
      </c>
      <c r="E85">
        <v>1209</v>
      </c>
      <c r="F85" s="5">
        <f t="shared" si="1"/>
        <v>1.9410920304109733</v>
      </c>
      <c r="G85">
        <v>12</v>
      </c>
    </row>
    <row r="86" spans="1:8" ht="15" customHeight="1" x14ac:dyDescent="0.35">
      <c r="A86" t="s">
        <v>87</v>
      </c>
      <c r="B86" t="s">
        <v>72</v>
      </c>
      <c r="C86">
        <v>6244</v>
      </c>
      <c r="D86">
        <v>3366.1</v>
      </c>
      <c r="E86">
        <v>1324</v>
      </c>
      <c r="F86" s="5">
        <f t="shared" si="1"/>
        <v>1.8549656872939011</v>
      </c>
      <c r="G86">
        <v>12</v>
      </c>
    </row>
    <row r="87" spans="1:8" ht="15" customHeight="1" x14ac:dyDescent="0.35">
      <c r="A87" t="s">
        <v>87</v>
      </c>
      <c r="B87" t="s">
        <v>73</v>
      </c>
      <c r="C87">
        <v>7272</v>
      </c>
      <c r="D87">
        <v>3544.2</v>
      </c>
      <c r="E87">
        <v>1068</v>
      </c>
      <c r="F87" s="5">
        <f t="shared" si="1"/>
        <v>2.0518029456576943</v>
      </c>
      <c r="G87">
        <v>12</v>
      </c>
    </row>
    <row r="88" spans="1:8" ht="15" customHeight="1" x14ac:dyDescent="0.35">
      <c r="A88" t="s">
        <v>87</v>
      </c>
      <c r="B88" t="s">
        <v>74</v>
      </c>
      <c r="C88">
        <v>7713</v>
      </c>
      <c r="D88">
        <v>4008.5</v>
      </c>
      <c r="E88">
        <v>1431</v>
      </c>
      <c r="F88" s="5">
        <f t="shared" si="1"/>
        <v>1.9241611575402271</v>
      </c>
      <c r="G88">
        <v>12</v>
      </c>
    </row>
    <row r="89" spans="1:8" ht="15" customHeight="1" x14ac:dyDescent="0.35">
      <c r="A89" t="s">
        <v>87</v>
      </c>
      <c r="B89" t="s">
        <v>75</v>
      </c>
      <c r="C89">
        <v>7293</v>
      </c>
      <c r="D89">
        <v>3966.4</v>
      </c>
      <c r="E89">
        <v>1464</v>
      </c>
      <c r="F89" s="5">
        <f t="shared" si="1"/>
        <v>1.8386950383219038</v>
      </c>
      <c r="G89">
        <v>12</v>
      </c>
    </row>
    <row r="90" spans="1:8" ht="15" customHeight="1" x14ac:dyDescent="0.35">
      <c r="A90" t="s">
        <v>87</v>
      </c>
      <c r="B90" t="s">
        <v>77</v>
      </c>
      <c r="C90">
        <v>8611</v>
      </c>
      <c r="D90">
        <v>4261.2</v>
      </c>
      <c r="E90">
        <v>1358</v>
      </c>
      <c r="F90" s="5">
        <f t="shared" si="1"/>
        <v>2.0207922650896464</v>
      </c>
      <c r="G90">
        <v>12</v>
      </c>
    </row>
    <row r="91" spans="1:8" ht="15" customHeight="1" x14ac:dyDescent="0.35">
      <c r="A91" t="s">
        <v>87</v>
      </c>
      <c r="B91" t="s">
        <v>78</v>
      </c>
      <c r="C91">
        <v>8372</v>
      </c>
      <c r="D91">
        <v>4406.8999999999996</v>
      </c>
      <c r="E91">
        <v>1647</v>
      </c>
      <c r="F91" s="5">
        <f t="shared" si="1"/>
        <v>1.8997481222628152</v>
      </c>
      <c r="G91">
        <v>12</v>
      </c>
    </row>
    <row r="92" spans="1:8" ht="15" customHeight="1" x14ac:dyDescent="0.35">
      <c r="A92" t="s">
        <v>88</v>
      </c>
      <c r="B92" t="s">
        <v>122</v>
      </c>
      <c r="C92">
        <v>511</v>
      </c>
      <c r="D92">
        <v>348.3</v>
      </c>
      <c r="E92">
        <v>205</v>
      </c>
      <c r="F92" s="5">
        <f t="shared" si="1"/>
        <v>1.4671260407694515</v>
      </c>
      <c r="G92">
        <v>3</v>
      </c>
      <c r="H92" t="s">
        <v>200</v>
      </c>
    </row>
    <row r="93" spans="1:8" ht="15" customHeight="1" x14ac:dyDescent="0.35">
      <c r="A93" t="s">
        <v>88</v>
      </c>
      <c r="B93" t="s">
        <v>123</v>
      </c>
      <c r="C93">
        <v>544</v>
      </c>
      <c r="D93">
        <v>366.9</v>
      </c>
      <c r="E93">
        <v>172</v>
      </c>
      <c r="F93" s="5">
        <f t="shared" si="1"/>
        <v>1.4826928318342874</v>
      </c>
      <c r="G93">
        <v>12</v>
      </c>
    </row>
    <row r="94" spans="1:8" ht="15" customHeight="1" x14ac:dyDescent="0.35">
      <c r="A94" t="s">
        <v>88</v>
      </c>
      <c r="B94" t="s">
        <v>124</v>
      </c>
      <c r="C94">
        <v>602</v>
      </c>
      <c r="D94">
        <v>402.4</v>
      </c>
      <c r="E94">
        <v>219</v>
      </c>
      <c r="F94" s="5">
        <f t="shared" si="1"/>
        <v>1.4960238568588471</v>
      </c>
      <c r="G94">
        <v>12</v>
      </c>
    </row>
    <row r="95" spans="1:8" ht="15" customHeight="1" x14ac:dyDescent="0.35">
      <c r="A95" t="s">
        <v>88</v>
      </c>
      <c r="B95" t="s">
        <v>71</v>
      </c>
      <c r="C95">
        <v>632</v>
      </c>
      <c r="D95">
        <v>446.4</v>
      </c>
      <c r="E95">
        <v>243</v>
      </c>
      <c r="F95" s="5">
        <f t="shared" si="1"/>
        <v>1.4157706093189966</v>
      </c>
      <c r="G95">
        <v>12</v>
      </c>
    </row>
    <row r="96" spans="1:8" ht="15" customHeight="1" x14ac:dyDescent="0.35">
      <c r="A96" t="s">
        <v>88</v>
      </c>
      <c r="B96" t="s">
        <v>72</v>
      </c>
      <c r="C96">
        <v>593</v>
      </c>
      <c r="D96">
        <v>392.1</v>
      </c>
      <c r="E96">
        <v>184</v>
      </c>
      <c r="F96" s="5">
        <f t="shared" si="1"/>
        <v>1.5123692935475643</v>
      </c>
      <c r="G96">
        <v>12</v>
      </c>
    </row>
    <row r="97" spans="1:8" ht="15" customHeight="1" x14ac:dyDescent="0.35">
      <c r="A97" t="s">
        <v>88</v>
      </c>
      <c r="B97" t="s">
        <v>73</v>
      </c>
      <c r="C97">
        <v>587</v>
      </c>
      <c r="D97">
        <v>418.1</v>
      </c>
      <c r="E97">
        <v>171</v>
      </c>
      <c r="F97" s="5">
        <f t="shared" si="1"/>
        <v>1.4039703420234393</v>
      </c>
      <c r="G97">
        <v>12</v>
      </c>
    </row>
    <row r="98" spans="1:8" ht="15" customHeight="1" x14ac:dyDescent="0.35">
      <c r="A98" t="s">
        <v>88</v>
      </c>
      <c r="B98" t="s">
        <v>74</v>
      </c>
      <c r="C98">
        <v>675</v>
      </c>
      <c r="D98">
        <v>448.3</v>
      </c>
      <c r="E98">
        <v>219</v>
      </c>
      <c r="F98" s="5">
        <f t="shared" si="1"/>
        <v>1.5056881552531787</v>
      </c>
      <c r="G98">
        <v>12</v>
      </c>
    </row>
    <row r="99" spans="1:8" ht="15" customHeight="1" x14ac:dyDescent="0.35">
      <c r="A99" t="s">
        <v>88</v>
      </c>
      <c r="B99" t="s">
        <v>75</v>
      </c>
      <c r="C99">
        <v>702</v>
      </c>
      <c r="D99">
        <v>483.6</v>
      </c>
      <c r="E99">
        <v>208</v>
      </c>
      <c r="F99" s="5">
        <f t="shared" si="1"/>
        <v>1.4516129032258063</v>
      </c>
      <c r="G99">
        <v>12</v>
      </c>
    </row>
    <row r="100" spans="1:8" ht="15" customHeight="1" x14ac:dyDescent="0.35">
      <c r="A100" t="s">
        <v>88</v>
      </c>
      <c r="B100" t="s">
        <v>77</v>
      </c>
      <c r="C100">
        <v>743</v>
      </c>
      <c r="D100">
        <v>488.2</v>
      </c>
      <c r="E100">
        <v>245</v>
      </c>
      <c r="F100" s="5">
        <f t="shared" si="1"/>
        <v>1.5219172470299058</v>
      </c>
      <c r="G100">
        <v>12</v>
      </c>
    </row>
    <row r="101" spans="1:8" ht="15" customHeight="1" x14ac:dyDescent="0.35">
      <c r="A101" t="s">
        <v>88</v>
      </c>
      <c r="B101" t="s">
        <v>78</v>
      </c>
      <c r="C101">
        <v>716</v>
      </c>
      <c r="D101">
        <v>507.8</v>
      </c>
      <c r="E101">
        <v>315</v>
      </c>
      <c r="F101" s="5">
        <f t="shared" si="1"/>
        <v>1.4100039385584875</v>
      </c>
      <c r="G101">
        <v>12</v>
      </c>
    </row>
    <row r="102" spans="1:8" ht="15" customHeight="1" x14ac:dyDescent="0.35">
      <c r="A102" t="s">
        <v>89</v>
      </c>
      <c r="B102" t="s">
        <v>122</v>
      </c>
      <c r="C102">
        <v>14717</v>
      </c>
      <c r="D102">
        <v>11856.3</v>
      </c>
      <c r="E102">
        <v>7230</v>
      </c>
      <c r="F102" s="5">
        <f t="shared" si="1"/>
        <v>1.2412810067221647</v>
      </c>
      <c r="G102">
        <v>3</v>
      </c>
      <c r="H102" t="s">
        <v>200</v>
      </c>
    </row>
    <row r="103" spans="1:8" ht="15" customHeight="1" x14ac:dyDescent="0.35">
      <c r="A103" t="s">
        <v>89</v>
      </c>
      <c r="B103" t="s">
        <v>123</v>
      </c>
      <c r="C103">
        <v>16536</v>
      </c>
      <c r="D103">
        <v>12213.2</v>
      </c>
      <c r="E103">
        <v>7450</v>
      </c>
      <c r="F103" s="5">
        <f t="shared" si="1"/>
        <v>1.3539449120623588</v>
      </c>
      <c r="G103">
        <v>12</v>
      </c>
    </row>
    <row r="104" spans="1:8" ht="15" customHeight="1" x14ac:dyDescent="0.35">
      <c r="A104" t="s">
        <v>89</v>
      </c>
      <c r="B104" t="s">
        <v>124</v>
      </c>
      <c r="C104">
        <v>18015</v>
      </c>
      <c r="D104">
        <v>13795.2</v>
      </c>
      <c r="E104">
        <v>8932</v>
      </c>
      <c r="F104" s="5">
        <f t="shared" si="1"/>
        <v>1.3058890048712595</v>
      </c>
      <c r="G104">
        <v>12</v>
      </c>
    </row>
    <row r="105" spans="1:8" ht="15" customHeight="1" x14ac:dyDescent="0.35">
      <c r="A105" t="s">
        <v>89</v>
      </c>
      <c r="B105" t="s">
        <v>71</v>
      </c>
      <c r="C105">
        <v>18391</v>
      </c>
      <c r="D105">
        <v>13580.3</v>
      </c>
      <c r="E105">
        <v>6511</v>
      </c>
      <c r="F105" s="5">
        <f t="shared" si="1"/>
        <v>1.354241069784909</v>
      </c>
      <c r="G105">
        <v>12</v>
      </c>
    </row>
    <row r="106" spans="1:8" ht="15" customHeight="1" x14ac:dyDescent="0.35">
      <c r="A106" t="s">
        <v>89</v>
      </c>
      <c r="B106" t="s">
        <v>72</v>
      </c>
      <c r="C106">
        <v>18290</v>
      </c>
      <c r="D106">
        <v>13250.7</v>
      </c>
      <c r="E106">
        <v>8025</v>
      </c>
      <c r="F106" s="5">
        <f t="shared" si="1"/>
        <v>1.3803044367467379</v>
      </c>
      <c r="G106">
        <v>12</v>
      </c>
    </row>
    <row r="107" spans="1:8" ht="15" customHeight="1" x14ac:dyDescent="0.35">
      <c r="A107" t="s">
        <v>89</v>
      </c>
      <c r="B107" t="s">
        <v>73</v>
      </c>
      <c r="C107">
        <v>19416</v>
      </c>
      <c r="D107">
        <v>14711.6</v>
      </c>
      <c r="E107">
        <v>5686</v>
      </c>
      <c r="F107" s="5">
        <f t="shared" si="1"/>
        <v>1.3197748715299491</v>
      </c>
      <c r="G107">
        <v>12</v>
      </c>
    </row>
    <row r="108" spans="1:8" ht="15" customHeight="1" x14ac:dyDescent="0.35">
      <c r="A108" t="s">
        <v>89</v>
      </c>
      <c r="B108" t="s">
        <v>74</v>
      </c>
      <c r="C108">
        <v>21202</v>
      </c>
      <c r="D108">
        <v>16068.8</v>
      </c>
      <c r="E108">
        <v>9671</v>
      </c>
      <c r="F108" s="5">
        <f t="shared" si="1"/>
        <v>1.3194513591556309</v>
      </c>
      <c r="G108">
        <v>12</v>
      </c>
    </row>
    <row r="109" spans="1:8" ht="15" customHeight="1" x14ac:dyDescent="0.35">
      <c r="A109" t="s">
        <v>89</v>
      </c>
      <c r="B109" t="s">
        <v>75</v>
      </c>
      <c r="C109">
        <v>24184</v>
      </c>
      <c r="D109">
        <v>17058.8</v>
      </c>
      <c r="E109">
        <v>9076</v>
      </c>
      <c r="F109" s="5">
        <f t="shared" si="1"/>
        <v>1.4176847140478814</v>
      </c>
      <c r="G109">
        <v>12</v>
      </c>
    </row>
    <row r="110" spans="1:8" ht="15" customHeight="1" x14ac:dyDescent="0.35">
      <c r="A110" t="s">
        <v>89</v>
      </c>
      <c r="B110" t="s">
        <v>77</v>
      </c>
      <c r="C110">
        <v>26054</v>
      </c>
      <c r="D110">
        <v>17693.7</v>
      </c>
      <c r="E110">
        <v>9707</v>
      </c>
      <c r="F110" s="5">
        <f t="shared" si="1"/>
        <v>1.4725015118375466</v>
      </c>
      <c r="G110">
        <v>12</v>
      </c>
    </row>
    <row r="111" spans="1:8" ht="15" customHeight="1" x14ac:dyDescent="0.35">
      <c r="A111" t="s">
        <v>89</v>
      </c>
      <c r="B111" t="s">
        <v>78</v>
      </c>
      <c r="C111">
        <v>26503</v>
      </c>
      <c r="D111">
        <v>18163.2</v>
      </c>
      <c r="E111">
        <v>10146</v>
      </c>
      <c r="F111" s="5">
        <f t="shared" si="1"/>
        <v>1.4591591789992953</v>
      </c>
      <c r="G111">
        <v>12</v>
      </c>
    </row>
    <row r="112" spans="1:8" ht="15" customHeight="1" x14ac:dyDescent="0.35">
      <c r="A112" t="s">
        <v>90</v>
      </c>
      <c r="B112" t="s">
        <v>122</v>
      </c>
      <c r="C112">
        <v>6625</v>
      </c>
      <c r="D112">
        <v>4741.7</v>
      </c>
      <c r="E112">
        <v>1632</v>
      </c>
      <c r="F112" s="5">
        <f t="shared" si="1"/>
        <v>1.3971782272180864</v>
      </c>
      <c r="G112">
        <v>3</v>
      </c>
      <c r="H112" t="s">
        <v>200</v>
      </c>
    </row>
    <row r="113" spans="1:8" ht="15" customHeight="1" x14ac:dyDescent="0.35">
      <c r="A113" t="s">
        <v>90</v>
      </c>
      <c r="B113" t="s">
        <v>123</v>
      </c>
      <c r="C113">
        <v>9461</v>
      </c>
      <c r="D113">
        <v>5776.4</v>
      </c>
      <c r="E113">
        <v>2018</v>
      </c>
      <c r="F113" s="5">
        <f t="shared" si="1"/>
        <v>1.6378713385499619</v>
      </c>
      <c r="G113">
        <v>12</v>
      </c>
    </row>
    <row r="114" spans="1:8" ht="15" customHeight="1" x14ac:dyDescent="0.35">
      <c r="A114" t="s">
        <v>90</v>
      </c>
      <c r="B114" t="s">
        <v>124</v>
      </c>
      <c r="C114">
        <v>10120</v>
      </c>
      <c r="D114">
        <v>5835.5</v>
      </c>
      <c r="E114">
        <v>1992</v>
      </c>
      <c r="F114" s="5">
        <f t="shared" si="1"/>
        <v>1.7342130065975494</v>
      </c>
      <c r="G114">
        <v>12</v>
      </c>
    </row>
    <row r="115" spans="1:8" ht="15" customHeight="1" x14ac:dyDescent="0.35">
      <c r="A115" t="s">
        <v>90</v>
      </c>
      <c r="B115" t="s">
        <v>71</v>
      </c>
      <c r="C115">
        <v>10838</v>
      </c>
      <c r="D115">
        <v>6135.9</v>
      </c>
      <c r="E115">
        <v>1846</v>
      </c>
      <c r="F115" s="5">
        <f t="shared" si="1"/>
        <v>1.7663260483384671</v>
      </c>
      <c r="G115">
        <v>12</v>
      </c>
    </row>
    <row r="116" spans="1:8" ht="15" customHeight="1" x14ac:dyDescent="0.35">
      <c r="A116" t="s">
        <v>90</v>
      </c>
      <c r="B116" t="s">
        <v>72</v>
      </c>
      <c r="C116">
        <v>10837</v>
      </c>
      <c r="D116">
        <v>6039.4</v>
      </c>
      <c r="E116">
        <v>1306</v>
      </c>
      <c r="F116" s="5">
        <f t="shared" si="1"/>
        <v>1.7943835480345731</v>
      </c>
      <c r="G116">
        <v>12</v>
      </c>
    </row>
    <row r="117" spans="1:8" ht="15" customHeight="1" x14ac:dyDescent="0.35">
      <c r="A117" t="s">
        <v>90</v>
      </c>
      <c r="B117" t="s">
        <v>73</v>
      </c>
      <c r="C117">
        <v>12090</v>
      </c>
      <c r="D117">
        <v>6332.5</v>
      </c>
      <c r="E117">
        <v>1958</v>
      </c>
      <c r="F117" s="5">
        <f t="shared" si="1"/>
        <v>1.9091985787603631</v>
      </c>
      <c r="G117">
        <v>12</v>
      </c>
    </row>
    <row r="118" spans="1:8" ht="15" customHeight="1" x14ac:dyDescent="0.35">
      <c r="A118" t="s">
        <v>90</v>
      </c>
      <c r="B118" t="s">
        <v>74</v>
      </c>
      <c r="C118">
        <v>12312</v>
      </c>
      <c r="D118">
        <v>6921.2</v>
      </c>
      <c r="E118">
        <v>2523</v>
      </c>
      <c r="F118" s="5">
        <f t="shared" si="1"/>
        <v>1.7788822747500435</v>
      </c>
      <c r="G118">
        <v>12</v>
      </c>
    </row>
    <row r="119" spans="1:8" ht="15" customHeight="1" x14ac:dyDescent="0.35">
      <c r="A119" t="s">
        <v>90</v>
      </c>
      <c r="B119" t="s">
        <v>75</v>
      </c>
      <c r="C119">
        <v>12720</v>
      </c>
      <c r="D119">
        <v>7288.2</v>
      </c>
      <c r="E119">
        <v>2847</v>
      </c>
      <c r="F119" s="5">
        <f t="shared" si="1"/>
        <v>1.7452869021157489</v>
      </c>
      <c r="G119">
        <v>12</v>
      </c>
    </row>
    <row r="120" spans="1:8" ht="15" customHeight="1" x14ac:dyDescent="0.35">
      <c r="A120" t="s">
        <v>90</v>
      </c>
      <c r="B120" t="s">
        <v>77</v>
      </c>
      <c r="C120">
        <v>14740</v>
      </c>
      <c r="D120">
        <v>8029.4</v>
      </c>
      <c r="E120">
        <v>2798</v>
      </c>
      <c r="F120" s="5">
        <f t="shared" si="1"/>
        <v>1.8357536054997883</v>
      </c>
      <c r="G120">
        <v>12</v>
      </c>
    </row>
    <row r="121" spans="1:8" ht="15" customHeight="1" x14ac:dyDescent="0.35">
      <c r="A121" t="s">
        <v>90</v>
      </c>
      <c r="B121" t="s">
        <v>78</v>
      </c>
      <c r="C121">
        <v>14166</v>
      </c>
      <c r="D121">
        <v>8173.8</v>
      </c>
      <c r="E121">
        <v>2454</v>
      </c>
      <c r="F121" s="5">
        <f t="shared" si="1"/>
        <v>1.7330984364677384</v>
      </c>
      <c r="G121">
        <v>12</v>
      </c>
    </row>
    <row r="122" spans="1:8" ht="15" customHeight="1" x14ac:dyDescent="0.35">
      <c r="A122" t="s">
        <v>91</v>
      </c>
      <c r="B122" t="s">
        <v>122</v>
      </c>
      <c r="C122">
        <v>1512</v>
      </c>
      <c r="D122">
        <v>964.7</v>
      </c>
      <c r="E122">
        <v>352</v>
      </c>
      <c r="F122" s="5">
        <f t="shared" si="1"/>
        <v>1.5673266300404269</v>
      </c>
      <c r="G122">
        <v>3</v>
      </c>
      <c r="H122" t="s">
        <v>200</v>
      </c>
    </row>
    <row r="123" spans="1:8" ht="15" customHeight="1" x14ac:dyDescent="0.35">
      <c r="A123" t="s">
        <v>91</v>
      </c>
      <c r="B123" t="s">
        <v>123</v>
      </c>
      <c r="C123">
        <v>1585</v>
      </c>
      <c r="D123">
        <v>1073.8</v>
      </c>
      <c r="E123">
        <v>366</v>
      </c>
      <c r="F123" s="5">
        <f t="shared" si="1"/>
        <v>1.4760663065747812</v>
      </c>
      <c r="G123">
        <v>12</v>
      </c>
    </row>
    <row r="124" spans="1:8" ht="15" customHeight="1" x14ac:dyDescent="0.35">
      <c r="A124" t="s">
        <v>91</v>
      </c>
      <c r="B124" t="s">
        <v>124</v>
      </c>
      <c r="C124">
        <v>1701</v>
      </c>
      <c r="D124">
        <v>1124.8</v>
      </c>
      <c r="E124">
        <v>417</v>
      </c>
      <c r="F124" s="5">
        <f t="shared" si="1"/>
        <v>1.5122688477951636</v>
      </c>
      <c r="G124">
        <v>12</v>
      </c>
    </row>
    <row r="125" spans="1:8" ht="15" customHeight="1" x14ac:dyDescent="0.35">
      <c r="A125" t="s">
        <v>91</v>
      </c>
      <c r="B125" t="s">
        <v>71</v>
      </c>
      <c r="C125">
        <v>1913</v>
      </c>
      <c r="D125">
        <v>1125.7</v>
      </c>
      <c r="E125">
        <v>386</v>
      </c>
      <c r="F125" s="5">
        <f t="shared" si="1"/>
        <v>1.6993870480589854</v>
      </c>
      <c r="G125">
        <v>12</v>
      </c>
    </row>
    <row r="126" spans="1:8" ht="15" customHeight="1" x14ac:dyDescent="0.35">
      <c r="A126" t="s">
        <v>91</v>
      </c>
      <c r="B126" t="s">
        <v>72</v>
      </c>
      <c r="C126">
        <v>1924</v>
      </c>
      <c r="D126">
        <v>1153.5999999999999</v>
      </c>
      <c r="E126">
        <v>270</v>
      </c>
      <c r="F126" s="5">
        <f t="shared" si="1"/>
        <v>1.6678224687933427</v>
      </c>
      <c r="G126">
        <v>12</v>
      </c>
    </row>
    <row r="127" spans="1:8" ht="15" customHeight="1" x14ac:dyDescent="0.35">
      <c r="A127" t="s">
        <v>91</v>
      </c>
      <c r="B127" t="s">
        <v>73</v>
      </c>
      <c r="C127">
        <v>2025</v>
      </c>
      <c r="D127">
        <v>1250.7</v>
      </c>
      <c r="E127">
        <v>439</v>
      </c>
      <c r="F127" s="5">
        <f t="shared" si="1"/>
        <v>1.6190933077476612</v>
      </c>
      <c r="G127">
        <v>12</v>
      </c>
    </row>
    <row r="128" spans="1:8" ht="15" customHeight="1" x14ac:dyDescent="0.35">
      <c r="A128" t="s">
        <v>91</v>
      </c>
      <c r="B128" t="s">
        <v>74</v>
      </c>
      <c r="C128">
        <v>2017</v>
      </c>
      <c r="D128">
        <v>1347.3</v>
      </c>
      <c r="E128">
        <v>478</v>
      </c>
      <c r="F128" s="5">
        <f t="shared" si="1"/>
        <v>1.4970682104950643</v>
      </c>
      <c r="G128">
        <v>12</v>
      </c>
    </row>
    <row r="129" spans="1:8" ht="15" customHeight="1" x14ac:dyDescent="0.35">
      <c r="A129" t="s">
        <v>91</v>
      </c>
      <c r="B129" t="s">
        <v>75</v>
      </c>
      <c r="C129">
        <v>2107</v>
      </c>
      <c r="D129">
        <v>1320</v>
      </c>
      <c r="E129">
        <v>398</v>
      </c>
      <c r="F129" s="5">
        <f t="shared" si="1"/>
        <v>1.5962121212121212</v>
      </c>
      <c r="G129">
        <v>12</v>
      </c>
    </row>
    <row r="130" spans="1:8" ht="15" customHeight="1" x14ac:dyDescent="0.35">
      <c r="A130" t="s">
        <v>91</v>
      </c>
      <c r="B130" t="s">
        <v>77</v>
      </c>
      <c r="C130">
        <v>2150</v>
      </c>
      <c r="D130">
        <v>1451.1</v>
      </c>
      <c r="E130">
        <v>543</v>
      </c>
      <c r="F130" s="5">
        <f t="shared" ref="F130:F193" si="2">IF(D130=0,"",C130/D130)</f>
        <v>1.4816346220108885</v>
      </c>
      <c r="G130">
        <v>12</v>
      </c>
    </row>
    <row r="131" spans="1:8" ht="15" customHeight="1" x14ac:dyDescent="0.35">
      <c r="A131" t="s">
        <v>91</v>
      </c>
      <c r="B131" t="s">
        <v>78</v>
      </c>
      <c r="C131">
        <v>2279</v>
      </c>
      <c r="D131">
        <v>1415.1</v>
      </c>
      <c r="E131">
        <v>454</v>
      </c>
      <c r="F131" s="5">
        <f t="shared" si="2"/>
        <v>1.6104868913857679</v>
      </c>
      <c r="G131">
        <v>12</v>
      </c>
    </row>
    <row r="132" spans="1:8" ht="15" customHeight="1" x14ac:dyDescent="0.35">
      <c r="A132" t="s">
        <v>92</v>
      </c>
      <c r="B132" t="s">
        <v>122</v>
      </c>
      <c r="C132">
        <v>2090</v>
      </c>
      <c r="D132">
        <v>1717.7</v>
      </c>
      <c r="E132">
        <v>457</v>
      </c>
      <c r="F132" s="5">
        <f t="shared" si="2"/>
        <v>1.2167433195552191</v>
      </c>
      <c r="G132">
        <v>3</v>
      </c>
      <c r="H132" t="s">
        <v>200</v>
      </c>
    </row>
    <row r="133" spans="1:8" ht="15" customHeight="1" x14ac:dyDescent="0.35">
      <c r="A133" t="s">
        <v>92</v>
      </c>
      <c r="B133" t="s">
        <v>123</v>
      </c>
      <c r="C133">
        <v>2208</v>
      </c>
      <c r="D133">
        <v>1652.2</v>
      </c>
      <c r="E133">
        <v>530</v>
      </c>
      <c r="F133" s="5">
        <f t="shared" si="2"/>
        <v>1.3363999515797118</v>
      </c>
      <c r="G133">
        <v>12</v>
      </c>
    </row>
    <row r="134" spans="1:8" ht="15" customHeight="1" x14ac:dyDescent="0.35">
      <c r="A134" t="s">
        <v>92</v>
      </c>
      <c r="B134" t="s">
        <v>124</v>
      </c>
      <c r="C134">
        <v>2607</v>
      </c>
      <c r="D134">
        <v>1847.7</v>
      </c>
      <c r="E134">
        <v>389</v>
      </c>
      <c r="F134" s="5">
        <f t="shared" si="2"/>
        <v>1.4109433349569735</v>
      </c>
      <c r="G134">
        <v>12</v>
      </c>
    </row>
    <row r="135" spans="1:8" ht="15" customHeight="1" x14ac:dyDescent="0.35">
      <c r="A135" t="s">
        <v>92</v>
      </c>
      <c r="B135" t="s">
        <v>71</v>
      </c>
      <c r="C135">
        <v>2739</v>
      </c>
      <c r="D135">
        <v>1885.4</v>
      </c>
      <c r="E135">
        <v>115</v>
      </c>
      <c r="F135" s="5">
        <f t="shared" si="2"/>
        <v>1.4527421236872811</v>
      </c>
      <c r="G135">
        <v>12</v>
      </c>
    </row>
    <row r="136" spans="1:8" ht="15" customHeight="1" x14ac:dyDescent="0.35">
      <c r="A136" t="s">
        <v>92</v>
      </c>
      <c r="B136" t="s">
        <v>72</v>
      </c>
      <c r="C136">
        <v>2689</v>
      </c>
      <c r="D136">
        <v>1976.5</v>
      </c>
      <c r="E136">
        <v>456</v>
      </c>
      <c r="F136" s="5">
        <f t="shared" si="2"/>
        <v>1.3604857070579306</v>
      </c>
      <c r="G136">
        <v>12</v>
      </c>
    </row>
    <row r="137" spans="1:8" ht="15" customHeight="1" x14ac:dyDescent="0.35">
      <c r="A137" t="s">
        <v>92</v>
      </c>
      <c r="B137" t="s">
        <v>73</v>
      </c>
      <c r="C137">
        <v>3137</v>
      </c>
      <c r="D137">
        <v>2130.8000000000002</v>
      </c>
      <c r="E137">
        <v>569</v>
      </c>
      <c r="F137" s="5">
        <f t="shared" si="2"/>
        <v>1.4722170076966397</v>
      </c>
      <c r="G137">
        <v>12</v>
      </c>
    </row>
    <row r="138" spans="1:8" ht="15" customHeight="1" x14ac:dyDescent="0.35">
      <c r="A138" t="s">
        <v>92</v>
      </c>
      <c r="B138" t="s">
        <v>74</v>
      </c>
      <c r="C138">
        <v>3072</v>
      </c>
      <c r="D138">
        <v>2216.6</v>
      </c>
      <c r="E138">
        <v>487</v>
      </c>
      <c r="F138" s="5">
        <f t="shared" si="2"/>
        <v>1.3859063430479113</v>
      </c>
      <c r="G138">
        <v>12</v>
      </c>
    </row>
    <row r="139" spans="1:8" ht="15" customHeight="1" x14ac:dyDescent="0.35">
      <c r="A139" t="s">
        <v>92</v>
      </c>
      <c r="B139" t="s">
        <v>75</v>
      </c>
      <c r="C139">
        <v>3156</v>
      </c>
      <c r="D139">
        <v>2211.1999999999998</v>
      </c>
      <c r="E139">
        <v>685</v>
      </c>
      <c r="F139" s="5">
        <f t="shared" si="2"/>
        <v>1.4272793053545587</v>
      </c>
      <c r="G139">
        <v>12</v>
      </c>
    </row>
    <row r="140" spans="1:8" ht="15" customHeight="1" x14ac:dyDescent="0.35">
      <c r="A140" t="s">
        <v>92</v>
      </c>
      <c r="B140" t="s">
        <v>77</v>
      </c>
      <c r="C140">
        <v>3396</v>
      </c>
      <c r="D140">
        <v>2341.9</v>
      </c>
      <c r="E140">
        <v>931</v>
      </c>
      <c r="F140" s="5">
        <f t="shared" si="2"/>
        <v>1.4501046159101583</v>
      </c>
      <c r="G140">
        <v>12</v>
      </c>
    </row>
    <row r="141" spans="1:8" ht="15" customHeight="1" x14ac:dyDescent="0.35">
      <c r="A141" t="s">
        <v>92</v>
      </c>
      <c r="B141" t="s">
        <v>78</v>
      </c>
      <c r="C141">
        <v>3338</v>
      </c>
      <c r="D141">
        <v>2316.3000000000002</v>
      </c>
      <c r="E141">
        <v>46</v>
      </c>
      <c r="F141" s="5">
        <f t="shared" si="2"/>
        <v>1.4410913957604801</v>
      </c>
      <c r="G141">
        <v>12</v>
      </c>
    </row>
    <row r="142" spans="1:8" ht="15" customHeight="1" x14ac:dyDescent="0.35">
      <c r="A142" t="s">
        <v>93</v>
      </c>
      <c r="B142" t="s">
        <v>122</v>
      </c>
      <c r="C142">
        <v>1153</v>
      </c>
      <c r="D142">
        <v>875.3</v>
      </c>
      <c r="E142">
        <v>525</v>
      </c>
      <c r="F142" s="5">
        <f t="shared" si="2"/>
        <v>1.3172626528047526</v>
      </c>
      <c r="G142">
        <v>3</v>
      </c>
      <c r="H142" t="s">
        <v>200</v>
      </c>
    </row>
    <row r="143" spans="1:8" ht="15" customHeight="1" x14ac:dyDescent="0.35">
      <c r="A143" t="s">
        <v>93</v>
      </c>
      <c r="B143" t="s">
        <v>123</v>
      </c>
      <c r="C143">
        <v>1191</v>
      </c>
      <c r="D143">
        <v>857.6</v>
      </c>
      <c r="E143">
        <v>323</v>
      </c>
      <c r="F143" s="5">
        <f t="shared" si="2"/>
        <v>1.3887593283582089</v>
      </c>
      <c r="G143">
        <v>12</v>
      </c>
    </row>
    <row r="144" spans="1:8" ht="15" customHeight="1" x14ac:dyDescent="0.35">
      <c r="A144" t="s">
        <v>93</v>
      </c>
      <c r="B144" t="s">
        <v>124</v>
      </c>
      <c r="C144">
        <v>1285</v>
      </c>
      <c r="D144">
        <v>886.3</v>
      </c>
      <c r="E144">
        <v>334</v>
      </c>
      <c r="F144" s="5">
        <f t="shared" si="2"/>
        <v>1.449847681371996</v>
      </c>
      <c r="G144">
        <v>12</v>
      </c>
    </row>
    <row r="145" spans="1:8" ht="15" customHeight="1" x14ac:dyDescent="0.35">
      <c r="A145" t="s">
        <v>93</v>
      </c>
      <c r="B145" t="s">
        <v>71</v>
      </c>
      <c r="C145">
        <v>1319</v>
      </c>
      <c r="D145">
        <v>950.2</v>
      </c>
      <c r="E145">
        <v>323</v>
      </c>
      <c r="F145" s="5">
        <f t="shared" si="2"/>
        <v>1.3881288149863187</v>
      </c>
      <c r="G145">
        <v>12</v>
      </c>
    </row>
    <row r="146" spans="1:8" ht="15" customHeight="1" x14ac:dyDescent="0.35">
      <c r="A146" t="s">
        <v>93</v>
      </c>
      <c r="B146" t="s">
        <v>72</v>
      </c>
      <c r="C146">
        <v>1609</v>
      </c>
      <c r="D146">
        <v>1125</v>
      </c>
      <c r="E146">
        <v>410</v>
      </c>
      <c r="F146" s="5">
        <f t="shared" si="2"/>
        <v>1.4302222222222223</v>
      </c>
      <c r="G146">
        <v>12</v>
      </c>
    </row>
    <row r="147" spans="1:8" ht="15" customHeight="1" x14ac:dyDescent="0.35">
      <c r="A147" t="s">
        <v>93</v>
      </c>
      <c r="B147" t="s">
        <v>73</v>
      </c>
      <c r="C147">
        <v>1609</v>
      </c>
      <c r="D147">
        <v>1205.7</v>
      </c>
      <c r="E147">
        <v>482</v>
      </c>
      <c r="F147" s="5">
        <f t="shared" si="2"/>
        <v>1.3344944845318072</v>
      </c>
      <c r="G147">
        <v>12</v>
      </c>
    </row>
    <row r="148" spans="1:8" ht="15" customHeight="1" x14ac:dyDescent="0.35">
      <c r="A148" t="s">
        <v>93</v>
      </c>
      <c r="B148" t="s">
        <v>74</v>
      </c>
      <c r="C148">
        <v>1774</v>
      </c>
      <c r="D148">
        <v>1231.2</v>
      </c>
      <c r="E148">
        <v>452</v>
      </c>
      <c r="F148" s="5">
        <f t="shared" si="2"/>
        <v>1.4408706952566601</v>
      </c>
      <c r="G148">
        <v>12</v>
      </c>
    </row>
    <row r="149" spans="1:8" ht="15" customHeight="1" x14ac:dyDescent="0.35">
      <c r="A149" t="s">
        <v>93</v>
      </c>
      <c r="B149" t="s">
        <v>75</v>
      </c>
      <c r="C149">
        <v>1919</v>
      </c>
      <c r="D149">
        <v>1362.5</v>
      </c>
      <c r="E149">
        <v>700</v>
      </c>
      <c r="F149" s="5">
        <f t="shared" si="2"/>
        <v>1.408440366972477</v>
      </c>
      <c r="G149">
        <v>12</v>
      </c>
    </row>
    <row r="150" spans="1:8" ht="15" customHeight="1" x14ac:dyDescent="0.35">
      <c r="A150" t="s">
        <v>93</v>
      </c>
      <c r="B150" t="s">
        <v>77</v>
      </c>
      <c r="C150">
        <v>2094</v>
      </c>
      <c r="D150">
        <v>1536.1</v>
      </c>
      <c r="E150">
        <v>656</v>
      </c>
      <c r="F150" s="5">
        <f t="shared" si="2"/>
        <v>1.3631925004882495</v>
      </c>
      <c r="G150">
        <v>12</v>
      </c>
    </row>
    <row r="151" spans="1:8" ht="15" customHeight="1" x14ac:dyDescent="0.35">
      <c r="A151" t="s">
        <v>93</v>
      </c>
      <c r="B151" t="s">
        <v>78</v>
      </c>
      <c r="C151">
        <v>2146</v>
      </c>
      <c r="D151">
        <v>1587</v>
      </c>
      <c r="E151">
        <v>560</v>
      </c>
      <c r="F151" s="5">
        <f t="shared" si="2"/>
        <v>1.3522369250157531</v>
      </c>
      <c r="G151">
        <v>12</v>
      </c>
    </row>
    <row r="152" spans="1:8" ht="15" customHeight="1" x14ac:dyDescent="0.35">
      <c r="A152" t="s">
        <v>94</v>
      </c>
      <c r="B152" t="s">
        <v>122</v>
      </c>
      <c r="C152">
        <v>9455</v>
      </c>
      <c r="D152">
        <v>8016</v>
      </c>
      <c r="E152">
        <v>6207</v>
      </c>
      <c r="F152" s="5">
        <f t="shared" si="2"/>
        <v>1.1795159680638723</v>
      </c>
      <c r="G152">
        <v>3</v>
      </c>
      <c r="H152" t="s">
        <v>200</v>
      </c>
    </row>
    <row r="153" spans="1:8" ht="15" customHeight="1" x14ac:dyDescent="0.35">
      <c r="A153" t="s">
        <v>94</v>
      </c>
      <c r="B153" t="s">
        <v>123</v>
      </c>
      <c r="C153">
        <v>10631</v>
      </c>
      <c r="D153">
        <v>7620.2</v>
      </c>
      <c r="E153">
        <v>3843</v>
      </c>
      <c r="F153" s="5">
        <f t="shared" si="2"/>
        <v>1.3951077399543319</v>
      </c>
      <c r="G153">
        <v>12</v>
      </c>
    </row>
    <row r="154" spans="1:8" ht="15" customHeight="1" x14ac:dyDescent="0.35">
      <c r="A154" t="s">
        <v>94</v>
      </c>
      <c r="B154" t="s">
        <v>124</v>
      </c>
      <c r="C154">
        <v>11630</v>
      </c>
      <c r="D154">
        <v>8104.6</v>
      </c>
      <c r="E154">
        <v>4192</v>
      </c>
      <c r="F154" s="5">
        <f t="shared" si="2"/>
        <v>1.4349875379414159</v>
      </c>
      <c r="G154">
        <v>12</v>
      </c>
    </row>
    <row r="155" spans="1:8" ht="15" customHeight="1" x14ac:dyDescent="0.35">
      <c r="A155" t="s">
        <v>94</v>
      </c>
      <c r="B155" t="s">
        <v>71</v>
      </c>
      <c r="C155">
        <v>12422</v>
      </c>
      <c r="D155">
        <v>7864.2</v>
      </c>
      <c r="E155">
        <v>2567</v>
      </c>
      <c r="F155" s="5">
        <f t="shared" si="2"/>
        <v>1.5795630833396912</v>
      </c>
      <c r="G155">
        <v>12</v>
      </c>
    </row>
    <row r="156" spans="1:8" ht="15" customHeight="1" x14ac:dyDescent="0.35">
      <c r="A156" t="s">
        <v>94</v>
      </c>
      <c r="B156" t="s">
        <v>72</v>
      </c>
      <c r="C156">
        <v>14033</v>
      </c>
      <c r="D156">
        <v>7749.7</v>
      </c>
      <c r="E156">
        <v>3674</v>
      </c>
      <c r="F156" s="5">
        <f t="shared" si="2"/>
        <v>1.8107797721202112</v>
      </c>
      <c r="G156">
        <v>12</v>
      </c>
    </row>
    <row r="157" spans="1:8" ht="15" customHeight="1" x14ac:dyDescent="0.35">
      <c r="A157" t="s">
        <v>94</v>
      </c>
      <c r="B157" t="s">
        <v>73</v>
      </c>
      <c r="C157">
        <v>14752</v>
      </c>
      <c r="D157">
        <v>8267.2999999999993</v>
      </c>
      <c r="E157">
        <v>4092</v>
      </c>
      <c r="F157" s="5">
        <f t="shared" si="2"/>
        <v>1.7843794225442406</v>
      </c>
      <c r="G157">
        <v>12</v>
      </c>
    </row>
    <row r="158" spans="1:8" ht="15" customHeight="1" x14ac:dyDescent="0.35">
      <c r="A158" t="s">
        <v>94</v>
      </c>
      <c r="B158" t="s">
        <v>74</v>
      </c>
      <c r="C158">
        <v>15682</v>
      </c>
      <c r="D158">
        <v>8694</v>
      </c>
      <c r="E158">
        <v>3803</v>
      </c>
      <c r="F158" s="5">
        <f t="shared" si="2"/>
        <v>1.803772716816195</v>
      </c>
      <c r="G158">
        <v>12</v>
      </c>
    </row>
    <row r="159" spans="1:8" ht="15" customHeight="1" x14ac:dyDescent="0.35">
      <c r="A159" t="s">
        <v>94</v>
      </c>
      <c r="B159" t="s">
        <v>75</v>
      </c>
      <c r="C159">
        <v>17142</v>
      </c>
      <c r="D159">
        <v>10822.6</v>
      </c>
      <c r="E159">
        <v>4887</v>
      </c>
      <c r="F159" s="5">
        <f t="shared" si="2"/>
        <v>1.5839077486001514</v>
      </c>
      <c r="G159">
        <v>12</v>
      </c>
    </row>
    <row r="160" spans="1:8" ht="15" customHeight="1" x14ac:dyDescent="0.35">
      <c r="A160" t="s">
        <v>94</v>
      </c>
      <c r="B160" t="s">
        <v>77</v>
      </c>
      <c r="C160">
        <v>18317</v>
      </c>
      <c r="D160">
        <v>10595.9</v>
      </c>
      <c r="E160">
        <v>5107</v>
      </c>
      <c r="F160" s="5">
        <f t="shared" si="2"/>
        <v>1.7286875112071651</v>
      </c>
      <c r="G160">
        <v>12</v>
      </c>
    </row>
    <row r="161" spans="1:8" ht="15" customHeight="1" x14ac:dyDescent="0.35">
      <c r="A161" t="s">
        <v>94</v>
      </c>
      <c r="B161" t="s">
        <v>78</v>
      </c>
      <c r="C161">
        <v>17863</v>
      </c>
      <c r="D161">
        <v>10809.4</v>
      </c>
      <c r="E161">
        <v>4749</v>
      </c>
      <c r="F161" s="5">
        <f t="shared" si="2"/>
        <v>1.6525431568819731</v>
      </c>
      <c r="G161">
        <v>12</v>
      </c>
    </row>
    <row r="162" spans="1:8" ht="15" customHeight="1" x14ac:dyDescent="0.35">
      <c r="A162" t="s">
        <v>95</v>
      </c>
      <c r="B162" t="s">
        <v>122</v>
      </c>
      <c r="C162">
        <v>3801</v>
      </c>
      <c r="D162">
        <v>2748</v>
      </c>
      <c r="E162">
        <v>1984</v>
      </c>
      <c r="F162" s="5">
        <f t="shared" si="2"/>
        <v>1.3831877729257642</v>
      </c>
      <c r="G162">
        <v>3</v>
      </c>
      <c r="H162" t="s">
        <v>200</v>
      </c>
    </row>
    <row r="163" spans="1:8" ht="15" customHeight="1" x14ac:dyDescent="0.35">
      <c r="A163" t="s">
        <v>95</v>
      </c>
      <c r="B163" t="s">
        <v>123</v>
      </c>
      <c r="C163">
        <v>3881</v>
      </c>
      <c r="D163">
        <v>2729.7</v>
      </c>
      <c r="E163">
        <v>1660</v>
      </c>
      <c r="F163" s="5">
        <f t="shared" si="2"/>
        <v>1.4217679598490678</v>
      </c>
      <c r="G163">
        <v>12</v>
      </c>
    </row>
    <row r="164" spans="1:8" ht="15" customHeight="1" x14ac:dyDescent="0.35">
      <c r="A164" t="s">
        <v>95</v>
      </c>
      <c r="B164" t="s">
        <v>124</v>
      </c>
      <c r="C164">
        <v>4227</v>
      </c>
      <c r="D164">
        <v>2809.3</v>
      </c>
      <c r="E164">
        <v>1255</v>
      </c>
      <c r="F164" s="5">
        <f t="shared" si="2"/>
        <v>1.5046452853023884</v>
      </c>
      <c r="G164">
        <v>12</v>
      </c>
    </row>
    <row r="165" spans="1:8" ht="15" customHeight="1" x14ac:dyDescent="0.35">
      <c r="A165" t="s">
        <v>95</v>
      </c>
      <c r="B165" t="s">
        <v>71</v>
      </c>
      <c r="C165">
        <v>4305</v>
      </c>
      <c r="D165">
        <v>2951.8</v>
      </c>
      <c r="E165">
        <v>1292</v>
      </c>
      <c r="F165" s="5">
        <f t="shared" si="2"/>
        <v>1.4584321430991258</v>
      </c>
      <c r="G165">
        <v>12</v>
      </c>
    </row>
    <row r="166" spans="1:8" ht="15" customHeight="1" x14ac:dyDescent="0.35">
      <c r="A166" t="s">
        <v>95</v>
      </c>
      <c r="B166" t="s">
        <v>72</v>
      </c>
      <c r="C166">
        <v>4257</v>
      </c>
      <c r="D166">
        <v>2808.1</v>
      </c>
      <c r="E166">
        <v>1502</v>
      </c>
      <c r="F166" s="5">
        <f t="shared" si="2"/>
        <v>1.5159716534311456</v>
      </c>
      <c r="G166">
        <v>12</v>
      </c>
    </row>
    <row r="167" spans="1:8" ht="15" customHeight="1" x14ac:dyDescent="0.35">
      <c r="A167" t="s">
        <v>95</v>
      </c>
      <c r="B167" t="s">
        <v>73</v>
      </c>
      <c r="C167">
        <v>4350</v>
      </c>
      <c r="D167">
        <v>2960.6</v>
      </c>
      <c r="E167">
        <v>1505</v>
      </c>
      <c r="F167" s="5">
        <f t="shared" si="2"/>
        <v>1.4692967641694252</v>
      </c>
      <c r="G167">
        <v>12</v>
      </c>
    </row>
    <row r="168" spans="1:8" ht="15" customHeight="1" x14ac:dyDescent="0.35">
      <c r="A168" t="s">
        <v>95</v>
      </c>
      <c r="B168" t="s">
        <v>74</v>
      </c>
      <c r="C168">
        <v>4412</v>
      </c>
      <c r="D168">
        <v>3097.8</v>
      </c>
      <c r="E168">
        <v>1964</v>
      </c>
      <c r="F168" s="5">
        <f t="shared" si="2"/>
        <v>1.424236554974498</v>
      </c>
      <c r="G168">
        <v>12</v>
      </c>
    </row>
    <row r="169" spans="1:8" ht="15" customHeight="1" x14ac:dyDescent="0.35">
      <c r="A169" t="s">
        <v>95</v>
      </c>
      <c r="B169" t="s">
        <v>75</v>
      </c>
      <c r="C169">
        <v>5239</v>
      </c>
      <c r="D169">
        <v>3473.6</v>
      </c>
      <c r="E169">
        <v>1673</v>
      </c>
      <c r="F169" s="5">
        <f t="shared" si="2"/>
        <v>1.5082335329341319</v>
      </c>
      <c r="G169">
        <v>12</v>
      </c>
    </row>
    <row r="170" spans="1:8" ht="15" customHeight="1" x14ac:dyDescent="0.35">
      <c r="A170" t="s">
        <v>95</v>
      </c>
      <c r="B170" t="s">
        <v>77</v>
      </c>
      <c r="C170">
        <v>5762</v>
      </c>
      <c r="D170">
        <v>3514</v>
      </c>
      <c r="E170">
        <v>2082</v>
      </c>
      <c r="F170" s="5">
        <f t="shared" si="2"/>
        <v>1.6397268070574844</v>
      </c>
      <c r="G170">
        <v>12</v>
      </c>
    </row>
    <row r="171" spans="1:8" ht="15" customHeight="1" x14ac:dyDescent="0.35">
      <c r="A171" t="s">
        <v>95</v>
      </c>
      <c r="B171" t="s">
        <v>78</v>
      </c>
      <c r="C171">
        <v>5106</v>
      </c>
      <c r="D171">
        <v>3436.8</v>
      </c>
      <c r="E171">
        <v>1908</v>
      </c>
      <c r="F171" s="5">
        <f t="shared" si="2"/>
        <v>1.4856843575418994</v>
      </c>
      <c r="G171">
        <v>12</v>
      </c>
    </row>
    <row r="172" spans="1:8" ht="15" customHeight="1" x14ac:dyDescent="0.35">
      <c r="A172" t="s">
        <v>98</v>
      </c>
      <c r="B172" t="s">
        <v>122</v>
      </c>
      <c r="C172">
        <v>11396</v>
      </c>
      <c r="D172">
        <v>8064.7</v>
      </c>
      <c r="E172">
        <v>4904</v>
      </c>
      <c r="F172" s="5">
        <f t="shared" si="2"/>
        <v>1.4130717819633714</v>
      </c>
      <c r="G172">
        <v>3</v>
      </c>
      <c r="H172" t="s">
        <v>200</v>
      </c>
    </row>
    <row r="173" spans="1:8" ht="15" customHeight="1" x14ac:dyDescent="0.35">
      <c r="A173" t="s">
        <v>98</v>
      </c>
      <c r="B173" t="s">
        <v>123</v>
      </c>
      <c r="C173">
        <v>12397</v>
      </c>
      <c r="D173">
        <v>7730.8</v>
      </c>
      <c r="E173">
        <v>4349</v>
      </c>
      <c r="F173" s="5">
        <f t="shared" si="2"/>
        <v>1.6035856573705178</v>
      </c>
      <c r="G173">
        <v>12</v>
      </c>
    </row>
    <row r="174" spans="1:8" ht="15" customHeight="1" x14ac:dyDescent="0.35">
      <c r="A174" t="s">
        <v>98</v>
      </c>
      <c r="B174" t="s">
        <v>124</v>
      </c>
      <c r="C174">
        <v>13988</v>
      </c>
      <c r="D174">
        <v>8516.1</v>
      </c>
      <c r="E174">
        <v>5067</v>
      </c>
      <c r="F174" s="5">
        <f t="shared" si="2"/>
        <v>1.6425359025845163</v>
      </c>
      <c r="G174">
        <v>12</v>
      </c>
    </row>
    <row r="175" spans="1:8" ht="15" customHeight="1" x14ac:dyDescent="0.35">
      <c r="A175" t="s">
        <v>98</v>
      </c>
      <c r="B175" t="s">
        <v>71</v>
      </c>
      <c r="C175">
        <v>14553</v>
      </c>
      <c r="D175">
        <v>8505.2000000000007</v>
      </c>
      <c r="E175">
        <v>4673</v>
      </c>
      <c r="F175" s="5">
        <f t="shared" si="2"/>
        <v>1.7110708742886702</v>
      </c>
      <c r="G175">
        <v>12</v>
      </c>
    </row>
    <row r="176" spans="1:8" ht="15" customHeight="1" x14ac:dyDescent="0.35">
      <c r="A176" t="s">
        <v>98</v>
      </c>
      <c r="B176" t="s">
        <v>72</v>
      </c>
      <c r="C176">
        <v>15332</v>
      </c>
      <c r="D176">
        <v>9364.7000000000007</v>
      </c>
      <c r="E176">
        <v>5325</v>
      </c>
      <c r="F176" s="5">
        <f t="shared" si="2"/>
        <v>1.6372120836759319</v>
      </c>
      <c r="G176">
        <v>12</v>
      </c>
    </row>
    <row r="177" spans="1:8" ht="15" customHeight="1" x14ac:dyDescent="0.35">
      <c r="A177" t="s">
        <v>98</v>
      </c>
      <c r="B177" t="s">
        <v>73</v>
      </c>
      <c r="C177">
        <v>15540</v>
      </c>
      <c r="D177">
        <v>9713.5</v>
      </c>
      <c r="E177">
        <v>5395</v>
      </c>
      <c r="F177" s="5">
        <f t="shared" si="2"/>
        <v>1.5998352807947702</v>
      </c>
      <c r="G177">
        <v>12</v>
      </c>
    </row>
    <row r="178" spans="1:8" ht="15" customHeight="1" x14ac:dyDescent="0.35">
      <c r="A178" t="s">
        <v>98</v>
      </c>
      <c r="B178" t="s">
        <v>74</v>
      </c>
      <c r="C178">
        <v>17003</v>
      </c>
      <c r="D178">
        <v>10441.1</v>
      </c>
      <c r="E178">
        <v>5648</v>
      </c>
      <c r="F178" s="5">
        <f t="shared" si="2"/>
        <v>1.628468264837996</v>
      </c>
      <c r="G178">
        <v>12</v>
      </c>
    </row>
    <row r="179" spans="1:8" ht="15" customHeight="1" x14ac:dyDescent="0.35">
      <c r="A179" t="s">
        <v>98</v>
      </c>
      <c r="B179" t="s">
        <v>75</v>
      </c>
      <c r="C179">
        <v>17341</v>
      </c>
      <c r="D179">
        <v>10988</v>
      </c>
      <c r="E179">
        <v>4872</v>
      </c>
      <c r="F179" s="5">
        <f t="shared" si="2"/>
        <v>1.5781761922096833</v>
      </c>
      <c r="G179">
        <v>12</v>
      </c>
    </row>
    <row r="180" spans="1:8" ht="15" customHeight="1" x14ac:dyDescent="0.35">
      <c r="A180" t="s">
        <v>98</v>
      </c>
      <c r="B180" t="s">
        <v>77</v>
      </c>
      <c r="C180">
        <v>18944</v>
      </c>
      <c r="D180">
        <v>11768.2</v>
      </c>
      <c r="E180">
        <v>6782</v>
      </c>
      <c r="F180" s="5">
        <f t="shared" si="2"/>
        <v>1.6097619007154873</v>
      </c>
      <c r="G180">
        <v>12</v>
      </c>
    </row>
    <row r="181" spans="1:8" ht="15" customHeight="1" x14ac:dyDescent="0.35">
      <c r="A181" t="s">
        <v>98</v>
      </c>
      <c r="B181" t="s">
        <v>78</v>
      </c>
      <c r="C181">
        <v>19690</v>
      </c>
      <c r="D181">
        <v>11834.3</v>
      </c>
      <c r="E181">
        <v>7038</v>
      </c>
      <c r="F181" s="5">
        <f t="shared" si="2"/>
        <v>1.6638077452827797</v>
      </c>
      <c r="G181">
        <v>12</v>
      </c>
    </row>
    <row r="182" spans="1:8" ht="15" customHeight="1" x14ac:dyDescent="0.35">
      <c r="A182" t="s">
        <v>99</v>
      </c>
      <c r="B182" t="s">
        <v>122</v>
      </c>
      <c r="C182">
        <v>22574</v>
      </c>
      <c r="D182">
        <v>17691.7</v>
      </c>
      <c r="E182">
        <v>11827</v>
      </c>
      <c r="F182" s="5">
        <f t="shared" si="2"/>
        <v>1.275965565773781</v>
      </c>
      <c r="G182">
        <v>3</v>
      </c>
      <c r="H182" t="s">
        <v>200</v>
      </c>
    </row>
    <row r="183" spans="1:8" ht="15" customHeight="1" x14ac:dyDescent="0.35">
      <c r="A183" t="s">
        <v>99</v>
      </c>
      <c r="B183" t="s">
        <v>123</v>
      </c>
      <c r="C183">
        <v>22540</v>
      </c>
      <c r="D183">
        <v>17515.2</v>
      </c>
      <c r="E183">
        <v>12462</v>
      </c>
      <c r="F183" s="5">
        <f t="shared" si="2"/>
        <v>1.2868822508449802</v>
      </c>
      <c r="G183">
        <v>12</v>
      </c>
    </row>
    <row r="184" spans="1:8" ht="15" customHeight="1" x14ac:dyDescent="0.35">
      <c r="A184" t="s">
        <v>99</v>
      </c>
      <c r="B184" t="s">
        <v>124</v>
      </c>
      <c r="C184">
        <v>24570</v>
      </c>
      <c r="D184">
        <v>19115.599999999999</v>
      </c>
      <c r="E184">
        <v>12442</v>
      </c>
      <c r="F184" s="5">
        <f t="shared" si="2"/>
        <v>1.2853376299985353</v>
      </c>
      <c r="G184">
        <v>12</v>
      </c>
    </row>
    <row r="185" spans="1:8" ht="15" customHeight="1" x14ac:dyDescent="0.35">
      <c r="A185" t="s">
        <v>99</v>
      </c>
      <c r="B185" t="s">
        <v>71</v>
      </c>
      <c r="C185">
        <v>24528</v>
      </c>
      <c r="D185">
        <v>18383.599999999999</v>
      </c>
      <c r="E185">
        <v>10740</v>
      </c>
      <c r="F185" s="5">
        <f t="shared" si="2"/>
        <v>1.3342326856546054</v>
      </c>
      <c r="G185">
        <v>12</v>
      </c>
    </row>
    <row r="186" spans="1:8" ht="15" customHeight="1" x14ac:dyDescent="0.35">
      <c r="A186" t="s">
        <v>99</v>
      </c>
      <c r="B186" t="s">
        <v>72</v>
      </c>
      <c r="C186">
        <v>25618</v>
      </c>
      <c r="D186">
        <v>17644.400000000001</v>
      </c>
      <c r="E186">
        <v>9560</v>
      </c>
      <c r="F186" s="5">
        <f t="shared" si="2"/>
        <v>1.4519054204166759</v>
      </c>
      <c r="G186">
        <v>12</v>
      </c>
    </row>
    <row r="187" spans="1:8" ht="15" customHeight="1" x14ac:dyDescent="0.35">
      <c r="A187" t="s">
        <v>99</v>
      </c>
      <c r="B187" t="s">
        <v>73</v>
      </c>
      <c r="C187">
        <v>28422</v>
      </c>
      <c r="D187">
        <v>20085.7</v>
      </c>
      <c r="E187">
        <v>12758</v>
      </c>
      <c r="F187" s="5">
        <f t="shared" si="2"/>
        <v>1.4150365683048138</v>
      </c>
      <c r="G187">
        <v>12</v>
      </c>
    </row>
    <row r="188" spans="1:8" ht="15" customHeight="1" x14ac:dyDescent="0.35">
      <c r="A188" t="s">
        <v>99</v>
      </c>
      <c r="B188" t="s">
        <v>74</v>
      </c>
      <c r="C188">
        <v>28679</v>
      </c>
      <c r="D188">
        <v>21795.200000000001</v>
      </c>
      <c r="E188">
        <v>13487</v>
      </c>
      <c r="F188" s="5">
        <f t="shared" si="2"/>
        <v>1.3158401849948611</v>
      </c>
      <c r="G188">
        <v>12</v>
      </c>
    </row>
    <row r="189" spans="1:8" ht="15" customHeight="1" x14ac:dyDescent="0.35">
      <c r="A189" t="s">
        <v>99</v>
      </c>
      <c r="B189" t="s">
        <v>75</v>
      </c>
      <c r="C189">
        <v>29699</v>
      </c>
      <c r="D189">
        <v>23971.4</v>
      </c>
      <c r="E189">
        <v>16796</v>
      </c>
      <c r="F189" s="5">
        <f t="shared" si="2"/>
        <v>1.23893473055391</v>
      </c>
      <c r="G189">
        <v>12</v>
      </c>
    </row>
    <row r="190" spans="1:8" ht="15" customHeight="1" x14ac:dyDescent="0.35">
      <c r="A190" t="s">
        <v>99</v>
      </c>
      <c r="B190" t="s">
        <v>77</v>
      </c>
      <c r="C190">
        <v>30884</v>
      </c>
      <c r="D190">
        <v>23775.9</v>
      </c>
      <c r="E190">
        <v>16370</v>
      </c>
      <c r="F190" s="5">
        <f t="shared" si="2"/>
        <v>1.2989623946937865</v>
      </c>
      <c r="G190">
        <v>12</v>
      </c>
    </row>
    <row r="191" spans="1:8" ht="15" customHeight="1" x14ac:dyDescent="0.35">
      <c r="A191" t="s">
        <v>99</v>
      </c>
      <c r="B191" t="s">
        <v>78</v>
      </c>
      <c r="C191">
        <v>30956</v>
      </c>
      <c r="D191">
        <v>23313.9</v>
      </c>
      <c r="E191">
        <v>15648</v>
      </c>
      <c r="F191" s="5">
        <f t="shared" si="2"/>
        <v>1.3277915749831644</v>
      </c>
      <c r="G191">
        <v>12</v>
      </c>
    </row>
    <row r="192" spans="1:8" ht="15" customHeight="1" x14ac:dyDescent="0.35">
      <c r="A192" t="s">
        <v>100</v>
      </c>
      <c r="B192" t="s">
        <v>122</v>
      </c>
      <c r="C192">
        <v>165</v>
      </c>
      <c r="D192">
        <v>95.3</v>
      </c>
      <c r="E192">
        <v>28</v>
      </c>
      <c r="F192" s="5">
        <f t="shared" si="2"/>
        <v>1.7313746065057714</v>
      </c>
      <c r="G192">
        <v>3</v>
      </c>
      <c r="H192" t="s">
        <v>200</v>
      </c>
    </row>
    <row r="193" spans="1:8" ht="15" customHeight="1" x14ac:dyDescent="0.35">
      <c r="A193" t="s">
        <v>100</v>
      </c>
      <c r="B193" t="s">
        <v>123</v>
      </c>
      <c r="C193">
        <v>189</v>
      </c>
      <c r="D193">
        <v>93.6</v>
      </c>
      <c r="E193">
        <v>5</v>
      </c>
      <c r="F193" s="5">
        <f t="shared" si="2"/>
        <v>2.0192307692307692</v>
      </c>
      <c r="G193">
        <v>12</v>
      </c>
    </row>
    <row r="194" spans="1:8" ht="15" customHeight="1" x14ac:dyDescent="0.35">
      <c r="A194" t="s">
        <v>100</v>
      </c>
      <c r="B194" t="s">
        <v>124</v>
      </c>
      <c r="C194">
        <v>202</v>
      </c>
      <c r="D194">
        <v>101.2</v>
      </c>
      <c r="E194">
        <v>20</v>
      </c>
      <c r="F194" s="5">
        <f t="shared" ref="F194:F257" si="3">IF(D194=0,"",C194/D194)</f>
        <v>1.9960474308300395</v>
      </c>
      <c r="G194">
        <v>12</v>
      </c>
    </row>
    <row r="195" spans="1:8" ht="15" customHeight="1" x14ac:dyDescent="0.35">
      <c r="A195" t="s">
        <v>100</v>
      </c>
      <c r="B195" t="s">
        <v>71</v>
      </c>
      <c r="C195">
        <v>223</v>
      </c>
      <c r="D195">
        <v>102.6</v>
      </c>
      <c r="E195">
        <v>15</v>
      </c>
      <c r="F195" s="5">
        <f t="shared" si="3"/>
        <v>2.1734892787524367</v>
      </c>
      <c r="G195">
        <v>12</v>
      </c>
    </row>
    <row r="196" spans="1:8" ht="15" customHeight="1" x14ac:dyDescent="0.35">
      <c r="A196" t="s">
        <v>100</v>
      </c>
      <c r="B196" t="s">
        <v>72</v>
      </c>
      <c r="C196">
        <v>244</v>
      </c>
      <c r="D196">
        <v>109.9</v>
      </c>
      <c r="E196">
        <v>14</v>
      </c>
      <c r="F196" s="5">
        <f t="shared" si="3"/>
        <v>2.2202001819836212</v>
      </c>
      <c r="G196">
        <v>12</v>
      </c>
    </row>
    <row r="197" spans="1:8" ht="15" customHeight="1" x14ac:dyDescent="0.35">
      <c r="A197" t="s">
        <v>100</v>
      </c>
      <c r="B197" t="s">
        <v>73</v>
      </c>
      <c r="C197">
        <v>255</v>
      </c>
      <c r="D197">
        <v>115.8</v>
      </c>
      <c r="E197">
        <v>27</v>
      </c>
      <c r="F197" s="5">
        <f t="shared" si="3"/>
        <v>2.2020725388601039</v>
      </c>
      <c r="G197">
        <v>12</v>
      </c>
    </row>
    <row r="198" spans="1:8" ht="15" customHeight="1" x14ac:dyDescent="0.35">
      <c r="A198" t="s">
        <v>100</v>
      </c>
      <c r="B198" t="s">
        <v>74</v>
      </c>
      <c r="C198">
        <v>240</v>
      </c>
      <c r="D198">
        <v>114.8</v>
      </c>
      <c r="E198">
        <v>11</v>
      </c>
      <c r="F198" s="5">
        <f t="shared" si="3"/>
        <v>2.0905923344947737</v>
      </c>
      <c r="G198">
        <v>12</v>
      </c>
    </row>
    <row r="199" spans="1:8" ht="15" customHeight="1" x14ac:dyDescent="0.35">
      <c r="A199" t="s">
        <v>100</v>
      </c>
      <c r="B199" t="s">
        <v>75</v>
      </c>
      <c r="C199">
        <v>231</v>
      </c>
      <c r="D199">
        <v>111.6</v>
      </c>
      <c r="E199">
        <v>7</v>
      </c>
      <c r="F199" s="5">
        <f t="shared" si="3"/>
        <v>2.0698924731182795</v>
      </c>
      <c r="G199">
        <v>12</v>
      </c>
    </row>
    <row r="200" spans="1:8" ht="15" customHeight="1" x14ac:dyDescent="0.35">
      <c r="A200" t="s">
        <v>100</v>
      </c>
      <c r="B200" t="s">
        <v>77</v>
      </c>
      <c r="C200">
        <v>274</v>
      </c>
      <c r="D200">
        <v>127.9</v>
      </c>
      <c r="E200">
        <v>9</v>
      </c>
      <c r="F200" s="5">
        <f t="shared" si="3"/>
        <v>2.142298670836591</v>
      </c>
      <c r="G200">
        <v>12</v>
      </c>
    </row>
    <row r="201" spans="1:8" ht="15" customHeight="1" x14ac:dyDescent="0.35">
      <c r="A201" t="s">
        <v>100</v>
      </c>
      <c r="B201" t="s">
        <v>78</v>
      </c>
      <c r="C201">
        <v>276</v>
      </c>
      <c r="D201">
        <v>138.30000000000001</v>
      </c>
      <c r="E201">
        <v>41</v>
      </c>
      <c r="F201" s="5">
        <f t="shared" si="3"/>
        <v>1.9956616052060736</v>
      </c>
      <c r="G201">
        <v>12</v>
      </c>
    </row>
    <row r="202" spans="1:8" ht="15" customHeight="1" x14ac:dyDescent="0.35">
      <c r="A202" t="s">
        <v>101</v>
      </c>
      <c r="B202" t="s">
        <v>122</v>
      </c>
      <c r="C202">
        <v>293</v>
      </c>
      <c r="D202">
        <v>192.3</v>
      </c>
      <c r="E202">
        <v>95</v>
      </c>
      <c r="F202" s="5">
        <f t="shared" si="3"/>
        <v>1.5236609464378574</v>
      </c>
      <c r="G202">
        <v>3</v>
      </c>
      <c r="H202" t="s">
        <v>200</v>
      </c>
    </row>
    <row r="203" spans="1:8" ht="15" customHeight="1" x14ac:dyDescent="0.35">
      <c r="A203" t="s">
        <v>101</v>
      </c>
      <c r="B203" t="s">
        <v>123</v>
      </c>
      <c r="C203">
        <v>356</v>
      </c>
      <c r="D203">
        <v>192.6</v>
      </c>
      <c r="E203">
        <v>41</v>
      </c>
      <c r="F203" s="5">
        <f t="shared" si="3"/>
        <v>1.8483904465212877</v>
      </c>
      <c r="G203">
        <v>12</v>
      </c>
    </row>
    <row r="204" spans="1:8" ht="15" customHeight="1" x14ac:dyDescent="0.35">
      <c r="A204" t="s">
        <v>101</v>
      </c>
      <c r="B204" t="s">
        <v>124</v>
      </c>
      <c r="C204">
        <v>386</v>
      </c>
      <c r="D204">
        <v>230</v>
      </c>
      <c r="E204">
        <v>73</v>
      </c>
      <c r="F204" s="5">
        <f t="shared" si="3"/>
        <v>1.6782608695652175</v>
      </c>
      <c r="G204">
        <v>12</v>
      </c>
    </row>
    <row r="205" spans="1:8" ht="15" customHeight="1" x14ac:dyDescent="0.35">
      <c r="A205" t="s">
        <v>101</v>
      </c>
      <c r="B205" t="s">
        <v>71</v>
      </c>
      <c r="C205">
        <v>386</v>
      </c>
      <c r="D205">
        <v>239</v>
      </c>
      <c r="E205">
        <v>51</v>
      </c>
      <c r="F205" s="5">
        <f t="shared" si="3"/>
        <v>1.6150627615062763</v>
      </c>
      <c r="G205">
        <v>12</v>
      </c>
    </row>
    <row r="206" spans="1:8" ht="15" customHeight="1" x14ac:dyDescent="0.35">
      <c r="A206" t="s">
        <v>101</v>
      </c>
      <c r="B206" t="s">
        <v>72</v>
      </c>
      <c r="C206">
        <v>381</v>
      </c>
      <c r="D206">
        <v>234.9</v>
      </c>
      <c r="E206">
        <v>55</v>
      </c>
      <c r="F206" s="5">
        <f t="shared" si="3"/>
        <v>1.6219667943805876</v>
      </c>
      <c r="G206">
        <v>12</v>
      </c>
    </row>
    <row r="207" spans="1:8" ht="15" customHeight="1" x14ac:dyDescent="0.35">
      <c r="A207" t="s">
        <v>101</v>
      </c>
      <c r="B207" t="s">
        <v>73</v>
      </c>
      <c r="C207">
        <v>405</v>
      </c>
      <c r="D207">
        <v>252.9</v>
      </c>
      <c r="E207">
        <v>64</v>
      </c>
      <c r="F207" s="5">
        <f t="shared" si="3"/>
        <v>1.6014234875444839</v>
      </c>
      <c r="G207">
        <v>12</v>
      </c>
    </row>
    <row r="208" spans="1:8" ht="15" customHeight="1" x14ac:dyDescent="0.35">
      <c r="A208" t="s">
        <v>101</v>
      </c>
      <c r="B208" t="s">
        <v>74</v>
      </c>
      <c r="C208">
        <v>403</v>
      </c>
      <c r="D208">
        <v>260.2</v>
      </c>
      <c r="E208">
        <v>110</v>
      </c>
      <c r="F208" s="5">
        <f t="shared" si="3"/>
        <v>1.5488086087624904</v>
      </c>
      <c r="G208">
        <v>12</v>
      </c>
    </row>
    <row r="209" spans="1:8" ht="15" customHeight="1" x14ac:dyDescent="0.35">
      <c r="A209" t="s">
        <v>101</v>
      </c>
      <c r="B209" t="s">
        <v>75</v>
      </c>
      <c r="C209">
        <v>353</v>
      </c>
      <c r="D209">
        <v>229.7</v>
      </c>
      <c r="E209">
        <v>74</v>
      </c>
      <c r="F209" s="5">
        <f t="shared" si="3"/>
        <v>1.5367871136264695</v>
      </c>
      <c r="G209">
        <v>12</v>
      </c>
    </row>
    <row r="210" spans="1:8" ht="15" customHeight="1" x14ac:dyDescent="0.35">
      <c r="A210" t="s">
        <v>101</v>
      </c>
      <c r="B210" t="s">
        <v>77</v>
      </c>
      <c r="C210">
        <v>418</v>
      </c>
      <c r="D210">
        <v>232.9</v>
      </c>
      <c r="E210">
        <v>78</v>
      </c>
      <c r="F210" s="5">
        <f t="shared" si="3"/>
        <v>1.794761700300558</v>
      </c>
      <c r="G210">
        <v>12</v>
      </c>
    </row>
    <row r="211" spans="1:8" ht="15" customHeight="1" x14ac:dyDescent="0.35">
      <c r="A211" t="s">
        <v>101</v>
      </c>
      <c r="B211" t="s">
        <v>78</v>
      </c>
      <c r="C211">
        <v>407</v>
      </c>
      <c r="D211">
        <v>243.7</v>
      </c>
      <c r="E211">
        <v>67</v>
      </c>
      <c r="F211" s="5">
        <f t="shared" si="3"/>
        <v>1.6700861715223636</v>
      </c>
      <c r="G211">
        <v>12</v>
      </c>
    </row>
    <row r="212" spans="1:8" ht="15" customHeight="1" x14ac:dyDescent="0.35">
      <c r="A212" t="s">
        <v>102</v>
      </c>
      <c r="B212" t="s">
        <v>122</v>
      </c>
      <c r="C212">
        <v>104</v>
      </c>
      <c r="D212">
        <v>59</v>
      </c>
      <c r="E212">
        <v>19</v>
      </c>
      <c r="F212" s="5">
        <f t="shared" si="3"/>
        <v>1.7627118644067796</v>
      </c>
      <c r="G212">
        <v>3</v>
      </c>
      <c r="H212" t="s">
        <v>200</v>
      </c>
    </row>
    <row r="213" spans="1:8" ht="15" customHeight="1" x14ac:dyDescent="0.35">
      <c r="A213" t="s">
        <v>102</v>
      </c>
      <c r="B213" t="s">
        <v>123</v>
      </c>
      <c r="C213">
        <v>123</v>
      </c>
      <c r="D213">
        <v>54</v>
      </c>
      <c r="E213">
        <v>0</v>
      </c>
      <c r="F213" s="5">
        <f t="shared" si="3"/>
        <v>2.2777777777777777</v>
      </c>
      <c r="G213">
        <v>12</v>
      </c>
    </row>
    <row r="214" spans="1:8" ht="15" customHeight="1" x14ac:dyDescent="0.35">
      <c r="A214" t="s">
        <v>102</v>
      </c>
      <c r="B214" t="s">
        <v>124</v>
      </c>
      <c r="C214">
        <v>109</v>
      </c>
      <c r="D214">
        <v>59.2</v>
      </c>
      <c r="E214">
        <v>2</v>
      </c>
      <c r="F214" s="5">
        <f t="shared" si="3"/>
        <v>1.8412162162162162</v>
      </c>
      <c r="G214">
        <v>12</v>
      </c>
    </row>
    <row r="215" spans="1:8" ht="15" customHeight="1" x14ac:dyDescent="0.35">
      <c r="A215" t="s">
        <v>102</v>
      </c>
      <c r="B215" t="s">
        <v>71</v>
      </c>
      <c r="C215">
        <v>135</v>
      </c>
      <c r="D215">
        <v>64.7</v>
      </c>
      <c r="E215">
        <v>5</v>
      </c>
      <c r="F215" s="5">
        <f t="shared" si="3"/>
        <v>2.0865533230293662</v>
      </c>
      <c r="G215">
        <v>12</v>
      </c>
    </row>
    <row r="216" spans="1:8" ht="15" customHeight="1" x14ac:dyDescent="0.35">
      <c r="A216" t="s">
        <v>102</v>
      </c>
      <c r="B216" t="s">
        <v>72</v>
      </c>
      <c r="C216">
        <v>126</v>
      </c>
      <c r="D216">
        <v>65.8</v>
      </c>
      <c r="E216">
        <v>6</v>
      </c>
      <c r="F216" s="5">
        <f t="shared" si="3"/>
        <v>1.9148936170212767</v>
      </c>
      <c r="G216">
        <v>12</v>
      </c>
    </row>
    <row r="217" spans="1:8" ht="15" customHeight="1" x14ac:dyDescent="0.35">
      <c r="A217" t="s">
        <v>102</v>
      </c>
      <c r="B217" t="s">
        <v>73</v>
      </c>
      <c r="C217">
        <v>146</v>
      </c>
      <c r="D217">
        <v>71.400000000000006</v>
      </c>
      <c r="E217">
        <v>10</v>
      </c>
      <c r="F217" s="5">
        <f t="shared" si="3"/>
        <v>2.0448179271708682</v>
      </c>
      <c r="G217">
        <v>12</v>
      </c>
    </row>
    <row r="218" spans="1:8" ht="15" customHeight="1" x14ac:dyDescent="0.35">
      <c r="A218" t="s">
        <v>102</v>
      </c>
      <c r="B218" t="s">
        <v>74</v>
      </c>
      <c r="C218">
        <v>152</v>
      </c>
      <c r="D218">
        <v>70.900000000000006</v>
      </c>
      <c r="E218">
        <v>12</v>
      </c>
      <c r="F218" s="5">
        <f t="shared" si="3"/>
        <v>2.1438645980253876</v>
      </c>
      <c r="G218">
        <v>12</v>
      </c>
    </row>
    <row r="219" spans="1:8" ht="15" customHeight="1" x14ac:dyDescent="0.35">
      <c r="A219" t="s">
        <v>102</v>
      </c>
      <c r="B219" t="s">
        <v>75</v>
      </c>
      <c r="C219">
        <v>155</v>
      </c>
      <c r="D219">
        <v>70.2</v>
      </c>
      <c r="E219">
        <v>1</v>
      </c>
      <c r="F219" s="5">
        <f t="shared" si="3"/>
        <v>2.207977207977208</v>
      </c>
      <c r="G219">
        <v>12</v>
      </c>
    </row>
    <row r="220" spans="1:8" ht="15" customHeight="1" x14ac:dyDescent="0.35">
      <c r="A220" t="s">
        <v>102</v>
      </c>
      <c r="B220" t="s">
        <v>77</v>
      </c>
      <c r="C220">
        <v>164</v>
      </c>
      <c r="D220">
        <v>78.8</v>
      </c>
      <c r="E220">
        <v>7</v>
      </c>
      <c r="F220" s="5">
        <f t="shared" si="3"/>
        <v>2.0812182741116754</v>
      </c>
      <c r="G220">
        <v>12</v>
      </c>
    </row>
    <row r="221" spans="1:8" ht="15" customHeight="1" x14ac:dyDescent="0.35">
      <c r="A221" t="s">
        <v>102</v>
      </c>
      <c r="B221" t="s">
        <v>78</v>
      </c>
      <c r="C221">
        <v>166</v>
      </c>
      <c r="D221">
        <v>84.3</v>
      </c>
      <c r="E221">
        <v>14</v>
      </c>
      <c r="F221" s="5">
        <f t="shared" si="3"/>
        <v>1.9691577698695137</v>
      </c>
      <c r="G221">
        <v>12</v>
      </c>
    </row>
    <row r="222" spans="1:8" ht="15" customHeight="1" x14ac:dyDescent="0.35">
      <c r="A222" t="s">
        <v>103</v>
      </c>
      <c r="B222" t="s">
        <v>122</v>
      </c>
      <c r="C222">
        <v>139</v>
      </c>
      <c r="D222">
        <v>76.3</v>
      </c>
      <c r="E222">
        <v>4</v>
      </c>
      <c r="F222" s="5">
        <f t="shared" si="3"/>
        <v>1.8217562254259503</v>
      </c>
      <c r="G222">
        <v>3</v>
      </c>
      <c r="H222" t="s">
        <v>200</v>
      </c>
    </row>
    <row r="223" spans="1:8" ht="15" customHeight="1" x14ac:dyDescent="0.35">
      <c r="A223" t="s">
        <v>103</v>
      </c>
      <c r="B223" t="s">
        <v>123</v>
      </c>
      <c r="C223">
        <v>164</v>
      </c>
      <c r="D223">
        <v>84.2</v>
      </c>
      <c r="E223">
        <v>3</v>
      </c>
      <c r="F223" s="5">
        <f t="shared" si="3"/>
        <v>1.9477434679334915</v>
      </c>
      <c r="G223">
        <v>12</v>
      </c>
    </row>
    <row r="224" spans="1:8" ht="15" customHeight="1" x14ac:dyDescent="0.35">
      <c r="A224" t="s">
        <v>103</v>
      </c>
      <c r="B224" t="s">
        <v>124</v>
      </c>
      <c r="C224">
        <v>159</v>
      </c>
      <c r="D224">
        <v>97.4</v>
      </c>
      <c r="E224">
        <v>34</v>
      </c>
      <c r="F224" s="5">
        <f t="shared" si="3"/>
        <v>1.6324435318275152</v>
      </c>
      <c r="G224">
        <v>12</v>
      </c>
    </row>
    <row r="225" spans="1:8" ht="15" customHeight="1" x14ac:dyDescent="0.35">
      <c r="A225" t="s">
        <v>103</v>
      </c>
      <c r="B225" t="s">
        <v>71</v>
      </c>
      <c r="C225">
        <v>169</v>
      </c>
      <c r="D225">
        <v>95.9</v>
      </c>
      <c r="E225">
        <v>13</v>
      </c>
      <c r="F225" s="5">
        <f t="shared" si="3"/>
        <v>1.7622523461939519</v>
      </c>
      <c r="G225">
        <v>12</v>
      </c>
    </row>
    <row r="226" spans="1:8" ht="15" customHeight="1" x14ac:dyDescent="0.35">
      <c r="A226" t="s">
        <v>103</v>
      </c>
      <c r="B226" t="s">
        <v>72</v>
      </c>
      <c r="C226">
        <v>151</v>
      </c>
      <c r="D226">
        <v>93.7</v>
      </c>
      <c r="E226">
        <v>19</v>
      </c>
      <c r="F226" s="5">
        <f t="shared" si="3"/>
        <v>1.6115261472785485</v>
      </c>
      <c r="G226">
        <v>12</v>
      </c>
    </row>
    <row r="227" spans="1:8" ht="15" customHeight="1" x14ac:dyDescent="0.35">
      <c r="A227" t="s">
        <v>103</v>
      </c>
      <c r="B227" t="s">
        <v>73</v>
      </c>
      <c r="C227">
        <v>152</v>
      </c>
      <c r="D227">
        <v>96.7</v>
      </c>
      <c r="E227">
        <v>27</v>
      </c>
      <c r="F227" s="5">
        <f t="shared" si="3"/>
        <v>1.5718717683557393</v>
      </c>
      <c r="G227">
        <v>12</v>
      </c>
    </row>
    <row r="228" spans="1:8" ht="15" customHeight="1" x14ac:dyDescent="0.35">
      <c r="A228" t="s">
        <v>103</v>
      </c>
      <c r="B228" t="s">
        <v>74</v>
      </c>
      <c r="C228">
        <v>161</v>
      </c>
      <c r="D228">
        <v>98.2</v>
      </c>
      <c r="E228">
        <v>23</v>
      </c>
      <c r="F228" s="5">
        <f t="shared" si="3"/>
        <v>1.6395112016293278</v>
      </c>
      <c r="G228">
        <v>12</v>
      </c>
    </row>
    <row r="229" spans="1:8" ht="15" customHeight="1" x14ac:dyDescent="0.35">
      <c r="A229" t="s">
        <v>103</v>
      </c>
      <c r="B229" t="s">
        <v>75</v>
      </c>
      <c r="C229">
        <v>176</v>
      </c>
      <c r="D229">
        <v>103.2</v>
      </c>
      <c r="E229">
        <v>27</v>
      </c>
      <c r="F229" s="5">
        <f t="shared" si="3"/>
        <v>1.7054263565891472</v>
      </c>
      <c r="G229">
        <v>12</v>
      </c>
    </row>
    <row r="230" spans="1:8" ht="15" customHeight="1" x14ac:dyDescent="0.35">
      <c r="A230" t="s">
        <v>103</v>
      </c>
      <c r="B230" t="s">
        <v>77</v>
      </c>
      <c r="C230">
        <v>193</v>
      </c>
      <c r="D230">
        <v>109.9</v>
      </c>
      <c r="E230">
        <v>30</v>
      </c>
      <c r="F230" s="5">
        <f t="shared" si="3"/>
        <v>1.7561419472247497</v>
      </c>
      <c r="G230">
        <v>12</v>
      </c>
    </row>
    <row r="231" spans="1:8" ht="15" customHeight="1" x14ac:dyDescent="0.35">
      <c r="A231" t="s">
        <v>103</v>
      </c>
      <c r="B231" t="s">
        <v>78</v>
      </c>
      <c r="C231">
        <v>193</v>
      </c>
      <c r="D231">
        <v>110.5</v>
      </c>
      <c r="E231">
        <v>28</v>
      </c>
      <c r="F231" s="5">
        <f t="shared" si="3"/>
        <v>1.746606334841629</v>
      </c>
      <c r="G231">
        <v>12</v>
      </c>
    </row>
    <row r="232" spans="1:8" ht="15" customHeight="1" x14ac:dyDescent="0.35">
      <c r="A232" t="s">
        <v>104</v>
      </c>
      <c r="B232" t="s">
        <v>122</v>
      </c>
      <c r="C232">
        <v>3934</v>
      </c>
      <c r="D232">
        <v>2834.7</v>
      </c>
      <c r="E232">
        <v>1904</v>
      </c>
      <c r="F232" s="5">
        <f t="shared" si="3"/>
        <v>1.3878011782551947</v>
      </c>
      <c r="G232">
        <v>3</v>
      </c>
      <c r="H232" t="s">
        <v>200</v>
      </c>
    </row>
    <row r="233" spans="1:8" ht="15" customHeight="1" x14ac:dyDescent="0.35">
      <c r="A233" t="s">
        <v>104</v>
      </c>
      <c r="B233" t="s">
        <v>123</v>
      </c>
      <c r="C233">
        <v>4498</v>
      </c>
      <c r="D233">
        <v>3230.4</v>
      </c>
      <c r="E233">
        <v>2019</v>
      </c>
      <c r="F233" s="5">
        <f t="shared" si="3"/>
        <v>1.392397226349678</v>
      </c>
      <c r="G233">
        <v>12</v>
      </c>
    </row>
    <row r="234" spans="1:8" ht="15" customHeight="1" x14ac:dyDescent="0.35">
      <c r="A234" t="s">
        <v>104</v>
      </c>
      <c r="B234" t="s">
        <v>124</v>
      </c>
      <c r="C234">
        <v>5374</v>
      </c>
      <c r="D234">
        <v>3521.8</v>
      </c>
      <c r="E234">
        <v>1742</v>
      </c>
      <c r="F234" s="5">
        <f t="shared" si="3"/>
        <v>1.5259242432846838</v>
      </c>
      <c r="G234">
        <v>12</v>
      </c>
    </row>
    <row r="235" spans="1:8" ht="15" customHeight="1" x14ac:dyDescent="0.35">
      <c r="A235" t="s">
        <v>104</v>
      </c>
      <c r="B235" t="s">
        <v>71</v>
      </c>
      <c r="C235">
        <v>5159</v>
      </c>
      <c r="D235">
        <v>3349.3</v>
      </c>
      <c r="E235">
        <v>1594</v>
      </c>
      <c r="F235" s="5">
        <f t="shared" si="3"/>
        <v>1.540321858298749</v>
      </c>
      <c r="G235">
        <v>12</v>
      </c>
    </row>
    <row r="236" spans="1:8" ht="15" customHeight="1" x14ac:dyDescent="0.35">
      <c r="A236" t="s">
        <v>104</v>
      </c>
      <c r="B236" t="s">
        <v>72</v>
      </c>
      <c r="C236">
        <v>5001</v>
      </c>
      <c r="D236">
        <v>3366</v>
      </c>
      <c r="E236">
        <v>1705</v>
      </c>
      <c r="F236" s="5">
        <f t="shared" si="3"/>
        <v>1.4857397504456329</v>
      </c>
      <c r="G236">
        <v>12</v>
      </c>
    </row>
    <row r="237" spans="1:8" ht="15" customHeight="1" x14ac:dyDescent="0.35">
      <c r="A237" t="s">
        <v>104</v>
      </c>
      <c r="B237" t="s">
        <v>73</v>
      </c>
      <c r="C237">
        <v>5709</v>
      </c>
      <c r="D237">
        <v>4387.3</v>
      </c>
      <c r="E237">
        <v>2056</v>
      </c>
      <c r="F237" s="5">
        <f t="shared" si="3"/>
        <v>1.3012558977047386</v>
      </c>
      <c r="G237">
        <v>12</v>
      </c>
    </row>
    <row r="238" spans="1:8" ht="15" customHeight="1" x14ac:dyDescent="0.35">
      <c r="A238" t="s">
        <v>104</v>
      </c>
      <c r="B238" t="s">
        <v>74</v>
      </c>
      <c r="C238">
        <v>6395</v>
      </c>
      <c r="D238">
        <v>4840.3</v>
      </c>
      <c r="E238">
        <v>3144</v>
      </c>
      <c r="F238" s="5">
        <f t="shared" si="3"/>
        <v>1.3211990992293865</v>
      </c>
      <c r="G238">
        <v>12</v>
      </c>
    </row>
    <row r="239" spans="1:8" ht="15" customHeight="1" x14ac:dyDescent="0.35">
      <c r="A239" t="s">
        <v>104</v>
      </c>
      <c r="B239" t="s">
        <v>75</v>
      </c>
      <c r="C239">
        <v>6964</v>
      </c>
      <c r="D239">
        <v>4797.8</v>
      </c>
      <c r="E239">
        <v>3058</v>
      </c>
      <c r="F239" s="5">
        <f t="shared" si="3"/>
        <v>1.4514986035266164</v>
      </c>
      <c r="G239">
        <v>12</v>
      </c>
    </row>
    <row r="240" spans="1:8" ht="15" customHeight="1" x14ac:dyDescent="0.35">
      <c r="A240" t="s">
        <v>104</v>
      </c>
      <c r="B240" t="s">
        <v>77</v>
      </c>
      <c r="C240">
        <v>7079</v>
      </c>
      <c r="D240">
        <v>4883.2</v>
      </c>
      <c r="E240">
        <v>2895</v>
      </c>
      <c r="F240" s="5">
        <f t="shared" si="3"/>
        <v>1.4496641546526867</v>
      </c>
      <c r="G240">
        <v>12</v>
      </c>
    </row>
    <row r="241" spans="1:8" ht="15" customHeight="1" x14ac:dyDescent="0.35">
      <c r="A241" t="s">
        <v>104</v>
      </c>
      <c r="B241" t="s">
        <v>78</v>
      </c>
      <c r="C241">
        <v>7112</v>
      </c>
      <c r="D241">
        <v>4995.3</v>
      </c>
      <c r="E241">
        <v>3028</v>
      </c>
      <c r="F241" s="5">
        <f t="shared" si="3"/>
        <v>1.4237383140151743</v>
      </c>
      <c r="G241">
        <v>12</v>
      </c>
    </row>
    <row r="242" spans="1:8" ht="15" customHeight="1" x14ac:dyDescent="0.35">
      <c r="A242" t="s">
        <v>106</v>
      </c>
      <c r="B242" t="s">
        <v>122</v>
      </c>
      <c r="C242">
        <v>345</v>
      </c>
      <c r="D242">
        <v>264.7</v>
      </c>
      <c r="E242">
        <v>153</v>
      </c>
      <c r="F242" s="5">
        <f t="shared" si="3"/>
        <v>1.3033622969399321</v>
      </c>
      <c r="G242">
        <v>3</v>
      </c>
      <c r="H242" t="s">
        <v>200</v>
      </c>
    </row>
    <row r="243" spans="1:8" ht="15" customHeight="1" x14ac:dyDescent="0.35">
      <c r="A243" t="s">
        <v>106</v>
      </c>
      <c r="B243" t="s">
        <v>123</v>
      </c>
      <c r="C243">
        <v>386</v>
      </c>
      <c r="D243">
        <v>290.89999999999998</v>
      </c>
      <c r="E243">
        <v>77</v>
      </c>
      <c r="F243" s="5">
        <f t="shared" si="3"/>
        <v>1.3269164661395669</v>
      </c>
      <c r="G243">
        <v>12</v>
      </c>
    </row>
    <row r="244" spans="1:8" ht="15" customHeight="1" x14ac:dyDescent="0.35">
      <c r="A244" t="s">
        <v>106</v>
      </c>
      <c r="B244" t="s">
        <v>124</v>
      </c>
      <c r="C244">
        <v>400</v>
      </c>
      <c r="D244">
        <v>307.60000000000002</v>
      </c>
      <c r="E244">
        <v>78</v>
      </c>
      <c r="F244" s="5">
        <f t="shared" si="3"/>
        <v>1.3003901170351104</v>
      </c>
      <c r="G244">
        <v>12</v>
      </c>
    </row>
    <row r="245" spans="1:8" ht="15" customHeight="1" x14ac:dyDescent="0.35">
      <c r="A245" t="s">
        <v>106</v>
      </c>
      <c r="B245" t="s">
        <v>71</v>
      </c>
      <c r="C245">
        <v>461</v>
      </c>
      <c r="D245">
        <v>320.10000000000002</v>
      </c>
      <c r="E245">
        <v>68</v>
      </c>
      <c r="F245" s="5">
        <f t="shared" si="3"/>
        <v>1.4401749453295845</v>
      </c>
      <c r="G245">
        <v>12</v>
      </c>
    </row>
    <row r="246" spans="1:8" ht="15" customHeight="1" x14ac:dyDescent="0.35">
      <c r="A246" t="s">
        <v>106</v>
      </c>
      <c r="B246" t="s">
        <v>72</v>
      </c>
      <c r="C246">
        <v>443</v>
      </c>
      <c r="D246">
        <v>299.2</v>
      </c>
      <c r="E246">
        <v>92</v>
      </c>
      <c r="F246" s="5">
        <f t="shared" si="3"/>
        <v>1.4806149732620322</v>
      </c>
      <c r="G246">
        <v>12</v>
      </c>
    </row>
    <row r="247" spans="1:8" ht="15" customHeight="1" x14ac:dyDescent="0.35">
      <c r="A247" t="s">
        <v>106</v>
      </c>
      <c r="B247" t="s">
        <v>73</v>
      </c>
      <c r="C247">
        <v>456</v>
      </c>
      <c r="D247">
        <v>329.2</v>
      </c>
      <c r="E247">
        <v>169</v>
      </c>
      <c r="F247" s="5">
        <f t="shared" si="3"/>
        <v>1.385176184690158</v>
      </c>
      <c r="G247">
        <v>12</v>
      </c>
    </row>
    <row r="248" spans="1:8" ht="15" customHeight="1" x14ac:dyDescent="0.35">
      <c r="A248" t="s">
        <v>106</v>
      </c>
      <c r="B248" t="s">
        <v>74</v>
      </c>
      <c r="C248">
        <v>489</v>
      </c>
      <c r="D248">
        <v>343.2</v>
      </c>
      <c r="E248">
        <v>106</v>
      </c>
      <c r="F248" s="5">
        <f t="shared" si="3"/>
        <v>1.4248251748251748</v>
      </c>
      <c r="G248">
        <v>12</v>
      </c>
    </row>
    <row r="249" spans="1:8" ht="15" customHeight="1" x14ac:dyDescent="0.35">
      <c r="A249" t="s">
        <v>106</v>
      </c>
      <c r="B249" t="s">
        <v>75</v>
      </c>
      <c r="C249">
        <v>508</v>
      </c>
      <c r="D249">
        <v>364.1</v>
      </c>
      <c r="E249">
        <v>184</v>
      </c>
      <c r="F249" s="5">
        <f t="shared" si="3"/>
        <v>1.3952210931062894</v>
      </c>
      <c r="G249">
        <v>12</v>
      </c>
    </row>
    <row r="250" spans="1:8" ht="15" customHeight="1" x14ac:dyDescent="0.35">
      <c r="A250" t="s">
        <v>106</v>
      </c>
      <c r="B250" t="s">
        <v>77</v>
      </c>
      <c r="C250">
        <v>527</v>
      </c>
      <c r="D250">
        <v>380.1</v>
      </c>
      <c r="E250">
        <v>53</v>
      </c>
      <c r="F250" s="5">
        <f t="shared" si="3"/>
        <v>1.3864772428308338</v>
      </c>
      <c r="G250">
        <v>12</v>
      </c>
    </row>
    <row r="251" spans="1:8" ht="15" customHeight="1" x14ac:dyDescent="0.35">
      <c r="A251" t="s">
        <v>106</v>
      </c>
      <c r="B251" t="s">
        <v>78</v>
      </c>
      <c r="C251">
        <v>544</v>
      </c>
      <c r="D251">
        <v>374.8</v>
      </c>
      <c r="E251">
        <v>138</v>
      </c>
      <c r="F251" s="5">
        <f t="shared" si="3"/>
        <v>1.4514407684098185</v>
      </c>
      <c r="G251">
        <v>12</v>
      </c>
    </row>
    <row r="252" spans="1:8" ht="15" customHeight="1" x14ac:dyDescent="0.35">
      <c r="A252" t="s">
        <v>107</v>
      </c>
      <c r="B252" t="s">
        <v>122</v>
      </c>
      <c r="C252">
        <v>6514</v>
      </c>
      <c r="D252">
        <v>4280</v>
      </c>
      <c r="E252">
        <v>1754</v>
      </c>
      <c r="F252" s="5">
        <f t="shared" si="3"/>
        <v>1.5219626168224298</v>
      </c>
      <c r="G252">
        <v>3</v>
      </c>
      <c r="H252" t="s">
        <v>200</v>
      </c>
    </row>
    <row r="253" spans="1:8" ht="15" customHeight="1" x14ac:dyDescent="0.35">
      <c r="A253" t="s">
        <v>107</v>
      </c>
      <c r="B253" t="s">
        <v>123</v>
      </c>
      <c r="C253">
        <v>11534</v>
      </c>
      <c r="D253">
        <v>6160.9</v>
      </c>
      <c r="E253">
        <v>2201</v>
      </c>
      <c r="F253" s="5">
        <f t="shared" si="3"/>
        <v>1.8721290720511614</v>
      </c>
      <c r="G253">
        <v>12</v>
      </c>
    </row>
    <row r="254" spans="1:8" ht="15" customHeight="1" x14ac:dyDescent="0.35">
      <c r="A254" t="s">
        <v>107</v>
      </c>
      <c r="B254" t="s">
        <v>124</v>
      </c>
      <c r="C254">
        <v>12398</v>
      </c>
      <c r="D254">
        <v>6272.3</v>
      </c>
      <c r="E254">
        <v>1990</v>
      </c>
      <c r="F254" s="5">
        <f t="shared" si="3"/>
        <v>1.9766273934601342</v>
      </c>
      <c r="G254">
        <v>12</v>
      </c>
    </row>
    <row r="255" spans="1:8" ht="15" customHeight="1" x14ac:dyDescent="0.35">
      <c r="A255" t="s">
        <v>107</v>
      </c>
      <c r="B255" t="s">
        <v>71</v>
      </c>
      <c r="C255">
        <v>13054</v>
      </c>
      <c r="D255">
        <v>6432.4</v>
      </c>
      <c r="E255">
        <v>1423</v>
      </c>
      <c r="F255" s="5">
        <f t="shared" si="3"/>
        <v>2.0294135936819853</v>
      </c>
      <c r="G255">
        <v>12</v>
      </c>
    </row>
    <row r="256" spans="1:8" ht="15" customHeight="1" x14ac:dyDescent="0.35">
      <c r="A256" t="s">
        <v>107</v>
      </c>
      <c r="B256" t="s">
        <v>72</v>
      </c>
      <c r="C256">
        <v>12967</v>
      </c>
      <c r="D256">
        <v>6580.4</v>
      </c>
      <c r="E256">
        <v>1448</v>
      </c>
      <c r="F256" s="5">
        <f t="shared" si="3"/>
        <v>1.9705489028022614</v>
      </c>
      <c r="G256">
        <v>12</v>
      </c>
    </row>
    <row r="257" spans="1:8" ht="15" customHeight="1" x14ac:dyDescent="0.35">
      <c r="A257" t="s">
        <v>107</v>
      </c>
      <c r="B257" t="s">
        <v>73</v>
      </c>
      <c r="C257">
        <v>13242</v>
      </c>
      <c r="D257">
        <v>7057</v>
      </c>
      <c r="E257">
        <v>2226</v>
      </c>
      <c r="F257" s="5">
        <f t="shared" si="3"/>
        <v>1.8764347456426242</v>
      </c>
      <c r="G257">
        <v>12</v>
      </c>
    </row>
    <row r="258" spans="1:8" ht="15" customHeight="1" x14ac:dyDescent="0.35">
      <c r="A258" t="s">
        <v>107</v>
      </c>
      <c r="B258" t="s">
        <v>74</v>
      </c>
      <c r="C258">
        <v>14093</v>
      </c>
      <c r="D258">
        <v>7899.9</v>
      </c>
      <c r="E258">
        <v>3023</v>
      </c>
      <c r="F258" s="5">
        <f t="shared" ref="F258:F321" si="4">IF(D258=0,"",C258/D258)</f>
        <v>1.7839466322358513</v>
      </c>
      <c r="G258">
        <v>12</v>
      </c>
    </row>
    <row r="259" spans="1:8" ht="15" customHeight="1" x14ac:dyDescent="0.35">
      <c r="A259" t="s">
        <v>107</v>
      </c>
      <c r="B259" t="s">
        <v>75</v>
      </c>
      <c r="C259">
        <v>15025</v>
      </c>
      <c r="D259">
        <v>7940.6</v>
      </c>
      <c r="E259">
        <v>2397</v>
      </c>
      <c r="F259" s="5">
        <f t="shared" si="4"/>
        <v>1.8921743948819987</v>
      </c>
      <c r="G259">
        <v>12</v>
      </c>
    </row>
    <row r="260" spans="1:8" ht="15" customHeight="1" x14ac:dyDescent="0.35">
      <c r="A260" t="s">
        <v>107</v>
      </c>
      <c r="B260" t="s">
        <v>77</v>
      </c>
      <c r="C260">
        <v>15834</v>
      </c>
      <c r="D260">
        <v>8808.4</v>
      </c>
      <c r="E260">
        <v>2310</v>
      </c>
      <c r="F260" s="5">
        <f t="shared" si="4"/>
        <v>1.7976022887243994</v>
      </c>
      <c r="G260">
        <v>12</v>
      </c>
    </row>
    <row r="261" spans="1:8" ht="15" customHeight="1" x14ac:dyDescent="0.35">
      <c r="A261" t="s">
        <v>107</v>
      </c>
      <c r="B261" t="s">
        <v>78</v>
      </c>
      <c r="C261">
        <v>16831</v>
      </c>
      <c r="D261">
        <v>8661.6</v>
      </c>
      <c r="E261">
        <v>1951</v>
      </c>
      <c r="F261" s="5">
        <f t="shared" si="4"/>
        <v>1.943174471229334</v>
      </c>
      <c r="G261">
        <v>12</v>
      </c>
    </row>
    <row r="262" spans="1:8" ht="15" customHeight="1" x14ac:dyDescent="0.35">
      <c r="A262" t="s">
        <v>108</v>
      </c>
      <c r="B262" t="s">
        <v>122</v>
      </c>
      <c r="C262">
        <v>10170</v>
      </c>
      <c r="D262">
        <v>8083.7</v>
      </c>
      <c r="E262">
        <v>4193</v>
      </c>
      <c r="F262" s="5">
        <f t="shared" si="4"/>
        <v>1.2580872620211043</v>
      </c>
      <c r="G262">
        <v>3</v>
      </c>
      <c r="H262" t="s">
        <v>200</v>
      </c>
    </row>
    <row r="263" spans="1:8" ht="15" customHeight="1" x14ac:dyDescent="0.35">
      <c r="A263" t="s">
        <v>108</v>
      </c>
      <c r="B263" t="s">
        <v>123</v>
      </c>
      <c r="C263">
        <v>11713</v>
      </c>
      <c r="D263">
        <v>8072.2</v>
      </c>
      <c r="E263">
        <v>4930</v>
      </c>
      <c r="F263" s="5">
        <f t="shared" si="4"/>
        <v>1.4510294591313397</v>
      </c>
      <c r="G263">
        <v>12</v>
      </c>
    </row>
    <row r="264" spans="1:8" ht="15" customHeight="1" x14ac:dyDescent="0.35">
      <c r="A264" t="s">
        <v>108</v>
      </c>
      <c r="B264" t="s">
        <v>124</v>
      </c>
      <c r="C264">
        <v>12472</v>
      </c>
      <c r="D264">
        <v>8870.7999999999993</v>
      </c>
      <c r="E264">
        <v>4699</v>
      </c>
      <c r="F264" s="5">
        <f t="shared" si="4"/>
        <v>1.4059611309013844</v>
      </c>
      <c r="G264">
        <v>12</v>
      </c>
    </row>
    <row r="265" spans="1:8" ht="15" customHeight="1" x14ac:dyDescent="0.35">
      <c r="A265" t="s">
        <v>108</v>
      </c>
      <c r="B265" t="s">
        <v>71</v>
      </c>
      <c r="C265">
        <v>14135</v>
      </c>
      <c r="D265">
        <v>9119.5</v>
      </c>
      <c r="E265">
        <v>2912</v>
      </c>
      <c r="F265" s="5">
        <f t="shared" si="4"/>
        <v>1.5499753275947146</v>
      </c>
      <c r="G265">
        <v>12</v>
      </c>
    </row>
    <row r="266" spans="1:8" ht="15" customHeight="1" x14ac:dyDescent="0.35">
      <c r="A266" t="s">
        <v>108</v>
      </c>
      <c r="B266" t="s">
        <v>72</v>
      </c>
      <c r="C266">
        <v>14328</v>
      </c>
      <c r="D266">
        <v>9731.7999999999993</v>
      </c>
      <c r="E266">
        <v>4199</v>
      </c>
      <c r="F266" s="5">
        <f t="shared" si="4"/>
        <v>1.4722867301013174</v>
      </c>
      <c r="G266">
        <v>12</v>
      </c>
    </row>
    <row r="267" spans="1:8" ht="15" customHeight="1" x14ac:dyDescent="0.35">
      <c r="A267" t="s">
        <v>108</v>
      </c>
      <c r="B267" t="s">
        <v>73</v>
      </c>
      <c r="C267">
        <v>17201</v>
      </c>
      <c r="D267">
        <v>10259</v>
      </c>
      <c r="E267">
        <v>4488</v>
      </c>
      <c r="F267" s="5">
        <f t="shared" si="4"/>
        <v>1.6766741397797056</v>
      </c>
      <c r="G267">
        <v>12</v>
      </c>
    </row>
    <row r="268" spans="1:8" ht="15" customHeight="1" x14ac:dyDescent="0.35">
      <c r="A268" t="s">
        <v>108</v>
      </c>
      <c r="B268" t="s">
        <v>74</v>
      </c>
      <c r="C268">
        <v>17444</v>
      </c>
      <c r="D268">
        <v>11509.3</v>
      </c>
      <c r="E268">
        <v>6271</v>
      </c>
      <c r="F268" s="5">
        <f t="shared" si="4"/>
        <v>1.5156438706089859</v>
      </c>
      <c r="G268">
        <v>12</v>
      </c>
    </row>
    <row r="269" spans="1:8" ht="15" customHeight="1" x14ac:dyDescent="0.35">
      <c r="A269" t="s">
        <v>108</v>
      </c>
      <c r="B269" t="s">
        <v>75</v>
      </c>
      <c r="C269">
        <v>18163</v>
      </c>
      <c r="D269">
        <v>12240.9</v>
      </c>
      <c r="E269">
        <v>4917</v>
      </c>
      <c r="F269" s="5">
        <f t="shared" si="4"/>
        <v>1.4837961261018389</v>
      </c>
      <c r="G269">
        <v>12</v>
      </c>
    </row>
    <row r="270" spans="1:8" ht="15" customHeight="1" x14ac:dyDescent="0.35">
      <c r="A270" t="s">
        <v>108</v>
      </c>
      <c r="B270" t="s">
        <v>77</v>
      </c>
      <c r="C270">
        <v>19141</v>
      </c>
      <c r="D270">
        <v>13176.5</v>
      </c>
      <c r="E270">
        <v>6932</v>
      </c>
      <c r="F270" s="5">
        <f t="shared" si="4"/>
        <v>1.4526619360224642</v>
      </c>
      <c r="G270">
        <v>12</v>
      </c>
    </row>
    <row r="271" spans="1:8" ht="15" customHeight="1" x14ac:dyDescent="0.35">
      <c r="A271" t="s">
        <v>108</v>
      </c>
      <c r="B271" t="s">
        <v>78</v>
      </c>
      <c r="C271">
        <v>18973</v>
      </c>
      <c r="D271">
        <v>12768.2</v>
      </c>
      <c r="E271">
        <v>7334</v>
      </c>
      <c r="F271" s="5">
        <f t="shared" si="4"/>
        <v>1.4859573001676039</v>
      </c>
      <c r="G271">
        <v>12</v>
      </c>
    </row>
    <row r="272" spans="1:8" ht="15" customHeight="1" x14ac:dyDescent="0.35">
      <c r="A272" t="s">
        <v>109</v>
      </c>
      <c r="B272" t="s">
        <v>122</v>
      </c>
      <c r="C272">
        <v>115</v>
      </c>
      <c r="D272">
        <v>54.3</v>
      </c>
      <c r="E272">
        <v>18</v>
      </c>
      <c r="F272" s="5">
        <f t="shared" si="4"/>
        <v>2.117863720073665</v>
      </c>
      <c r="G272">
        <v>3</v>
      </c>
      <c r="H272" t="s">
        <v>200</v>
      </c>
    </row>
    <row r="273" spans="1:8" ht="15" customHeight="1" x14ac:dyDescent="0.35">
      <c r="A273" t="s">
        <v>109</v>
      </c>
      <c r="B273" t="s">
        <v>123</v>
      </c>
      <c r="C273">
        <v>107</v>
      </c>
      <c r="D273">
        <v>55.9</v>
      </c>
      <c r="E273">
        <v>1</v>
      </c>
      <c r="F273" s="5">
        <f t="shared" si="4"/>
        <v>1.9141323792486584</v>
      </c>
      <c r="G273">
        <v>12</v>
      </c>
    </row>
    <row r="274" spans="1:8" ht="15" customHeight="1" x14ac:dyDescent="0.35">
      <c r="A274" t="s">
        <v>109</v>
      </c>
      <c r="B274" t="s">
        <v>124</v>
      </c>
      <c r="C274">
        <v>124</v>
      </c>
      <c r="D274">
        <v>60.3</v>
      </c>
      <c r="E274">
        <v>11</v>
      </c>
      <c r="F274" s="5">
        <f t="shared" si="4"/>
        <v>2.0563847429519071</v>
      </c>
      <c r="G274">
        <v>12</v>
      </c>
    </row>
    <row r="275" spans="1:8" ht="15" customHeight="1" x14ac:dyDescent="0.35">
      <c r="A275" t="s">
        <v>109</v>
      </c>
      <c r="B275" t="s">
        <v>71</v>
      </c>
      <c r="C275">
        <v>182</v>
      </c>
      <c r="D275">
        <v>63.4</v>
      </c>
      <c r="E275">
        <v>0</v>
      </c>
      <c r="F275" s="5">
        <f t="shared" si="4"/>
        <v>2.8706624605678233</v>
      </c>
      <c r="G275">
        <v>12</v>
      </c>
    </row>
    <row r="276" spans="1:8" ht="15" customHeight="1" x14ac:dyDescent="0.35">
      <c r="A276" t="s">
        <v>109</v>
      </c>
      <c r="B276" t="s">
        <v>72</v>
      </c>
      <c r="C276">
        <v>141</v>
      </c>
      <c r="D276">
        <v>61.3</v>
      </c>
      <c r="E276">
        <v>9</v>
      </c>
      <c r="F276" s="5">
        <f t="shared" si="4"/>
        <v>2.3001631321370311</v>
      </c>
      <c r="G276">
        <v>12</v>
      </c>
    </row>
    <row r="277" spans="1:8" ht="15" customHeight="1" x14ac:dyDescent="0.35">
      <c r="A277" t="s">
        <v>109</v>
      </c>
      <c r="B277" t="s">
        <v>73</v>
      </c>
      <c r="C277">
        <v>118</v>
      </c>
      <c r="D277">
        <v>62.1</v>
      </c>
      <c r="E277">
        <v>1</v>
      </c>
      <c r="F277" s="5">
        <f t="shared" si="4"/>
        <v>1.9001610305958132</v>
      </c>
      <c r="G277">
        <v>12</v>
      </c>
    </row>
    <row r="278" spans="1:8" ht="15" customHeight="1" x14ac:dyDescent="0.35">
      <c r="A278" t="s">
        <v>109</v>
      </c>
      <c r="B278" t="s">
        <v>74</v>
      </c>
      <c r="C278">
        <v>125</v>
      </c>
      <c r="D278">
        <v>67.8</v>
      </c>
      <c r="E278">
        <v>16</v>
      </c>
      <c r="F278" s="5">
        <f t="shared" si="4"/>
        <v>1.8436578171091447</v>
      </c>
      <c r="G278">
        <v>12</v>
      </c>
    </row>
    <row r="279" spans="1:8" ht="15" customHeight="1" x14ac:dyDescent="0.35">
      <c r="A279" t="s">
        <v>109</v>
      </c>
      <c r="B279" t="s">
        <v>75</v>
      </c>
      <c r="C279">
        <v>127</v>
      </c>
      <c r="D279">
        <v>61.8</v>
      </c>
      <c r="E279">
        <v>10</v>
      </c>
      <c r="F279" s="5">
        <f t="shared" si="4"/>
        <v>2.0550161812297736</v>
      </c>
      <c r="G279">
        <v>12</v>
      </c>
    </row>
    <row r="280" spans="1:8" ht="15" customHeight="1" x14ac:dyDescent="0.35">
      <c r="A280" t="s">
        <v>109</v>
      </c>
      <c r="B280" t="s">
        <v>77</v>
      </c>
      <c r="C280">
        <v>136</v>
      </c>
      <c r="D280">
        <v>64.2</v>
      </c>
      <c r="E280">
        <v>8</v>
      </c>
      <c r="F280" s="5">
        <f t="shared" si="4"/>
        <v>2.1183800623052957</v>
      </c>
      <c r="G280">
        <v>12</v>
      </c>
    </row>
    <row r="281" spans="1:8" ht="15" customHeight="1" x14ac:dyDescent="0.35">
      <c r="A281" t="s">
        <v>109</v>
      </c>
      <c r="B281" t="s">
        <v>78</v>
      </c>
      <c r="C281">
        <v>125</v>
      </c>
      <c r="D281">
        <v>61.9</v>
      </c>
      <c r="E281">
        <v>8</v>
      </c>
      <c r="F281" s="5">
        <f t="shared" si="4"/>
        <v>2.0193861066235863</v>
      </c>
      <c r="G281">
        <v>12</v>
      </c>
    </row>
    <row r="282" spans="1:8" ht="15" customHeight="1" x14ac:dyDescent="0.35">
      <c r="A282" t="s">
        <v>110</v>
      </c>
      <c r="B282" t="s">
        <v>122</v>
      </c>
      <c r="C282">
        <v>13563</v>
      </c>
      <c r="D282">
        <v>11485.7</v>
      </c>
      <c r="E282">
        <v>8557</v>
      </c>
      <c r="F282" s="5">
        <f t="shared" si="4"/>
        <v>1.1808596776861662</v>
      </c>
      <c r="G282">
        <v>3</v>
      </c>
      <c r="H282" t="s">
        <v>200</v>
      </c>
    </row>
    <row r="283" spans="1:8" ht="15" customHeight="1" x14ac:dyDescent="0.35">
      <c r="A283" t="s">
        <v>110</v>
      </c>
      <c r="B283" t="s">
        <v>123</v>
      </c>
      <c r="C283">
        <v>15319</v>
      </c>
      <c r="D283">
        <v>11662.8</v>
      </c>
      <c r="E283">
        <v>7923</v>
      </c>
      <c r="F283" s="5">
        <f t="shared" si="4"/>
        <v>1.3134924717906507</v>
      </c>
      <c r="G283">
        <v>12</v>
      </c>
    </row>
    <row r="284" spans="1:8" ht="15" customHeight="1" x14ac:dyDescent="0.35">
      <c r="A284" t="s">
        <v>110</v>
      </c>
      <c r="B284" t="s">
        <v>124</v>
      </c>
      <c r="C284">
        <v>15982</v>
      </c>
      <c r="D284">
        <v>12813.7</v>
      </c>
      <c r="E284">
        <v>7717</v>
      </c>
      <c r="F284" s="5">
        <f t="shared" si="4"/>
        <v>1.2472587933227717</v>
      </c>
      <c r="G284">
        <v>12</v>
      </c>
    </row>
    <row r="285" spans="1:8" ht="15" customHeight="1" x14ac:dyDescent="0.35">
      <c r="A285" t="s">
        <v>110</v>
      </c>
      <c r="B285" t="s">
        <v>71</v>
      </c>
      <c r="C285">
        <v>16203</v>
      </c>
      <c r="D285">
        <v>12455.5</v>
      </c>
      <c r="E285">
        <v>6363</v>
      </c>
      <c r="F285" s="5">
        <f t="shared" si="4"/>
        <v>1.3008711011199872</v>
      </c>
      <c r="G285">
        <v>12</v>
      </c>
    </row>
    <row r="286" spans="1:8" ht="15" customHeight="1" x14ac:dyDescent="0.35">
      <c r="A286" t="s">
        <v>110</v>
      </c>
      <c r="B286" t="s">
        <v>72</v>
      </c>
      <c r="C286">
        <v>16374</v>
      </c>
      <c r="D286">
        <v>11808.5</v>
      </c>
      <c r="E286">
        <v>6758</v>
      </c>
      <c r="F286" s="5">
        <f t="shared" si="4"/>
        <v>1.3866282762416904</v>
      </c>
      <c r="G286">
        <v>12</v>
      </c>
    </row>
    <row r="287" spans="1:8" ht="15" customHeight="1" x14ac:dyDescent="0.35">
      <c r="A287" t="s">
        <v>110</v>
      </c>
      <c r="B287" t="s">
        <v>73</v>
      </c>
      <c r="C287">
        <v>17173</v>
      </c>
      <c r="D287">
        <v>12716.2</v>
      </c>
      <c r="E287">
        <v>6001</v>
      </c>
      <c r="F287" s="5">
        <f t="shared" si="4"/>
        <v>1.3504820622513014</v>
      </c>
      <c r="G287">
        <v>12</v>
      </c>
    </row>
    <row r="288" spans="1:8" ht="15" customHeight="1" x14ac:dyDescent="0.35">
      <c r="A288" t="s">
        <v>110</v>
      </c>
      <c r="B288" t="s">
        <v>74</v>
      </c>
      <c r="C288">
        <v>17822</v>
      </c>
      <c r="D288">
        <v>13347.5</v>
      </c>
      <c r="E288">
        <v>6420</v>
      </c>
      <c r="F288" s="5">
        <f t="shared" si="4"/>
        <v>1.3352313167259786</v>
      </c>
      <c r="G288">
        <v>12</v>
      </c>
    </row>
    <row r="289" spans="1:8" ht="15" customHeight="1" x14ac:dyDescent="0.35">
      <c r="A289" t="s">
        <v>110</v>
      </c>
      <c r="B289" t="s">
        <v>75</v>
      </c>
      <c r="C289">
        <v>19576</v>
      </c>
      <c r="D289">
        <v>14600.3</v>
      </c>
      <c r="E289">
        <v>7179</v>
      </c>
      <c r="F289" s="5">
        <f t="shared" si="4"/>
        <v>1.3407943672390294</v>
      </c>
      <c r="G289">
        <v>12</v>
      </c>
    </row>
    <row r="290" spans="1:8" ht="15" customHeight="1" x14ac:dyDescent="0.35">
      <c r="A290" t="s">
        <v>110</v>
      </c>
      <c r="B290" t="s">
        <v>77</v>
      </c>
      <c r="C290">
        <v>20393</v>
      </c>
      <c r="D290">
        <v>14824.3</v>
      </c>
      <c r="E290">
        <v>7993</v>
      </c>
      <c r="F290" s="5">
        <f t="shared" si="4"/>
        <v>1.3756467421733236</v>
      </c>
      <c r="G290">
        <v>12</v>
      </c>
    </row>
    <row r="291" spans="1:8" ht="15" customHeight="1" x14ac:dyDescent="0.35">
      <c r="A291" t="s">
        <v>110</v>
      </c>
      <c r="B291" t="s">
        <v>78</v>
      </c>
      <c r="C291">
        <v>19987</v>
      </c>
      <c r="D291">
        <v>15006.6</v>
      </c>
      <c r="E291">
        <v>7484</v>
      </c>
      <c r="F291" s="5">
        <f t="shared" si="4"/>
        <v>1.331880639185425</v>
      </c>
      <c r="G291">
        <v>12</v>
      </c>
    </row>
    <row r="292" spans="1:8" ht="15" customHeight="1" x14ac:dyDescent="0.35">
      <c r="A292" t="s">
        <v>111</v>
      </c>
      <c r="B292" t="s">
        <v>122</v>
      </c>
      <c r="C292">
        <v>8415</v>
      </c>
      <c r="D292">
        <v>6814.3</v>
      </c>
      <c r="E292">
        <v>4453</v>
      </c>
      <c r="F292" s="5">
        <f t="shared" si="4"/>
        <v>1.2349030714820304</v>
      </c>
      <c r="G292">
        <v>3</v>
      </c>
      <c r="H292" t="s">
        <v>200</v>
      </c>
    </row>
    <row r="293" spans="1:8" ht="15" customHeight="1" x14ac:dyDescent="0.35">
      <c r="A293" t="s">
        <v>111</v>
      </c>
      <c r="B293" t="s">
        <v>123</v>
      </c>
      <c r="C293">
        <v>10175</v>
      </c>
      <c r="D293">
        <v>6729.2</v>
      </c>
      <c r="E293">
        <v>3495</v>
      </c>
      <c r="F293" s="5">
        <f t="shared" si="4"/>
        <v>1.5120668132913273</v>
      </c>
      <c r="G293">
        <v>12</v>
      </c>
    </row>
    <row r="294" spans="1:8" ht="15" customHeight="1" x14ac:dyDescent="0.35">
      <c r="A294" t="s">
        <v>111</v>
      </c>
      <c r="B294" t="s">
        <v>124</v>
      </c>
      <c r="C294">
        <v>10861</v>
      </c>
      <c r="D294">
        <v>7648.8</v>
      </c>
      <c r="E294">
        <v>4160</v>
      </c>
      <c r="F294" s="5">
        <f t="shared" si="4"/>
        <v>1.4199613011191297</v>
      </c>
      <c r="G294">
        <v>12</v>
      </c>
    </row>
    <row r="295" spans="1:8" ht="15" customHeight="1" x14ac:dyDescent="0.35">
      <c r="A295" t="s">
        <v>111</v>
      </c>
      <c r="B295" t="s">
        <v>71</v>
      </c>
      <c r="C295">
        <v>13053</v>
      </c>
      <c r="D295">
        <v>7905.8</v>
      </c>
      <c r="E295">
        <v>4753</v>
      </c>
      <c r="F295" s="5">
        <f t="shared" si="4"/>
        <v>1.6510663057502086</v>
      </c>
      <c r="G295">
        <v>12</v>
      </c>
    </row>
    <row r="296" spans="1:8" ht="15" customHeight="1" x14ac:dyDescent="0.35">
      <c r="A296" t="s">
        <v>111</v>
      </c>
      <c r="B296" t="s">
        <v>72</v>
      </c>
      <c r="C296">
        <v>13910</v>
      </c>
      <c r="D296">
        <v>7651.3</v>
      </c>
      <c r="E296">
        <v>2630</v>
      </c>
      <c r="F296" s="5">
        <f t="shared" si="4"/>
        <v>1.8179917138264086</v>
      </c>
      <c r="G296">
        <v>12</v>
      </c>
    </row>
    <row r="297" spans="1:8" ht="15" customHeight="1" x14ac:dyDescent="0.35">
      <c r="A297" t="s">
        <v>111</v>
      </c>
      <c r="B297" t="s">
        <v>73</v>
      </c>
      <c r="C297">
        <v>13928</v>
      </c>
      <c r="D297">
        <v>8205.7999999999993</v>
      </c>
      <c r="E297">
        <v>4490</v>
      </c>
      <c r="F297" s="5">
        <f t="shared" si="4"/>
        <v>1.6973360306124938</v>
      </c>
      <c r="G297">
        <v>12</v>
      </c>
    </row>
    <row r="298" spans="1:8" ht="15" customHeight="1" x14ac:dyDescent="0.35">
      <c r="A298" t="s">
        <v>111</v>
      </c>
      <c r="B298" t="s">
        <v>74</v>
      </c>
      <c r="C298">
        <v>15211</v>
      </c>
      <c r="D298">
        <v>8707.1</v>
      </c>
      <c r="E298">
        <v>3919</v>
      </c>
      <c r="F298" s="5">
        <f t="shared" si="4"/>
        <v>1.7469651204189685</v>
      </c>
      <c r="G298">
        <v>12</v>
      </c>
    </row>
    <row r="299" spans="1:8" ht="15" customHeight="1" x14ac:dyDescent="0.35">
      <c r="A299" t="s">
        <v>111</v>
      </c>
      <c r="B299" t="s">
        <v>75</v>
      </c>
      <c r="C299">
        <v>15268</v>
      </c>
      <c r="D299">
        <v>9801.1</v>
      </c>
      <c r="E299">
        <v>3922</v>
      </c>
      <c r="F299" s="5">
        <f t="shared" si="4"/>
        <v>1.557784330330269</v>
      </c>
      <c r="G299">
        <v>12</v>
      </c>
    </row>
    <row r="300" spans="1:8" ht="15" customHeight="1" x14ac:dyDescent="0.35">
      <c r="A300" t="s">
        <v>111</v>
      </c>
      <c r="B300" t="s">
        <v>77</v>
      </c>
      <c r="C300">
        <v>16756</v>
      </c>
      <c r="D300">
        <v>10404</v>
      </c>
      <c r="E300">
        <v>4148</v>
      </c>
      <c r="F300" s="5">
        <f t="shared" si="4"/>
        <v>1.6105344098423684</v>
      </c>
      <c r="G300">
        <v>12</v>
      </c>
    </row>
    <row r="301" spans="1:8" ht="15" customHeight="1" x14ac:dyDescent="0.35">
      <c r="A301" t="s">
        <v>111</v>
      </c>
      <c r="B301" t="s">
        <v>78</v>
      </c>
      <c r="C301">
        <v>16722</v>
      </c>
      <c r="D301">
        <v>9884.7999999999993</v>
      </c>
      <c r="E301">
        <v>5210</v>
      </c>
      <c r="F301" s="5">
        <f t="shared" si="4"/>
        <v>1.6916882486241502</v>
      </c>
      <c r="G301">
        <v>12</v>
      </c>
    </row>
    <row r="302" spans="1:8" ht="15" customHeight="1" x14ac:dyDescent="0.35">
      <c r="A302" t="s">
        <v>112</v>
      </c>
      <c r="B302" t="s">
        <v>122</v>
      </c>
      <c r="C302">
        <v>349</v>
      </c>
      <c r="D302">
        <v>201.3</v>
      </c>
      <c r="E302">
        <v>41</v>
      </c>
      <c r="F302" s="5">
        <f t="shared" si="4"/>
        <v>1.7337307501241928</v>
      </c>
      <c r="G302">
        <v>3</v>
      </c>
      <c r="H302" t="s">
        <v>200</v>
      </c>
    </row>
    <row r="303" spans="1:8" ht="15" customHeight="1" x14ac:dyDescent="0.35">
      <c r="A303" t="s">
        <v>112</v>
      </c>
      <c r="B303" t="s">
        <v>123</v>
      </c>
      <c r="C303">
        <v>428</v>
      </c>
      <c r="D303">
        <v>164.5</v>
      </c>
      <c r="E303">
        <v>-7</v>
      </c>
      <c r="F303" s="5">
        <f t="shared" si="4"/>
        <v>2.6018237082066871</v>
      </c>
      <c r="G303">
        <v>12</v>
      </c>
    </row>
    <row r="304" spans="1:8" ht="15" customHeight="1" x14ac:dyDescent="0.35">
      <c r="A304" t="s">
        <v>112</v>
      </c>
      <c r="B304" t="s">
        <v>124</v>
      </c>
      <c r="C304">
        <v>318</v>
      </c>
      <c r="D304">
        <v>155.69999999999999</v>
      </c>
      <c r="E304">
        <v>6</v>
      </c>
      <c r="F304" s="5">
        <f t="shared" si="4"/>
        <v>2.0423892100192678</v>
      </c>
      <c r="G304">
        <v>12</v>
      </c>
    </row>
    <row r="305" spans="1:8" ht="15" customHeight="1" x14ac:dyDescent="0.35">
      <c r="A305" t="s">
        <v>112</v>
      </c>
      <c r="B305" t="s">
        <v>71</v>
      </c>
      <c r="C305">
        <v>331</v>
      </c>
      <c r="D305">
        <v>173.1</v>
      </c>
      <c r="E305">
        <v>65</v>
      </c>
      <c r="F305" s="5">
        <f t="shared" si="4"/>
        <v>1.9121894858463317</v>
      </c>
      <c r="G305">
        <v>12</v>
      </c>
    </row>
    <row r="306" spans="1:8" ht="15" customHeight="1" x14ac:dyDescent="0.35">
      <c r="A306" t="s">
        <v>112</v>
      </c>
      <c r="B306" t="s">
        <v>72</v>
      </c>
      <c r="C306">
        <v>309</v>
      </c>
      <c r="D306">
        <v>173.9</v>
      </c>
      <c r="E306">
        <v>46</v>
      </c>
      <c r="F306" s="5">
        <f t="shared" si="4"/>
        <v>1.7768832662449683</v>
      </c>
      <c r="G306">
        <v>12</v>
      </c>
    </row>
    <row r="307" spans="1:8" ht="15" customHeight="1" x14ac:dyDescent="0.35">
      <c r="A307" t="s">
        <v>112</v>
      </c>
      <c r="B307" t="s">
        <v>73</v>
      </c>
      <c r="C307">
        <v>330</v>
      </c>
      <c r="D307">
        <v>181.9</v>
      </c>
      <c r="E307">
        <v>57</v>
      </c>
      <c r="F307" s="5">
        <f t="shared" si="4"/>
        <v>1.8141836173721824</v>
      </c>
      <c r="G307">
        <v>12</v>
      </c>
    </row>
    <row r="308" spans="1:8" ht="15" customHeight="1" x14ac:dyDescent="0.35">
      <c r="A308" t="s">
        <v>112</v>
      </c>
      <c r="B308" t="s">
        <v>74</v>
      </c>
      <c r="C308">
        <v>337</v>
      </c>
      <c r="D308">
        <v>188.3</v>
      </c>
      <c r="E308">
        <v>23</v>
      </c>
      <c r="F308" s="5">
        <f t="shared" si="4"/>
        <v>1.7896972915560274</v>
      </c>
      <c r="G308">
        <v>12</v>
      </c>
    </row>
    <row r="309" spans="1:8" ht="15" customHeight="1" x14ac:dyDescent="0.35">
      <c r="A309" t="s">
        <v>112</v>
      </c>
      <c r="B309" t="s">
        <v>75</v>
      </c>
      <c r="C309">
        <v>412</v>
      </c>
      <c r="D309">
        <v>185.2</v>
      </c>
      <c r="E309">
        <v>47</v>
      </c>
      <c r="F309" s="5">
        <f t="shared" si="4"/>
        <v>2.224622030237581</v>
      </c>
      <c r="G309">
        <v>12</v>
      </c>
    </row>
    <row r="310" spans="1:8" ht="15" customHeight="1" x14ac:dyDescent="0.35">
      <c r="A310" t="s">
        <v>112</v>
      </c>
      <c r="B310" t="s">
        <v>77</v>
      </c>
      <c r="C310">
        <v>378</v>
      </c>
      <c r="D310">
        <v>207.2</v>
      </c>
      <c r="E310">
        <v>25</v>
      </c>
      <c r="F310" s="5">
        <f t="shared" si="4"/>
        <v>1.8243243243243243</v>
      </c>
      <c r="G310">
        <v>12</v>
      </c>
    </row>
    <row r="311" spans="1:8" ht="15" customHeight="1" x14ac:dyDescent="0.35">
      <c r="A311" t="s">
        <v>112</v>
      </c>
      <c r="B311" t="s">
        <v>78</v>
      </c>
      <c r="C311">
        <v>371</v>
      </c>
      <c r="D311">
        <v>216.1</v>
      </c>
      <c r="E311">
        <v>49</v>
      </c>
      <c r="F311" s="5">
        <f t="shared" si="4"/>
        <v>1.7167977788061084</v>
      </c>
      <c r="G311">
        <v>12</v>
      </c>
    </row>
    <row r="312" spans="1:8" ht="15" customHeight="1" x14ac:dyDescent="0.35">
      <c r="A312" t="s">
        <v>113</v>
      </c>
      <c r="B312" t="s">
        <v>122</v>
      </c>
      <c r="C312">
        <v>16301</v>
      </c>
      <c r="D312">
        <v>11969.3</v>
      </c>
      <c r="E312">
        <v>7280</v>
      </c>
      <c r="F312" s="5">
        <f t="shared" si="4"/>
        <v>1.3619008630412808</v>
      </c>
      <c r="G312">
        <v>3</v>
      </c>
      <c r="H312" t="s">
        <v>200</v>
      </c>
    </row>
    <row r="313" spans="1:8" ht="15" customHeight="1" x14ac:dyDescent="0.35">
      <c r="A313" t="s">
        <v>113</v>
      </c>
      <c r="B313" t="s">
        <v>123</v>
      </c>
      <c r="C313">
        <v>18295</v>
      </c>
      <c r="D313">
        <v>13633.9</v>
      </c>
      <c r="E313">
        <v>6182</v>
      </c>
      <c r="F313" s="5">
        <f t="shared" si="4"/>
        <v>1.3418757655549769</v>
      </c>
      <c r="G313">
        <v>12</v>
      </c>
    </row>
    <row r="314" spans="1:8" ht="15" customHeight="1" x14ac:dyDescent="0.35">
      <c r="A314" t="s">
        <v>113</v>
      </c>
      <c r="B314" t="s">
        <v>124</v>
      </c>
      <c r="C314">
        <v>20430</v>
      </c>
      <c r="D314">
        <v>13372.8</v>
      </c>
      <c r="E314">
        <v>6509</v>
      </c>
      <c r="F314" s="5">
        <f t="shared" si="4"/>
        <v>1.5277279253409908</v>
      </c>
      <c r="G314">
        <v>12</v>
      </c>
    </row>
    <row r="315" spans="1:8" ht="15" customHeight="1" x14ac:dyDescent="0.35">
      <c r="A315" t="s">
        <v>113</v>
      </c>
      <c r="B315" t="s">
        <v>71</v>
      </c>
      <c r="C315">
        <v>21872</v>
      </c>
      <c r="D315">
        <v>13806.2</v>
      </c>
      <c r="E315">
        <v>4376</v>
      </c>
      <c r="F315" s="5">
        <f t="shared" si="4"/>
        <v>1.5842157871101388</v>
      </c>
      <c r="G315">
        <v>12</v>
      </c>
    </row>
    <row r="316" spans="1:8" ht="15" customHeight="1" x14ac:dyDescent="0.35">
      <c r="A316" t="s">
        <v>113</v>
      </c>
      <c r="B316" t="s">
        <v>72</v>
      </c>
      <c r="C316">
        <v>23942</v>
      </c>
      <c r="D316">
        <v>14136.8</v>
      </c>
      <c r="E316">
        <v>6025</v>
      </c>
      <c r="F316" s="5">
        <f t="shared" si="4"/>
        <v>1.6935940241072944</v>
      </c>
      <c r="G316">
        <v>12</v>
      </c>
    </row>
    <row r="317" spans="1:8" ht="15" customHeight="1" x14ac:dyDescent="0.35">
      <c r="A317" t="s">
        <v>113</v>
      </c>
      <c r="B317" t="s">
        <v>73</v>
      </c>
      <c r="C317">
        <v>24919</v>
      </c>
      <c r="D317">
        <v>14752.8</v>
      </c>
      <c r="E317">
        <v>5621</v>
      </c>
      <c r="F317" s="5">
        <f t="shared" si="4"/>
        <v>1.6891030855159699</v>
      </c>
      <c r="G317">
        <v>12</v>
      </c>
    </row>
    <row r="318" spans="1:8" ht="15" customHeight="1" x14ac:dyDescent="0.35">
      <c r="A318" t="s">
        <v>113</v>
      </c>
      <c r="B318" t="s">
        <v>74</v>
      </c>
      <c r="C318">
        <v>26241</v>
      </c>
      <c r="D318">
        <v>16425.3</v>
      </c>
      <c r="E318">
        <v>7222</v>
      </c>
      <c r="F318" s="5">
        <f t="shared" si="4"/>
        <v>1.5975963909334989</v>
      </c>
      <c r="G318">
        <v>12</v>
      </c>
    </row>
    <row r="319" spans="1:8" ht="15" customHeight="1" x14ac:dyDescent="0.35">
      <c r="A319" t="s">
        <v>113</v>
      </c>
      <c r="B319" t="s">
        <v>75</v>
      </c>
      <c r="C319">
        <v>28035</v>
      </c>
      <c r="D319">
        <v>16973.5</v>
      </c>
      <c r="E319">
        <v>7657</v>
      </c>
      <c r="F319" s="5">
        <f t="shared" si="4"/>
        <v>1.6516923439479188</v>
      </c>
      <c r="G319">
        <v>12</v>
      </c>
    </row>
    <row r="320" spans="1:8" ht="15" customHeight="1" x14ac:dyDescent="0.35">
      <c r="A320" t="s">
        <v>113</v>
      </c>
      <c r="B320" t="s">
        <v>77</v>
      </c>
      <c r="C320">
        <v>30422</v>
      </c>
      <c r="D320">
        <v>18515.5</v>
      </c>
      <c r="E320">
        <v>7657</v>
      </c>
      <c r="F320" s="5">
        <f t="shared" si="4"/>
        <v>1.6430558180983501</v>
      </c>
      <c r="G320">
        <v>12</v>
      </c>
    </row>
    <row r="321" spans="1:8" ht="15" customHeight="1" x14ac:dyDescent="0.35">
      <c r="A321" t="s">
        <v>113</v>
      </c>
      <c r="B321" t="s">
        <v>78</v>
      </c>
      <c r="C321">
        <v>31288</v>
      </c>
      <c r="D321">
        <v>18824.5</v>
      </c>
      <c r="E321">
        <v>10172</v>
      </c>
      <c r="F321" s="5">
        <f t="shared" si="4"/>
        <v>1.6620892985205451</v>
      </c>
      <c r="G321">
        <v>12</v>
      </c>
    </row>
    <row r="322" spans="1:8" ht="15" customHeight="1" x14ac:dyDescent="0.35">
      <c r="A322" t="s">
        <v>114</v>
      </c>
      <c r="B322" t="s">
        <v>122</v>
      </c>
      <c r="C322">
        <v>1927</v>
      </c>
      <c r="D322">
        <v>1317.7</v>
      </c>
      <c r="E322">
        <v>486</v>
      </c>
      <c r="F322" s="5">
        <f t="shared" ref="F322:F341" si="5">IF(D322=0,"",C322/D322)</f>
        <v>1.4623966001366016</v>
      </c>
      <c r="G322">
        <v>3</v>
      </c>
      <c r="H322" t="s">
        <v>200</v>
      </c>
    </row>
    <row r="323" spans="1:8" ht="15" customHeight="1" x14ac:dyDescent="0.35">
      <c r="A323" t="s">
        <v>114</v>
      </c>
      <c r="B323" t="s">
        <v>123</v>
      </c>
      <c r="C323">
        <v>2266</v>
      </c>
      <c r="D323">
        <v>1489.2</v>
      </c>
      <c r="E323">
        <v>442</v>
      </c>
      <c r="F323" s="5">
        <f t="shared" si="5"/>
        <v>1.5216223475691646</v>
      </c>
      <c r="G323">
        <v>12</v>
      </c>
    </row>
    <row r="324" spans="1:8" ht="15" customHeight="1" x14ac:dyDescent="0.35">
      <c r="A324" t="s">
        <v>114</v>
      </c>
      <c r="B324" t="s">
        <v>124</v>
      </c>
      <c r="C324">
        <v>2358</v>
      </c>
      <c r="D324">
        <v>1644.2</v>
      </c>
      <c r="E324">
        <v>574</v>
      </c>
      <c r="F324" s="5">
        <f t="shared" si="5"/>
        <v>1.4341321007176742</v>
      </c>
      <c r="G324">
        <v>12</v>
      </c>
    </row>
    <row r="325" spans="1:8" ht="15" customHeight="1" x14ac:dyDescent="0.35">
      <c r="A325" t="s">
        <v>114</v>
      </c>
      <c r="B325" t="s">
        <v>71</v>
      </c>
      <c r="C325">
        <v>2464</v>
      </c>
      <c r="D325">
        <v>1685.6</v>
      </c>
      <c r="E325">
        <v>436</v>
      </c>
      <c r="F325" s="5">
        <f t="shared" si="5"/>
        <v>1.4617940199335548</v>
      </c>
      <c r="G325">
        <v>12</v>
      </c>
    </row>
    <row r="326" spans="1:8" ht="15" customHeight="1" x14ac:dyDescent="0.35">
      <c r="A326" t="s">
        <v>114</v>
      </c>
      <c r="B326" t="s">
        <v>72</v>
      </c>
      <c r="C326">
        <v>2335</v>
      </c>
      <c r="D326">
        <v>1517.7</v>
      </c>
      <c r="E326">
        <v>568</v>
      </c>
      <c r="F326" s="5">
        <f t="shared" si="5"/>
        <v>1.5385122224418528</v>
      </c>
      <c r="G326">
        <v>12</v>
      </c>
    </row>
    <row r="327" spans="1:8" ht="15" customHeight="1" x14ac:dyDescent="0.35">
      <c r="A327" t="s">
        <v>114</v>
      </c>
      <c r="B327" t="s">
        <v>73</v>
      </c>
      <c r="C327">
        <v>2537</v>
      </c>
      <c r="D327">
        <v>1588.4</v>
      </c>
      <c r="E327">
        <v>671</v>
      </c>
      <c r="F327" s="5">
        <f t="shared" si="5"/>
        <v>1.5972047343238478</v>
      </c>
      <c r="G327">
        <v>12</v>
      </c>
    </row>
    <row r="328" spans="1:8" ht="15" customHeight="1" x14ac:dyDescent="0.35">
      <c r="A328" t="s">
        <v>114</v>
      </c>
      <c r="B328" t="s">
        <v>74</v>
      </c>
      <c r="C328">
        <v>2421</v>
      </c>
      <c r="D328">
        <v>1719.8</v>
      </c>
      <c r="E328">
        <v>699</v>
      </c>
      <c r="F328" s="5">
        <f t="shared" si="5"/>
        <v>1.4077218281195487</v>
      </c>
      <c r="G328">
        <v>12</v>
      </c>
    </row>
    <row r="329" spans="1:8" ht="15" customHeight="1" x14ac:dyDescent="0.35">
      <c r="A329" t="s">
        <v>114</v>
      </c>
      <c r="B329" t="s">
        <v>75</v>
      </c>
      <c r="C329">
        <v>2484</v>
      </c>
      <c r="D329">
        <v>1723.7</v>
      </c>
      <c r="E329">
        <v>666</v>
      </c>
      <c r="F329" s="5">
        <f t="shared" si="5"/>
        <v>1.4410860358531066</v>
      </c>
      <c r="G329">
        <v>12</v>
      </c>
    </row>
    <row r="330" spans="1:8" ht="15" customHeight="1" x14ac:dyDescent="0.35">
      <c r="A330" t="s">
        <v>114</v>
      </c>
      <c r="B330" t="s">
        <v>77</v>
      </c>
      <c r="C330">
        <v>2686</v>
      </c>
      <c r="D330">
        <v>1841.8</v>
      </c>
      <c r="E330">
        <v>793</v>
      </c>
      <c r="F330" s="5">
        <f t="shared" si="5"/>
        <v>1.4583559561298729</v>
      </c>
      <c r="G330">
        <v>12</v>
      </c>
    </row>
    <row r="331" spans="1:8" ht="15" customHeight="1" x14ac:dyDescent="0.35">
      <c r="A331" t="s">
        <v>114</v>
      </c>
      <c r="B331" t="s">
        <v>78</v>
      </c>
      <c r="C331">
        <v>2776</v>
      </c>
      <c r="D331">
        <v>1919.4</v>
      </c>
      <c r="E331">
        <v>940</v>
      </c>
      <c r="F331" s="5">
        <f t="shared" si="5"/>
        <v>1.4462852974887985</v>
      </c>
      <c r="G331">
        <v>12</v>
      </c>
    </row>
    <row r="332" spans="1:8" ht="15" customHeight="1" x14ac:dyDescent="0.35">
      <c r="A332" t="s">
        <v>115</v>
      </c>
      <c r="B332" t="s">
        <v>122</v>
      </c>
      <c r="C332">
        <v>8163</v>
      </c>
      <c r="D332">
        <v>4877.3</v>
      </c>
      <c r="E332">
        <v>3000</v>
      </c>
      <c r="F332" s="5">
        <f t="shared" si="5"/>
        <v>1.6736719086379759</v>
      </c>
      <c r="G332">
        <v>3</v>
      </c>
      <c r="H332" t="s">
        <v>200</v>
      </c>
    </row>
    <row r="333" spans="1:8" ht="15" customHeight="1" x14ac:dyDescent="0.35">
      <c r="A333" t="s">
        <v>115</v>
      </c>
      <c r="B333" t="s">
        <v>123</v>
      </c>
      <c r="C333">
        <v>8447</v>
      </c>
      <c r="D333">
        <v>5625.8</v>
      </c>
      <c r="E333">
        <v>2634</v>
      </c>
      <c r="F333" s="5">
        <f t="shared" si="5"/>
        <v>1.5014753457286074</v>
      </c>
      <c r="G333">
        <v>12</v>
      </c>
    </row>
    <row r="334" spans="1:8" ht="15" customHeight="1" x14ac:dyDescent="0.35">
      <c r="A334" t="s">
        <v>115</v>
      </c>
      <c r="B334" t="s">
        <v>124</v>
      </c>
      <c r="C334">
        <v>8770</v>
      </c>
      <c r="D334">
        <v>5971</v>
      </c>
      <c r="E334">
        <v>2759</v>
      </c>
      <c r="F334" s="5">
        <f t="shared" si="5"/>
        <v>1.4687657008876236</v>
      </c>
      <c r="G334">
        <v>12</v>
      </c>
    </row>
    <row r="335" spans="1:8" ht="15" customHeight="1" x14ac:dyDescent="0.35">
      <c r="A335" t="s">
        <v>115</v>
      </c>
      <c r="B335" t="s">
        <v>71</v>
      </c>
      <c r="C335">
        <v>9210</v>
      </c>
      <c r="D335">
        <v>6086.6</v>
      </c>
      <c r="E335">
        <v>2861</v>
      </c>
      <c r="F335" s="5">
        <f t="shared" si="5"/>
        <v>1.513160056517596</v>
      </c>
      <c r="G335">
        <v>12</v>
      </c>
    </row>
    <row r="336" spans="1:8" ht="15" customHeight="1" x14ac:dyDescent="0.35">
      <c r="A336" t="s">
        <v>115</v>
      </c>
      <c r="B336" t="s">
        <v>72</v>
      </c>
      <c r="C336">
        <v>8864</v>
      </c>
      <c r="D336">
        <v>5917.1</v>
      </c>
      <c r="E336">
        <v>1503</v>
      </c>
      <c r="F336" s="5">
        <f t="shared" si="5"/>
        <v>1.498031130114414</v>
      </c>
      <c r="G336">
        <v>12</v>
      </c>
    </row>
    <row r="337" spans="1:7" ht="15" customHeight="1" x14ac:dyDescent="0.35">
      <c r="A337" t="s">
        <v>115</v>
      </c>
      <c r="B337" t="s">
        <v>73</v>
      </c>
      <c r="C337">
        <v>9023</v>
      </c>
      <c r="D337">
        <v>6131.6</v>
      </c>
      <c r="E337">
        <v>3163</v>
      </c>
      <c r="F337" s="5">
        <f t="shared" si="5"/>
        <v>1.4715571792028181</v>
      </c>
      <c r="G337">
        <v>12</v>
      </c>
    </row>
    <row r="338" spans="1:7" ht="15" customHeight="1" x14ac:dyDescent="0.35">
      <c r="A338" t="s">
        <v>115</v>
      </c>
      <c r="B338" t="s">
        <v>74</v>
      </c>
      <c r="C338">
        <v>9663</v>
      </c>
      <c r="D338">
        <v>6775.1</v>
      </c>
      <c r="E338">
        <v>3811</v>
      </c>
      <c r="F338" s="5">
        <f t="shared" si="5"/>
        <v>1.4262520110404273</v>
      </c>
      <c r="G338">
        <v>12</v>
      </c>
    </row>
    <row r="339" spans="1:7" ht="15" customHeight="1" x14ac:dyDescent="0.35">
      <c r="A339" t="s">
        <v>115</v>
      </c>
      <c r="B339" t="s">
        <v>75</v>
      </c>
      <c r="C339">
        <v>11603</v>
      </c>
      <c r="D339">
        <v>7261.7</v>
      </c>
      <c r="E339">
        <v>3755</v>
      </c>
      <c r="F339" s="5">
        <f t="shared" si="5"/>
        <v>1.59783521764876</v>
      </c>
      <c r="G339">
        <v>12</v>
      </c>
    </row>
    <row r="340" spans="1:7" ht="15" customHeight="1" x14ac:dyDescent="0.35">
      <c r="A340" t="s">
        <v>115</v>
      </c>
      <c r="B340" t="s">
        <v>77</v>
      </c>
      <c r="C340">
        <v>12703</v>
      </c>
      <c r="D340">
        <v>7915.7</v>
      </c>
      <c r="E340">
        <v>4104</v>
      </c>
      <c r="F340" s="5">
        <f t="shared" si="5"/>
        <v>1.6047854264310168</v>
      </c>
      <c r="G340">
        <v>12</v>
      </c>
    </row>
    <row r="341" spans="1:7" ht="15" customHeight="1" x14ac:dyDescent="0.35">
      <c r="A341" t="s">
        <v>115</v>
      </c>
      <c r="B341" t="s">
        <v>78</v>
      </c>
      <c r="C341">
        <v>13085</v>
      </c>
      <c r="D341">
        <v>8217.7999999999993</v>
      </c>
      <c r="E341">
        <v>4190</v>
      </c>
      <c r="F341" s="5">
        <f t="shared" si="5"/>
        <v>1.5922753048261094</v>
      </c>
      <c r="G341">
        <v>12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Sheet_Inventory</vt:lpstr>
      <vt:lpstr>Panel_State_FY</vt:lpstr>
      <vt:lpstr>Trends_National</vt:lpstr>
      <vt:lpstr>Trends_Statewise</vt:lpstr>
      <vt:lpstr>PeakDemand_State_Month</vt:lpstr>
      <vt:lpstr>PeakDemand_State_FY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Suunil Dabral</cp:lastModifiedBy>
  <cp:revision>0</cp:revision>
  <dcterms:created xsi:type="dcterms:W3CDTF">2026-07-05T07:15:41Z</dcterms:created>
  <dcterms:modified xsi:type="dcterms:W3CDTF">2026-07-14T17:12:12Z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db35b9b-34e3-4211-8ec1-253280c6bd5e_Enabled">
    <vt:lpwstr>true</vt:lpwstr>
  </property>
  <property fmtid="{D5CDD505-2E9C-101B-9397-08002B2CF9AE}" pid="3" name="MSIP_Label_8db35b9b-34e3-4211-8ec1-253280c6bd5e_SetDate">
    <vt:lpwstr>2026-07-14T17:11:55Z</vt:lpwstr>
  </property>
  <property fmtid="{D5CDD505-2E9C-101B-9397-08002B2CF9AE}" pid="4" name="MSIP_Label_8db35b9b-34e3-4211-8ec1-253280c6bd5e_Method">
    <vt:lpwstr>Privileged</vt:lpwstr>
  </property>
  <property fmtid="{D5CDD505-2E9C-101B-9397-08002B2CF9AE}" pid="5" name="MSIP_Label_8db35b9b-34e3-4211-8ec1-253280c6bd5e_Name">
    <vt:lpwstr>C1 - Public</vt:lpwstr>
  </property>
  <property fmtid="{D5CDD505-2E9C-101B-9397-08002B2CF9AE}" pid="6" name="MSIP_Label_8db35b9b-34e3-4211-8ec1-253280c6bd5e_SiteId">
    <vt:lpwstr>dca04e92-b0c8-46b4-9d33-f893be36d972</vt:lpwstr>
  </property>
  <property fmtid="{D5CDD505-2E9C-101B-9397-08002B2CF9AE}" pid="7" name="MSIP_Label_8db35b9b-34e3-4211-8ec1-253280c6bd5e_ActionId">
    <vt:lpwstr>4231f469-28b2-4ae2-a95c-43e54f0ec136</vt:lpwstr>
  </property>
  <property fmtid="{D5CDD505-2E9C-101B-9397-08002B2CF9AE}" pid="8" name="MSIP_Label_8db35b9b-34e3-4211-8ec1-253280c6bd5e_ContentBits">
    <vt:lpwstr>0</vt:lpwstr>
  </property>
  <property fmtid="{D5CDD505-2E9C-101B-9397-08002B2CF9AE}" pid="9" name="MSIP_Label_8db35b9b-34e3-4211-8ec1-253280c6bd5e_Tag">
    <vt:lpwstr>10, 0, 1, 1</vt:lpwstr>
  </property>
</Properties>
</file>